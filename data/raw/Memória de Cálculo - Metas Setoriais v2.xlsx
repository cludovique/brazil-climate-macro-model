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08712486701\Downloads\"/>
    </mc:Choice>
  </mc:AlternateContent>
  <xr:revisionPtr revIDLastSave="0" documentId="13_ncr:1_{7D8DC6D0-508A-4C40-B82B-7FAD22264533}" xr6:coauthVersionLast="47" xr6:coauthVersionMax="47" xr10:uidLastSave="{00000000-0000-0000-0000-000000000000}"/>
  <bookViews>
    <workbookView xWindow="-120" yWindow="-120" windowWidth="29040" windowHeight="15840" xr2:uid="{E9D7A55D-A682-46A6-B131-31AC8325E17A}"/>
  </bookViews>
  <sheets>
    <sheet name="Cálculo (2)" sheetId="2" r:id="rId1"/>
  </sheets>
  <definedNames>
    <definedName name="Escolha">#REF!</definedName>
    <definedName name="G_C2F6">#REF!</definedName>
    <definedName name="G_CF4">#REF!</definedName>
    <definedName name="G_CH4">#REF!</definedName>
    <definedName name="G_HFC125">#REF!</definedName>
    <definedName name="G_HFC134a">#REF!</definedName>
    <definedName name="G_HFC143a">#REF!</definedName>
    <definedName name="G_HFC152a">#REF!</definedName>
    <definedName name="G_HFC227ea">#REF!</definedName>
    <definedName name="G_HFC23">#REF!</definedName>
    <definedName name="G_HFC32">#REF!</definedName>
    <definedName name="G_HFC365mfc">#REF!</definedName>
    <definedName name="G_HFCs">#REF!</definedName>
    <definedName name="G_N2O">#REF!</definedName>
    <definedName name="G_PFCs">#REF!</definedName>
    <definedName name="G_SF6">#REF!</definedName>
    <definedName name="IE">#REF!</definedName>
    <definedName name="NA">#REF!</definedName>
    <definedName name="NE">#REF!</definedName>
    <definedName name="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2" l="1"/>
  <c r="G66" i="2"/>
  <c r="H66" i="2"/>
  <c r="H85" i="2"/>
  <c r="G85" i="2"/>
  <c r="G82" i="2"/>
  <c r="H82" i="2"/>
  <c r="H48" i="2"/>
  <c r="H47" i="2" s="1"/>
  <c r="H49" i="2"/>
  <c r="C89" i="2"/>
  <c r="C86" i="2"/>
  <c r="D86" i="2"/>
  <c r="D89" i="2"/>
  <c r="D124" i="2"/>
  <c r="H84" i="2"/>
  <c r="H81" i="2"/>
  <c r="C87" i="2"/>
  <c r="G84" i="2"/>
  <c r="G81" i="2"/>
  <c r="C124" i="2"/>
  <c r="D119" i="2"/>
  <c r="H91" i="2"/>
  <c r="G91" i="2"/>
  <c r="H90" i="2"/>
  <c r="G90" i="2"/>
  <c r="H89" i="2"/>
  <c r="G89" i="2"/>
  <c r="H88" i="2"/>
  <c r="G88" i="2"/>
  <c r="H87" i="2"/>
  <c r="G87" i="2"/>
  <c r="H86" i="2"/>
  <c r="G86" i="2"/>
  <c r="H83" i="2"/>
  <c r="K83" i="2" s="1"/>
  <c r="G83" i="2"/>
  <c r="I83" i="2" s="1"/>
  <c r="D83" i="2"/>
  <c r="J83" i="2" s="1"/>
  <c r="H75" i="2"/>
  <c r="G75" i="2"/>
  <c r="C73" i="2"/>
  <c r="C71" i="2"/>
  <c r="H67" i="2"/>
  <c r="G67" i="2"/>
  <c r="D66" i="2"/>
  <c r="C66" i="2"/>
  <c r="H55" i="2"/>
  <c r="G55" i="2"/>
  <c r="F55" i="2"/>
  <c r="E55" i="2"/>
  <c r="D74" i="2" s="1"/>
  <c r="D55" i="2"/>
  <c r="C55" i="2"/>
  <c r="C74" i="2" s="1"/>
  <c r="H54" i="2"/>
  <c r="G54" i="2"/>
  <c r="F54" i="2"/>
  <c r="E54" i="2"/>
  <c r="D73" i="2" s="1"/>
  <c r="D54" i="2"/>
  <c r="C54" i="2"/>
  <c r="H53" i="2"/>
  <c r="G53" i="2"/>
  <c r="F53" i="2"/>
  <c r="E53" i="2"/>
  <c r="D72" i="2" s="1"/>
  <c r="D53" i="2"/>
  <c r="C53" i="2"/>
  <c r="C72" i="2" s="1"/>
  <c r="H52" i="2"/>
  <c r="G52" i="2"/>
  <c r="F52" i="2"/>
  <c r="E52" i="2"/>
  <c r="E47" i="2" s="1"/>
  <c r="D52" i="2"/>
  <c r="C52" i="2"/>
  <c r="H51" i="2"/>
  <c r="G51" i="2"/>
  <c r="F51" i="2"/>
  <c r="E51" i="2"/>
  <c r="D70" i="2" s="1"/>
  <c r="D51" i="2"/>
  <c r="C51" i="2"/>
  <c r="C70" i="2" s="1"/>
  <c r="D68" i="2"/>
  <c r="G49" i="2"/>
  <c r="F49" i="2"/>
  <c r="D49" i="2"/>
  <c r="C49" i="2"/>
  <c r="H50" i="2"/>
  <c r="G48" i="2"/>
  <c r="G50" i="2" s="1"/>
  <c r="F48" i="2"/>
  <c r="F50" i="2" s="1"/>
  <c r="E48" i="2"/>
  <c r="D48" i="2"/>
  <c r="D50" i="2" s="1"/>
  <c r="C48" i="2"/>
  <c r="C50" i="2" s="1"/>
  <c r="G47" i="2"/>
  <c r="F47" i="2"/>
  <c r="D47" i="2"/>
  <c r="C47" i="2"/>
  <c r="C34" i="2"/>
  <c r="E49" i="2" s="1"/>
  <c r="E25" i="2"/>
  <c r="D25" i="2"/>
  <c r="C25" i="2"/>
  <c r="G80" i="2" l="1"/>
  <c r="H80" i="2"/>
  <c r="L70" i="2"/>
  <c r="D75" i="2"/>
  <c r="J70" i="2"/>
  <c r="L72" i="2"/>
  <c r="J72" i="2"/>
  <c r="L74" i="2"/>
  <c r="J74" i="2"/>
  <c r="E50" i="2"/>
  <c r="L68" i="2"/>
  <c r="J68" i="2"/>
  <c r="K70" i="2"/>
  <c r="C75" i="2"/>
  <c r="I70" i="2"/>
  <c r="K72" i="2"/>
  <c r="I72" i="2"/>
  <c r="J73" i="2"/>
  <c r="D90" i="2"/>
  <c r="L73" i="2"/>
  <c r="I74" i="2"/>
  <c r="K74" i="2"/>
  <c r="I87" i="2"/>
  <c r="K87" i="2"/>
  <c r="C90" i="2"/>
  <c r="K71" i="2"/>
  <c r="D71" i="2"/>
  <c r="K73" i="2"/>
  <c r="C68" i="2"/>
  <c r="I71" i="2"/>
  <c r="I73" i="2"/>
  <c r="L83" i="2"/>
  <c r="I91" i="2" l="1"/>
  <c r="K91" i="2"/>
  <c r="J71" i="2"/>
  <c r="L71" i="2"/>
  <c r="J88" i="2"/>
  <c r="L88" i="2"/>
  <c r="J89" i="2"/>
  <c r="L89" i="2"/>
  <c r="J91" i="2"/>
  <c r="L91" i="2"/>
  <c r="I89" i="2"/>
  <c r="K89" i="2"/>
  <c r="C69" i="2"/>
  <c r="K68" i="2"/>
  <c r="C67" i="2"/>
  <c r="I68" i="2"/>
  <c r="C85" i="2"/>
  <c r="C84" i="2" s="1"/>
  <c r="I90" i="2"/>
  <c r="K90" i="2"/>
  <c r="J90" i="2"/>
  <c r="L90" i="2"/>
  <c r="I88" i="2"/>
  <c r="K88" i="2"/>
  <c r="D69" i="2"/>
  <c r="L87" i="2" l="1"/>
  <c r="J87" i="2"/>
  <c r="I82" i="2"/>
  <c r="C81" i="2"/>
  <c r="C80" i="2" s="1"/>
  <c r="K82" i="2"/>
  <c r="D82" i="2"/>
  <c r="I69" i="2"/>
  <c r="K69" i="2"/>
  <c r="J69" i="2"/>
  <c r="L69" i="2"/>
  <c r="D67" i="2"/>
  <c r="I85" i="2"/>
  <c r="K85" i="2"/>
  <c r="I67" i="2"/>
  <c r="K67" i="2"/>
  <c r="I84" i="2" l="1"/>
  <c r="K84" i="2"/>
  <c r="L86" i="2"/>
  <c r="J86" i="2"/>
  <c r="L82" i="2"/>
  <c r="J82" i="2"/>
  <c r="D81" i="2"/>
  <c r="D85" i="2"/>
  <c r="D84" i="2" s="1"/>
  <c r="K81" i="2"/>
  <c r="I81" i="2"/>
  <c r="I86" i="2"/>
  <c r="K86" i="2"/>
  <c r="J67" i="2"/>
  <c r="L67" i="2"/>
  <c r="J85" i="2" l="1"/>
  <c r="L85" i="2"/>
  <c r="D80" i="2"/>
  <c r="K80" i="2"/>
  <c r="I80" i="2"/>
  <c r="L81" i="2"/>
  <c r="J81" i="2"/>
  <c r="L80" i="2" l="1"/>
  <c r="J80" i="2"/>
  <c r="J84" i="2"/>
  <c r="L84" i="2"/>
</calcChain>
</file>

<file path=xl/sharedStrings.xml><?xml version="1.0" encoding="utf-8"?>
<sst xmlns="http://schemas.openxmlformats.org/spreadsheetml/2006/main" count="207" uniqueCount="122">
  <si>
    <t xml:space="preserve">LEGENDA </t>
  </si>
  <si>
    <t>aaa</t>
  </si>
  <si>
    <r>
      <t xml:space="preserve">Dados de entrada: valores proveniente da fonte de dados indicada </t>
    </r>
    <r>
      <rPr>
        <b/>
        <sz val="11"/>
        <color theme="1"/>
        <rFont val="Aptos Narrow"/>
        <family val="2"/>
        <scheme val="minor"/>
      </rPr>
      <t>(não alterar)</t>
    </r>
  </si>
  <si>
    <t>bbb</t>
  </si>
  <si>
    <r>
      <t>Premissas: valores supostos conforme lógica descrita</t>
    </r>
    <r>
      <rPr>
        <b/>
        <sz val="11"/>
        <color theme="1"/>
        <rFont val="Aptos Narrow"/>
        <family val="2"/>
        <scheme val="minor"/>
      </rPr>
      <t xml:space="preserve"> (variável) </t>
    </r>
  </si>
  <si>
    <t>ccc</t>
  </si>
  <si>
    <r>
      <t xml:space="preserve">Resultado calculado com base nas premissas variáveis e dados de entrada </t>
    </r>
    <r>
      <rPr>
        <b/>
        <sz val="11"/>
        <color theme="1"/>
        <rFont val="Aptos Narrow"/>
        <family val="2"/>
        <scheme val="minor"/>
      </rPr>
      <t>(não alterar)</t>
    </r>
  </si>
  <si>
    <t>ddd</t>
  </si>
  <si>
    <t xml:space="preserve">Conta de chegada </t>
  </si>
  <si>
    <t>RESULTADOS FINAIS MODELO BLUES POR CENÁRIO - ANO 2035</t>
  </si>
  <si>
    <t xml:space="preserve">Cenários </t>
  </si>
  <si>
    <t>MCI</t>
  </si>
  <si>
    <t>TRS</t>
  </si>
  <si>
    <t>TRF</t>
  </si>
  <si>
    <t>Descrição cenário</t>
  </si>
  <si>
    <t>Maior custo intersetorial: manutenção dos níveis de desmatamento legal</t>
  </si>
  <si>
    <t>Transição econômica: 
redução 75% do nível de desmatamento legal</t>
  </si>
  <si>
    <t>Transformação ecológica: zero desmatamento legal</t>
  </si>
  <si>
    <t>Total</t>
  </si>
  <si>
    <t>LULUCF - líquido</t>
  </si>
  <si>
    <t xml:space="preserve">LULUCF - remoções </t>
  </si>
  <si>
    <t>LULUCF - emissões</t>
  </si>
  <si>
    <t>Agropecuária</t>
  </si>
  <si>
    <t>Indústria</t>
  </si>
  <si>
    <t>Energia</t>
  </si>
  <si>
    <t>Transp/Mobil/Cidades</t>
  </si>
  <si>
    <t>Resíduos</t>
  </si>
  <si>
    <t>Excl. LULUCF</t>
  </si>
  <si>
    <t xml:space="preserve">Fonte dados: Coppe/UFRJ </t>
  </si>
  <si>
    <t>https://mmabr.sharepoint.com/:x:/r/sites/DPMA/_layouts/15/Doc.aspx?sourcedoc=%7B5EA76364-BC29-46E9-872F-586FF79388D8%7D&amp;file=Planilha_Detalhamento%20Resultados%20MMA-SMC%20v4%20AR5%20(18.10.24).xlsx&amp;action=default&amp;mobileredirect=true</t>
  </si>
  <si>
    <t>INCERTEZAS</t>
  </si>
  <si>
    <t xml:space="preserve">Setor </t>
  </si>
  <si>
    <t>Mínimo</t>
  </si>
  <si>
    <t>Máximo</t>
  </si>
  <si>
    <t xml:space="preserve">Racional </t>
  </si>
  <si>
    <t xml:space="preserve">Valores utilizados segundo proposta MMA </t>
  </si>
  <si>
    <t>RESULTADOS APÓS APLICAÇÃO DE INCERTEZA - ANO 2035</t>
  </si>
  <si>
    <t>Min</t>
  </si>
  <si>
    <t>Max</t>
  </si>
  <si>
    <t xml:space="preserve">PROPOSTA COMPATIBILIZAÇÃO META NDC </t>
  </si>
  <si>
    <t xml:space="preserve">Banda inferior </t>
  </si>
  <si>
    <t>Banda superior</t>
  </si>
  <si>
    <t>Unidade</t>
  </si>
  <si>
    <r>
      <t>MtCO</t>
    </r>
    <r>
      <rPr>
        <vertAlign val="subscript"/>
        <sz val="11"/>
        <color theme="1"/>
        <rFont val="Aptos Narrow"/>
        <family val="2"/>
        <scheme val="minor"/>
      </rPr>
      <t>2e</t>
    </r>
  </si>
  <si>
    <t xml:space="preserve">Fonte: Segunda NDC Brasileira </t>
  </si>
  <si>
    <t>LINK COM CENÁRIO MODELAGEM</t>
  </si>
  <si>
    <t>ANÁLISE AMBIÇÃO DA META SETORIAL</t>
  </si>
  <si>
    <t>Mt CO2e</t>
  </si>
  <si>
    <t>INFERIOR</t>
  </si>
  <si>
    <t>SUPERIOR</t>
  </si>
  <si>
    <t xml:space="preserve">Total </t>
  </si>
  <si>
    <t>total</t>
  </si>
  <si>
    <t>resultado soma</t>
  </si>
  <si>
    <t>TRF máx</t>
  </si>
  <si>
    <t>conta chegada</t>
  </si>
  <si>
    <t>MCI mín</t>
  </si>
  <si>
    <t>TRS mín</t>
  </si>
  <si>
    <t xml:space="preserve">RACIONAL </t>
  </si>
  <si>
    <t>TOTAL</t>
  </si>
  <si>
    <t>Florestas - líq</t>
  </si>
  <si>
    <t>soma emissões + remoções</t>
  </si>
  <si>
    <t xml:space="preserve">Florestas  - remoções </t>
  </si>
  <si>
    <t xml:space="preserve">ano mais recente LULUCF remoções (por áreas protegidas) + restauração proporcional racional áreas públicas e privadas  (PLANAVEG) </t>
  </si>
  <si>
    <t>Florestas - emissões</t>
  </si>
  <si>
    <t>emissões desmatamento ilegal virtualmente zeradas</t>
  </si>
  <si>
    <t>Agricultura e Pecuária - líq</t>
  </si>
  <si>
    <t>Agricultura e pecuária - remoção</t>
  </si>
  <si>
    <t>Remoções restantes - equivale ao percentual de remoções de restauração planejadas a acontecer em áreas privadas</t>
  </si>
  <si>
    <t>Agricultura e pecuária - emissão</t>
  </si>
  <si>
    <t>Energia (Geração)</t>
  </si>
  <si>
    <t>Transporte</t>
  </si>
  <si>
    <t>desagregado conforme histórico emissões</t>
  </si>
  <si>
    <t>Cidades</t>
  </si>
  <si>
    <t>TOTAL LÍQUIDO</t>
  </si>
  <si>
    <t>LULUCF</t>
  </si>
  <si>
    <r>
      <t xml:space="preserve">I. LULUCF </t>
    </r>
    <r>
      <rPr>
        <sz val="10"/>
        <rFont val="Aptos"/>
        <family val="2"/>
      </rPr>
      <t>- remoções</t>
    </r>
  </si>
  <si>
    <r>
      <t xml:space="preserve">I.LULUCF - </t>
    </r>
    <r>
      <rPr>
        <sz val="10"/>
        <rFont val="Aptos"/>
        <family val="2"/>
      </rPr>
      <t>em</t>
    </r>
    <r>
      <rPr>
        <b/>
        <sz val="10"/>
        <rFont val="Aptos"/>
        <family val="2"/>
      </rPr>
      <t>issões</t>
    </r>
  </si>
  <si>
    <t>AFOLU</t>
  </si>
  <si>
    <t>AFOLU - remoções</t>
  </si>
  <si>
    <t xml:space="preserve">AFOLU - emissões </t>
  </si>
  <si>
    <t>Transportes</t>
  </si>
  <si>
    <t>Fonte: BTR 1 / Planilha Alocação Final Emissões e Remoções</t>
  </si>
  <si>
    <t xml:space="preserve">AFOLU </t>
  </si>
  <si>
    <t>PROXY HISTÓRICO</t>
  </si>
  <si>
    <t>Área pública / LULUCF</t>
  </si>
  <si>
    <t>Área privada/ AGRI</t>
  </si>
  <si>
    <t>Racional</t>
  </si>
  <si>
    <t>Emissões</t>
  </si>
  <si>
    <t xml:space="preserve">Proxy / estimativa com base resultado proporção d área de desmatamento por categoria fundiária entre 2019 e 2022 no Brasil (Mapbiomas), quadro pág. 76. </t>
  </si>
  <si>
    <t>Remoções</t>
  </si>
  <si>
    <t>Proxy / estimativa com base no resultado Plano ABC+ 2021/22 (Plano ABC+)</t>
  </si>
  <si>
    <t xml:space="preserve">PROXY PROJEÇÃO </t>
  </si>
  <si>
    <t>Segue mesma lógica do histórico</t>
  </si>
  <si>
    <t>Com base no planejamento do Planaveg  2 Mha áreas públicas de 12 Mha &gt;&gt; melhor estimativa!</t>
  </si>
  <si>
    <t>TRANSP / MOBIL / CIDADES</t>
  </si>
  <si>
    <t xml:space="preserve">% Total </t>
  </si>
  <si>
    <t xml:space="preserve">Histórico </t>
  </si>
  <si>
    <t>desagregação subcategorias do inventário conforme dados fornecidos pelo MCTI</t>
  </si>
  <si>
    <t>Projeção</t>
  </si>
  <si>
    <t xml:space="preserve">Manutenção da proporção média &gt;&gt; encontrar melhor solução para projeção </t>
  </si>
  <si>
    <t xml:space="preserve">PONTOS EM ABERTO DA COMPATIBILIZAÇÃO </t>
  </si>
  <si>
    <t>% emissões queima de combustíveis no setor agropecuário</t>
  </si>
  <si>
    <t>Agicultura/Energia</t>
  </si>
  <si>
    <t>% emissões efluentes industriais</t>
  </si>
  <si>
    <t xml:space="preserve">Resíduos / Indústria </t>
  </si>
  <si>
    <t>% projeção cidades / transportes</t>
  </si>
  <si>
    <t>conta chegada referente à redução de emissões na atividade agropecuária, incluindo queima de combustíveis, e das taxas de desmatamento legal</t>
  </si>
  <si>
    <t>escopo indústria modelo BLUES  + águas residuárias industriais</t>
  </si>
  <si>
    <t>escopo energia modelo BLUES</t>
  </si>
  <si>
    <t>escopo resíduos BLUES - águas residuárias industriais</t>
  </si>
  <si>
    <t>Combustíveis na Agricultura</t>
  </si>
  <si>
    <t xml:space="preserve">Aplicação de média histórica 2012-2022 para estimar projeção de alocação entre Transportes, Cidades e Queima de combustíveis na agricultura, silvicultura, piscicultura e pesca </t>
  </si>
  <si>
    <t>Aplicação de média histórica 2012-2022 para estimar projeção de águas residuárias industriais</t>
  </si>
  <si>
    <t>Aplicação de média histórica 2012-2022 para estimar projeção de alocação entre mobilidade urbana, edificações e transporte</t>
  </si>
  <si>
    <t>Variação  (% a 2022)</t>
  </si>
  <si>
    <t>Variação (% a 2005)</t>
  </si>
  <si>
    <t>Variação (% a 2022)</t>
  </si>
  <si>
    <t>RESULTADO META SETORIAIS (AGREGADO)</t>
  </si>
  <si>
    <t>RESULTADO META SETORIAIS (DESAGREGADO)</t>
  </si>
  <si>
    <t>Emissões e Remoções
Ano base (2005)</t>
  </si>
  <si>
    <t>Emissões e Remoções
Ano base (2022)</t>
  </si>
  <si>
    <t xml:space="preserve">*****incluído PFM em Agricultura e Pecuária (52,050 em 2005 e 56,507 em 2022)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</si>
</sst>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9"/>
      <name val="Times New Roman"/>
      <family val="1"/>
    </font>
    <font>
      <b/>
      <sz val="10"/>
      <name val="Aptos"/>
      <family val="2"/>
    </font>
    <font>
      <sz val="10"/>
      <name val="Aptos"/>
      <family val="2"/>
    </font>
    <font>
      <sz val="11"/>
      <color theme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5" fillId="0" borderId="0" applyNumberFormat="0" applyFill="0" applyBorder="0" applyProtection="0">
      <alignment horizontal="left" vertical="center"/>
    </xf>
  </cellStyleXfs>
  <cellXfs count="116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5" xfId="0" applyBorder="1"/>
    <xf numFmtId="0" fontId="2" fillId="0" borderId="0" xfId="0" applyFont="1"/>
    <xf numFmtId="0" fontId="5" fillId="0" borderId="5" xfId="0" applyFont="1" applyBorder="1" applyAlignment="1">
      <alignment horizontal="center"/>
    </xf>
    <xf numFmtId="3" fontId="0" fillId="0" borderId="0" xfId="0" applyNumberFormat="1"/>
    <xf numFmtId="0" fontId="3" fillId="0" borderId="5" xfId="0" applyFont="1" applyBorder="1"/>
    <xf numFmtId="0" fontId="0" fillId="0" borderId="7" xfId="0" applyBorder="1"/>
    <xf numFmtId="0" fontId="3" fillId="0" borderId="7" xfId="0" applyFont="1" applyBorder="1"/>
    <xf numFmtId="0" fontId="0" fillId="4" borderId="5" xfId="0" applyFill="1" applyBorder="1"/>
    <xf numFmtId="0" fontId="8" fillId="3" borderId="5" xfId="0" applyFont="1" applyFill="1" applyBorder="1"/>
    <xf numFmtId="0" fontId="9" fillId="0" borderId="5" xfId="0" applyFont="1" applyBorder="1"/>
    <xf numFmtId="1" fontId="0" fillId="4" borderId="5" xfId="0" applyNumberFormat="1" applyFill="1" applyBorder="1"/>
    <xf numFmtId="1" fontId="3" fillId="4" borderId="5" xfId="0" applyNumberFormat="1" applyFont="1" applyFill="1" applyBorder="1"/>
    <xf numFmtId="165" fontId="9" fillId="0" borderId="5" xfId="1" applyNumberFormat="1" applyFont="1" applyBorder="1"/>
    <xf numFmtId="0" fontId="3" fillId="5" borderId="5" xfId="0" applyFont="1" applyFill="1" applyBorder="1"/>
    <xf numFmtId="0" fontId="0" fillId="5" borderId="5" xfId="0" applyFill="1" applyBorder="1"/>
    <xf numFmtId="0" fontId="7" fillId="5" borderId="5" xfId="0" applyFont="1" applyFill="1" applyBorder="1"/>
    <xf numFmtId="9" fontId="8" fillId="3" borderId="5" xfId="2" applyFont="1" applyFill="1" applyBorder="1"/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5" borderId="0" xfId="0" applyFill="1"/>
    <xf numFmtId="0" fontId="12" fillId="0" borderId="0" xfId="3"/>
    <xf numFmtId="0" fontId="0" fillId="5" borderId="5" xfId="0" applyFill="1" applyBorder="1" applyAlignment="1">
      <alignment horizontal="right"/>
    </xf>
    <xf numFmtId="9" fontId="0" fillId="5" borderId="5" xfId="0" applyNumberFormat="1" applyFill="1" applyBorder="1" applyAlignment="1">
      <alignment horizontal="right"/>
    </xf>
    <xf numFmtId="1" fontId="9" fillId="0" borderId="5" xfId="0" applyNumberFormat="1" applyFont="1" applyBorder="1"/>
    <xf numFmtId="1" fontId="13" fillId="0" borderId="5" xfId="0" applyNumberFormat="1" applyFont="1" applyBorder="1"/>
    <xf numFmtId="0" fontId="0" fillId="5" borderId="5" xfId="0" applyFill="1" applyBorder="1" applyAlignment="1">
      <alignment horizontal="left" indent="2"/>
    </xf>
    <xf numFmtId="0" fontId="0" fillId="5" borderId="5" xfId="0" applyFill="1" applyBorder="1" applyAlignment="1">
      <alignment horizontal="left" indent="3"/>
    </xf>
    <xf numFmtId="0" fontId="0" fillId="4" borderId="5" xfId="0" applyFill="1" applyBorder="1" applyAlignment="1">
      <alignment horizontal="center"/>
    </xf>
    <xf numFmtId="0" fontId="3" fillId="5" borderId="24" xfId="0" applyFont="1" applyFill="1" applyBorder="1" applyAlignment="1">
      <alignment horizontal="left" vertical="center"/>
    </xf>
    <xf numFmtId="0" fontId="0" fillId="5" borderId="25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1" fontId="9" fillId="0" borderId="14" xfId="0" applyNumberFormat="1" applyFont="1" applyBorder="1"/>
    <xf numFmtId="0" fontId="0" fillId="5" borderId="25" xfId="0" applyFill="1" applyBorder="1" applyAlignment="1">
      <alignment horizontal="left" indent="2"/>
    </xf>
    <xf numFmtId="165" fontId="4" fillId="5" borderId="15" xfId="1" applyNumberFormat="1" applyFont="1" applyFill="1" applyBorder="1" applyAlignment="1">
      <alignment horizontal="left"/>
    </xf>
    <xf numFmtId="165" fontId="4" fillId="5" borderId="14" xfId="1" applyNumberFormat="1" applyFont="1" applyFill="1" applyBorder="1" applyAlignment="1">
      <alignment horizontal="left"/>
    </xf>
    <xf numFmtId="1" fontId="9" fillId="6" borderId="5" xfId="0" applyNumberFormat="1" applyFont="1" applyFill="1" applyBorder="1"/>
    <xf numFmtId="1" fontId="9" fillId="0" borderId="4" xfId="0" applyNumberFormat="1" applyFont="1" applyBorder="1"/>
    <xf numFmtId="165" fontId="4" fillId="5" borderId="16" xfId="1" applyNumberFormat="1" applyFont="1" applyFill="1" applyBorder="1" applyAlignment="1">
      <alignment horizontal="left"/>
    </xf>
    <xf numFmtId="1" fontId="9" fillId="6" borderId="14" xfId="0" applyNumberFormat="1" applyFont="1" applyFill="1" applyBorder="1"/>
    <xf numFmtId="1" fontId="9" fillId="0" borderId="16" xfId="0" applyNumberFormat="1" applyFont="1" applyBorder="1"/>
    <xf numFmtId="1" fontId="9" fillId="0" borderId="2" xfId="0" applyNumberFormat="1" applyFont="1" applyBorder="1"/>
    <xf numFmtId="1" fontId="9" fillId="6" borderId="2" xfId="0" applyNumberFormat="1" applyFont="1" applyFill="1" applyBorder="1"/>
    <xf numFmtId="1" fontId="9" fillId="0" borderId="8" xfId="0" applyNumberFormat="1" applyFont="1" applyBorder="1"/>
    <xf numFmtId="165" fontId="4" fillId="5" borderId="17" xfId="1" applyNumberFormat="1" applyFont="1" applyFill="1" applyBorder="1" applyAlignment="1">
      <alignment horizontal="left"/>
    </xf>
    <xf numFmtId="0" fontId="3" fillId="5" borderId="25" xfId="0" applyFont="1" applyFill="1" applyBorder="1" applyAlignment="1">
      <alignment horizontal="left" vertical="center"/>
    </xf>
    <xf numFmtId="1" fontId="13" fillId="0" borderId="14" xfId="0" applyNumberFormat="1" applyFont="1" applyBorder="1"/>
    <xf numFmtId="1" fontId="13" fillId="0" borderId="2" xfId="0" applyNumberFormat="1" applyFont="1" applyBorder="1"/>
    <xf numFmtId="164" fontId="6" fillId="5" borderId="14" xfId="0" applyNumberFormat="1" applyFont="1" applyFill="1" applyBorder="1" applyAlignment="1">
      <alignment horizontal="left" vertical="center" wrapText="1"/>
    </xf>
    <xf numFmtId="164" fontId="6" fillId="5" borderId="15" xfId="0" applyNumberFormat="1" applyFont="1" applyFill="1" applyBorder="1" applyAlignment="1">
      <alignment horizontal="left" vertical="center" wrapText="1"/>
    </xf>
    <xf numFmtId="0" fontId="5" fillId="0" borderId="0" xfId="0" applyFont="1"/>
    <xf numFmtId="0" fontId="0" fillId="5" borderId="2" xfId="0" applyFill="1" applyBorder="1" applyAlignment="1">
      <alignment horizontal="left"/>
    </xf>
    <xf numFmtId="3" fontId="0" fillId="4" borderId="5" xfId="0" applyNumberFormat="1" applyFill="1" applyBorder="1"/>
    <xf numFmtId="0" fontId="0" fillId="5" borderId="12" xfId="0" applyFill="1" applyBorder="1" applyAlignment="1">
      <alignment vertical="center" wrapText="1"/>
    </xf>
    <xf numFmtId="3" fontId="3" fillId="4" borderId="5" xfId="0" applyNumberFormat="1" applyFont="1" applyFill="1" applyBorder="1"/>
    <xf numFmtId="3" fontId="3" fillId="4" borderId="4" xfId="0" applyNumberFormat="1" applyFont="1" applyFill="1" applyBorder="1"/>
    <xf numFmtId="0" fontId="0" fillId="5" borderId="11" xfId="0" applyFill="1" applyBorder="1" applyAlignment="1">
      <alignment vertical="center" wrapText="1"/>
    </xf>
    <xf numFmtId="3" fontId="3" fillId="4" borderId="14" xfId="0" applyNumberFormat="1" applyFont="1" applyFill="1" applyBorder="1"/>
    <xf numFmtId="3" fontId="0" fillId="4" borderId="14" xfId="0" applyNumberFormat="1" applyFill="1" applyBorder="1"/>
    <xf numFmtId="3" fontId="0" fillId="4" borderId="16" xfId="0" applyNumberFormat="1" applyFill="1" applyBorder="1"/>
    <xf numFmtId="3" fontId="0" fillId="4" borderId="9" xfId="0" applyNumberFormat="1" applyFill="1" applyBorder="1"/>
    <xf numFmtId="0" fontId="11" fillId="5" borderId="11" xfId="0" applyFont="1" applyFill="1" applyBorder="1" applyAlignment="1">
      <alignment horizontal="left" wrapText="1"/>
    </xf>
    <xf numFmtId="0" fontId="11" fillId="5" borderId="13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/>
    </xf>
    <xf numFmtId="0" fontId="0" fillId="5" borderId="2" xfId="0" applyFill="1" applyBorder="1" applyAlignment="1">
      <alignment horizontal="left" indent="3"/>
    </xf>
    <xf numFmtId="0" fontId="16" fillId="5" borderId="5" xfId="4" applyFont="1" applyFill="1" applyBorder="1" applyAlignment="1">
      <alignment horizontal="left" vertical="center" wrapText="1"/>
    </xf>
    <xf numFmtId="0" fontId="16" fillId="5" borderId="5" xfId="4" applyFont="1" applyFill="1" applyBorder="1" applyAlignment="1">
      <alignment horizontal="left" vertical="center" wrapText="1" indent="2"/>
    </xf>
    <xf numFmtId="0" fontId="2" fillId="2" borderId="0" xfId="0" applyFont="1" applyFill="1"/>
    <xf numFmtId="3" fontId="0" fillId="4" borderId="5" xfId="0" applyNumberFormat="1" applyFill="1" applyBorder="1" applyAlignment="1">
      <alignment horizontal="left"/>
    </xf>
    <xf numFmtId="3" fontId="0" fillId="4" borderId="5" xfId="0" applyNumberFormat="1" applyFill="1" applyBorder="1" applyAlignment="1">
      <alignment horizontal="left" indent="2"/>
    </xf>
    <xf numFmtId="3" fontId="0" fillId="4" borderId="5" xfId="0" applyNumberFormat="1" applyFill="1" applyBorder="1" applyAlignment="1">
      <alignment horizontal="left" indent="3"/>
    </xf>
    <xf numFmtId="0" fontId="3" fillId="0" borderId="4" xfId="0" applyFont="1" applyBorder="1"/>
    <xf numFmtId="3" fontId="3" fillId="5" borderId="14" xfId="0" applyNumberFormat="1" applyFont="1" applyFill="1" applyBorder="1" applyAlignment="1">
      <alignment horizontal="left" vertical="center" wrapText="1"/>
    </xf>
    <xf numFmtId="9" fontId="9" fillId="5" borderId="5" xfId="2" applyFont="1" applyFill="1" applyBorder="1" applyAlignment="1">
      <alignment horizontal="left"/>
    </xf>
    <xf numFmtId="9" fontId="9" fillId="5" borderId="15" xfId="2" applyFont="1" applyFill="1" applyBorder="1" applyAlignment="1">
      <alignment horizontal="left"/>
    </xf>
    <xf numFmtId="9" fontId="9" fillId="5" borderId="9" xfId="2" applyFont="1" applyFill="1" applyBorder="1" applyAlignment="1">
      <alignment horizontal="left"/>
    </xf>
    <xf numFmtId="9" fontId="9" fillId="5" borderId="17" xfId="2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9" fontId="8" fillId="3" borderId="5" xfId="0" applyNumberFormat="1" applyFont="1" applyFill="1" applyBorder="1"/>
    <xf numFmtId="0" fontId="2" fillId="2" borderId="0" xfId="0" applyFont="1" applyFill="1" applyAlignment="1"/>
    <xf numFmtId="0" fontId="11" fillId="5" borderId="25" xfId="0" applyFont="1" applyFill="1" applyBorder="1" applyAlignment="1">
      <alignment horizontal="left"/>
    </xf>
    <xf numFmtId="0" fontId="11" fillId="5" borderId="22" xfId="0" applyFont="1" applyFill="1" applyBorder="1" applyAlignment="1">
      <alignment horizontal="left"/>
    </xf>
    <xf numFmtId="0" fontId="10" fillId="5" borderId="25" xfId="0" applyFont="1" applyFill="1" applyBorder="1" applyAlignment="1">
      <alignment horizontal="left"/>
    </xf>
    <xf numFmtId="0" fontId="10" fillId="5" borderId="22" xfId="0" applyFont="1" applyFill="1" applyBorder="1" applyAlignment="1">
      <alignment horizontal="left"/>
    </xf>
    <xf numFmtId="0" fontId="0" fillId="5" borderId="1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11" fillId="5" borderId="24" xfId="0" applyFont="1" applyFill="1" applyBorder="1" applyAlignment="1">
      <alignment horizontal="left" wrapText="1"/>
    </xf>
    <xf numFmtId="0" fontId="11" fillId="5" borderId="2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0" fillId="5" borderId="11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1" fillId="3" borderId="5" xfId="2" applyFont="1" applyFill="1" applyBorder="1"/>
    <xf numFmtId="1" fontId="18" fillId="0" borderId="14" xfId="0" applyNumberFormat="1" applyFont="1" applyBorder="1"/>
    <xf numFmtId="1" fontId="18" fillId="0" borderId="15" xfId="0" applyNumberFormat="1" applyFont="1" applyBorder="1"/>
    <xf numFmtId="1" fontId="18" fillId="5" borderId="14" xfId="0" applyNumberFormat="1" applyFont="1" applyFill="1" applyBorder="1"/>
    <xf numFmtId="1" fontId="18" fillId="5" borderId="15" xfId="0" applyNumberFormat="1" applyFont="1" applyFill="1" applyBorder="1"/>
    <xf numFmtId="1" fontId="18" fillId="5" borderId="16" xfId="0" applyNumberFormat="1" applyFont="1" applyFill="1" applyBorder="1"/>
    <xf numFmtId="1" fontId="18" fillId="5" borderId="17" xfId="0" applyNumberFormat="1" applyFont="1" applyFill="1" applyBorder="1"/>
    <xf numFmtId="0" fontId="10" fillId="5" borderId="26" xfId="0" applyFont="1" applyFill="1" applyBorder="1" applyAlignment="1">
      <alignment horizontal="left"/>
    </xf>
    <xf numFmtId="0" fontId="10" fillId="5" borderId="23" xfId="0" applyFont="1" applyFill="1" applyBorder="1" applyAlignment="1">
      <alignment horizontal="left"/>
    </xf>
    <xf numFmtId="3" fontId="0" fillId="4" borderId="5" xfId="0" applyNumberFormat="1" applyFont="1" applyFill="1" applyBorder="1" applyAlignment="1">
      <alignment horizontal="left" indent="3"/>
    </xf>
    <xf numFmtId="3" fontId="0" fillId="4" borderId="5" xfId="0" applyNumberFormat="1" applyFont="1" applyFill="1" applyBorder="1" applyAlignment="1">
      <alignment horizontal="left" indent="2"/>
    </xf>
    <xf numFmtId="3" fontId="0" fillId="4" borderId="5" xfId="0" applyNumberFormat="1" applyFont="1" applyFill="1" applyBorder="1" applyAlignment="1">
      <alignment horizontal="left"/>
    </xf>
  </cellXfs>
  <cellStyles count="5">
    <cellStyle name="Hiperlink" xfId="3" builtinId="8"/>
    <cellStyle name="Normal" xfId="0" builtinId="0"/>
    <cellStyle name="Normal GHG Textfiels Bold" xfId="4" xr:uid="{939DFD89-E54D-44E6-AE93-8E4035C3ACB7}"/>
    <cellStyle name="Porcentagem" xfId="2" builtinId="5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nfccc.int/sites/default/files/2024-11/Brazil_Second%20Nationally%20Determined%20Contribution%20(NDC)_November2024.pdf?fbclid=PAZXh0bgNhZW0CMTEAAaaw3nFGcb1h196ET50xonRqmxcU2TeXdDW-qo2zVqwRIohFzxZ7gKAjARc_aem_GmETDEt8Qr8SF37LticLmw" TargetMode="External"/><Relationship Id="rId1" Type="http://schemas.openxmlformats.org/officeDocument/2006/relationships/hyperlink" Target="../../../../../../../../../../../../../../../../../../:x:/r/sites/DPMA/_layouts/15/Doc.aspx?sourcedoc=%7B5EA76364-BC29-46E9-872F-586FF79388D8%7D&amp;file=Planilha_Detalhamento%20Resultados%20MMA-SMC%20v4%20AR5%20(18.10.24)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B7DE-3331-474C-A2D9-72A45D0B28F0}">
  <dimension ref="B2:U131"/>
  <sheetViews>
    <sheetView showGridLines="0" tabSelected="1" zoomScale="90" zoomScaleNormal="90" workbookViewId="0">
      <pane ySplit="9" topLeftCell="A10" activePane="bottomLeft" state="frozen"/>
      <selection pane="bottomLeft" activeCell="I101" sqref="I101"/>
    </sheetView>
  </sheetViews>
  <sheetFormatPr defaultRowHeight="15" x14ac:dyDescent="0.25"/>
  <cols>
    <col min="2" max="2" width="33.5703125" customWidth="1"/>
    <col min="3" max="3" width="20.140625" customWidth="1"/>
    <col min="4" max="4" width="20.42578125" customWidth="1"/>
    <col min="5" max="5" width="16.5703125" customWidth="1"/>
    <col min="6" max="6" width="17.42578125" customWidth="1"/>
    <col min="7" max="11" width="15" customWidth="1"/>
    <col min="12" max="12" width="14" customWidth="1"/>
    <col min="13" max="13" width="15.42578125" customWidth="1"/>
    <col min="14" max="14" width="15.7109375" customWidth="1"/>
  </cols>
  <sheetData>
    <row r="2" spans="2:12" ht="15.75" thickBot="1" x14ac:dyDescent="0.3">
      <c r="B2" s="9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4" spans="2:12" x14ac:dyDescent="0.25">
      <c r="B4" s="10" t="s">
        <v>1</v>
      </c>
      <c r="C4" t="s">
        <v>2</v>
      </c>
    </row>
    <row r="5" spans="2:12" x14ac:dyDescent="0.25">
      <c r="B5" s="11" t="s">
        <v>3</v>
      </c>
      <c r="C5" t="s">
        <v>4</v>
      </c>
    </row>
    <row r="6" spans="2:12" x14ac:dyDescent="0.25">
      <c r="B6" s="12" t="s">
        <v>5</v>
      </c>
      <c r="C6" t="s">
        <v>6</v>
      </c>
    </row>
    <row r="7" spans="2:12" x14ac:dyDescent="0.25">
      <c r="B7" s="39" t="s">
        <v>7</v>
      </c>
      <c r="C7" t="s">
        <v>8</v>
      </c>
    </row>
    <row r="8" spans="2:12" ht="15.75" thickBot="1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10" spans="2:12" ht="15.75" thickBot="1" x14ac:dyDescent="0.3">
      <c r="B10" s="9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2" spans="2:12" x14ac:dyDescent="0.25">
      <c r="C12" s="92">
        <v>2035</v>
      </c>
      <c r="D12" s="101"/>
      <c r="E12" s="93"/>
    </row>
    <row r="13" spans="2:12" x14ac:dyDescent="0.25">
      <c r="B13" s="102" t="s">
        <v>10</v>
      </c>
      <c r="C13" s="102" t="s">
        <v>11</v>
      </c>
      <c r="D13" s="102" t="s">
        <v>12</v>
      </c>
      <c r="E13" s="102" t="s">
        <v>13</v>
      </c>
    </row>
    <row r="14" spans="2:12" x14ac:dyDescent="0.25">
      <c r="B14" s="103"/>
      <c r="C14" s="103"/>
      <c r="D14" s="103"/>
      <c r="E14" s="103"/>
    </row>
    <row r="15" spans="2:12" ht="45.75" customHeight="1" x14ac:dyDescent="0.25">
      <c r="B15" s="20" t="s">
        <v>14</v>
      </c>
      <c r="C15" s="21" t="s">
        <v>15</v>
      </c>
      <c r="D15" s="21" t="s">
        <v>16</v>
      </c>
      <c r="E15" s="21" t="s">
        <v>17</v>
      </c>
    </row>
    <row r="16" spans="2:12" x14ac:dyDescent="0.25">
      <c r="B16" s="16" t="s">
        <v>18</v>
      </c>
      <c r="C16" s="14">
        <v>968.24800000000005</v>
      </c>
      <c r="D16" s="14">
        <v>785.07500000000005</v>
      </c>
      <c r="E16" s="14">
        <v>632.78599999999994</v>
      </c>
    </row>
    <row r="17" spans="2:21" x14ac:dyDescent="0.25">
      <c r="B17" s="17" t="s">
        <v>19</v>
      </c>
      <c r="C17" s="13">
        <v>-43.033000000000001</v>
      </c>
      <c r="D17" s="13">
        <v>-304.45699999999999</v>
      </c>
      <c r="E17" s="13">
        <v>-464.077</v>
      </c>
      <c r="F17" s="2"/>
    </row>
    <row r="18" spans="2:21" x14ac:dyDescent="0.25">
      <c r="B18" s="17" t="s">
        <v>20</v>
      </c>
      <c r="C18" s="13">
        <v>-661.6</v>
      </c>
      <c r="D18" s="13">
        <v>-682.8</v>
      </c>
      <c r="E18" s="13">
        <v>-674.3</v>
      </c>
      <c r="F18" s="2"/>
      <c r="T18" s="4"/>
      <c r="U18" s="4"/>
    </row>
    <row r="19" spans="2:21" x14ac:dyDescent="0.25">
      <c r="B19" s="17" t="s">
        <v>21</v>
      </c>
      <c r="C19" s="13">
        <v>618.6</v>
      </c>
      <c r="D19" s="13">
        <v>378.3</v>
      </c>
      <c r="E19" s="13">
        <v>210.2</v>
      </c>
      <c r="F19" s="2"/>
    </row>
    <row r="20" spans="2:21" x14ac:dyDescent="0.25">
      <c r="B20" s="17" t="s">
        <v>22</v>
      </c>
      <c r="C20" s="13">
        <v>501.5</v>
      </c>
      <c r="D20" s="13">
        <v>507.7</v>
      </c>
      <c r="E20" s="13">
        <v>507.3</v>
      </c>
      <c r="F20" s="2"/>
    </row>
    <row r="21" spans="2:21" x14ac:dyDescent="0.25">
      <c r="B21" s="17" t="s">
        <v>23</v>
      </c>
      <c r="C21" s="13">
        <v>218.54400000000001</v>
      </c>
      <c r="D21" s="13">
        <v>229.828</v>
      </c>
      <c r="E21" s="13">
        <v>231.56700000000001</v>
      </c>
      <c r="F21" s="2"/>
    </row>
    <row r="22" spans="2:21" x14ac:dyDescent="0.25">
      <c r="B22" s="17" t="s">
        <v>24</v>
      </c>
      <c r="C22" s="13">
        <v>74.992999999999995</v>
      </c>
      <c r="D22" s="13">
        <v>106.104</v>
      </c>
      <c r="E22" s="13">
        <v>110.178</v>
      </c>
      <c r="F22" s="2"/>
    </row>
    <row r="23" spans="2:21" x14ac:dyDescent="0.25">
      <c r="B23" s="17" t="s">
        <v>25</v>
      </c>
      <c r="C23" s="13">
        <v>151.14400000000001</v>
      </c>
      <c r="D23" s="13">
        <v>176.7</v>
      </c>
      <c r="E23" s="13">
        <v>182.71899999999999</v>
      </c>
    </row>
    <row r="24" spans="2:21" x14ac:dyDescent="0.25">
      <c r="B24" s="17" t="s">
        <v>26</v>
      </c>
      <c r="C24" s="13">
        <v>65.099999999999994</v>
      </c>
      <c r="D24" s="13">
        <v>69.2</v>
      </c>
      <c r="E24" s="13">
        <v>65.099999999999994</v>
      </c>
    </row>
    <row r="25" spans="2:21" x14ac:dyDescent="0.25">
      <c r="B25" s="18" t="s">
        <v>27</v>
      </c>
      <c r="C25" s="15">
        <f>SUM(C20:C24)</f>
        <v>1011.2810000000001</v>
      </c>
      <c r="D25" s="15">
        <f>SUM(D20:D24)</f>
        <v>1089.5320000000002</v>
      </c>
      <c r="E25" s="15">
        <f>SUM(E20:E24)</f>
        <v>1096.8639999999998</v>
      </c>
    </row>
    <row r="26" spans="2:21" x14ac:dyDescent="0.25">
      <c r="B26" s="22" t="s">
        <v>28</v>
      </c>
      <c r="C26" s="23" t="s">
        <v>29</v>
      </c>
      <c r="D26" s="6"/>
      <c r="E26" s="6"/>
    </row>
    <row r="28" spans="2:21" ht="15.75" thickBot="1" x14ac:dyDescent="0.3">
      <c r="B28" s="9" t="s">
        <v>30</v>
      </c>
      <c r="C28" s="8"/>
      <c r="D28" s="8"/>
      <c r="E28" s="8"/>
    </row>
    <row r="32" spans="2:21" ht="15.75" x14ac:dyDescent="0.25">
      <c r="B32" s="1" t="s">
        <v>31</v>
      </c>
      <c r="C32" s="5" t="s">
        <v>32</v>
      </c>
      <c r="D32" s="5" t="s">
        <v>33</v>
      </c>
      <c r="E32" s="5" t="s">
        <v>34</v>
      </c>
    </row>
    <row r="33" spans="2:8" x14ac:dyDescent="0.25">
      <c r="B33" s="3" t="s">
        <v>19</v>
      </c>
      <c r="C33" s="19">
        <v>0.14000000000000001</v>
      </c>
      <c r="D33" s="104">
        <v>0.28000000000000003</v>
      </c>
      <c r="E33" s="3" t="s">
        <v>35</v>
      </c>
    </row>
    <row r="34" spans="2:8" x14ac:dyDescent="0.25">
      <c r="B34" s="28" t="s">
        <v>20</v>
      </c>
      <c r="C34" s="19">
        <f>C33</f>
        <v>0.14000000000000001</v>
      </c>
      <c r="D34" s="19">
        <v>0.25</v>
      </c>
      <c r="E34" s="3"/>
    </row>
    <row r="35" spans="2:8" x14ac:dyDescent="0.25">
      <c r="B35" s="28" t="s">
        <v>21</v>
      </c>
      <c r="C35" s="39"/>
      <c r="D35" s="39"/>
      <c r="E35" s="3"/>
    </row>
    <row r="36" spans="2:8" x14ac:dyDescent="0.25">
      <c r="B36" s="3" t="s">
        <v>22</v>
      </c>
      <c r="C36" s="19">
        <v>0.14000000000000001</v>
      </c>
      <c r="D36" s="19">
        <v>0.28000000000000003</v>
      </c>
      <c r="E36" s="3" t="s">
        <v>35</v>
      </c>
    </row>
    <row r="37" spans="2:8" x14ac:dyDescent="0.25">
      <c r="B37" s="3" t="s">
        <v>23</v>
      </c>
      <c r="C37" s="19">
        <v>0.08</v>
      </c>
      <c r="D37" s="19">
        <v>0.12</v>
      </c>
      <c r="E37" s="3" t="s">
        <v>35</v>
      </c>
    </row>
    <row r="38" spans="2:8" x14ac:dyDescent="0.25">
      <c r="B38" s="3" t="s">
        <v>24</v>
      </c>
      <c r="C38" s="19">
        <v>0.08</v>
      </c>
      <c r="D38" s="19">
        <v>0.12</v>
      </c>
      <c r="E38" s="3" t="s">
        <v>35</v>
      </c>
    </row>
    <row r="39" spans="2:8" x14ac:dyDescent="0.25">
      <c r="B39" s="3" t="s">
        <v>25</v>
      </c>
      <c r="C39" s="19">
        <v>0.08</v>
      </c>
      <c r="D39" s="19">
        <v>0.12</v>
      </c>
      <c r="E39" s="3" t="s">
        <v>35</v>
      </c>
    </row>
    <row r="40" spans="2:8" x14ac:dyDescent="0.25">
      <c r="B40" s="3" t="s">
        <v>26</v>
      </c>
      <c r="C40" s="19">
        <v>0.14000000000000001</v>
      </c>
      <c r="D40" s="19">
        <v>0.28000000000000003</v>
      </c>
      <c r="E40" s="3" t="s">
        <v>35</v>
      </c>
    </row>
    <row r="42" spans="2:8" ht="15.75" thickBot="1" x14ac:dyDescent="0.3">
      <c r="B42" s="9" t="s">
        <v>36</v>
      </c>
      <c r="C42" s="8"/>
      <c r="D42" s="8"/>
      <c r="E42" s="8"/>
      <c r="F42" s="8"/>
      <c r="G42" s="8"/>
      <c r="H42" s="8"/>
    </row>
    <row r="45" spans="2:8" x14ac:dyDescent="0.25">
      <c r="C45" s="92" t="s">
        <v>11</v>
      </c>
      <c r="D45" s="93"/>
      <c r="E45" s="92" t="s">
        <v>12</v>
      </c>
      <c r="F45" s="93"/>
      <c r="G45" s="92" t="s">
        <v>13</v>
      </c>
      <c r="H45" s="93"/>
    </row>
    <row r="46" spans="2:8" x14ac:dyDescent="0.25">
      <c r="C46" s="24" t="s">
        <v>37</v>
      </c>
      <c r="D46" s="25" t="s">
        <v>38</v>
      </c>
      <c r="E46" s="24" t="s">
        <v>37</v>
      </c>
      <c r="F46" s="25" t="s">
        <v>38</v>
      </c>
      <c r="G46" s="24" t="s">
        <v>37</v>
      </c>
      <c r="H46" s="25" t="s">
        <v>38</v>
      </c>
    </row>
    <row r="47" spans="2:8" x14ac:dyDescent="0.25">
      <c r="B47" s="16" t="s">
        <v>18</v>
      </c>
      <c r="C47" s="27">
        <f>SUM(C51:C55,C48)</f>
        <v>1089.1711</v>
      </c>
      <c r="D47" s="27">
        <f t="shared" ref="D47:H47" si="0">SUM(D51:D55,D48)</f>
        <v>1192.3069599999999</v>
      </c>
      <c r="E47" s="27">
        <f t="shared" si="0"/>
        <v>949.47553999999991</v>
      </c>
      <c r="F47" s="27">
        <f t="shared" si="0"/>
        <v>1093.3708000000001</v>
      </c>
      <c r="G47" s="27">
        <f t="shared" si="0"/>
        <v>819.85090000000002</v>
      </c>
      <c r="H47" s="27">
        <f t="shared" si="0"/>
        <v>985.93624</v>
      </c>
    </row>
    <row r="48" spans="2:8" x14ac:dyDescent="0.25">
      <c r="B48" s="17" t="s">
        <v>19</v>
      </c>
      <c r="C48" s="26">
        <f>IF($C17&gt;0,$C17*(1+$C33),$C17-($C17*(C$33)))</f>
        <v>-37.008380000000002</v>
      </c>
      <c r="D48" s="26">
        <f>IF($C17&gt;0,$C17*(1+$D33),$C17-($C17*(D$33)))</f>
        <v>-30.98376</v>
      </c>
      <c r="E48" s="26">
        <f>IF($D17&gt;0,$D17*(1+$C33),$D17-($D17*($C33)))</f>
        <v>-261.83301999999998</v>
      </c>
      <c r="F48" s="26">
        <f>IF($D17&gt;0,$D17*(1+$D33),$D17-($D17*($D33)))</f>
        <v>-219.20903999999999</v>
      </c>
      <c r="G48" s="26">
        <f>IF($E17&gt;0,$E17*(1+$C33),$E17-($E17*($C33)))</f>
        <v>-399.10622000000001</v>
      </c>
      <c r="H48" s="26">
        <f>IF($E17&gt;0,$E17*(1+$D33),$E17-($E17*($D33)))</f>
        <v>-334.13544000000002</v>
      </c>
    </row>
    <row r="49" spans="2:15" x14ac:dyDescent="0.25">
      <c r="B49" s="29" t="s">
        <v>20</v>
      </c>
      <c r="C49" s="26">
        <f>$C18-($C18*(C$33))</f>
        <v>-568.976</v>
      </c>
      <c r="D49" s="26">
        <f>$C18-($C18*(D$33))</f>
        <v>-476.35199999999998</v>
      </c>
      <c r="E49" s="26">
        <f>$D18-($D18*(C$34))</f>
        <v>-587.20799999999997</v>
      </c>
      <c r="F49" s="26">
        <f>$D18-($D18*(D$34))</f>
        <v>-512.09999999999991</v>
      </c>
      <c r="G49" s="26">
        <f>$E18-($E18*(C$34))</f>
        <v>-579.89799999999991</v>
      </c>
      <c r="H49" s="26">
        <f>$E18-($E18*(D$34))</f>
        <v>-505.72499999999997</v>
      </c>
    </row>
    <row r="50" spans="2:15" x14ac:dyDescent="0.25">
      <c r="B50" s="29" t="s">
        <v>21</v>
      </c>
      <c r="C50" s="39">
        <f>C48-C49</f>
        <v>531.96762000000001</v>
      </c>
      <c r="D50" s="39">
        <f t="shared" ref="D50:H50" si="1">D48-D49</f>
        <v>445.36823999999996</v>
      </c>
      <c r="E50" s="39">
        <f t="shared" si="1"/>
        <v>325.37497999999999</v>
      </c>
      <c r="F50" s="39">
        <f t="shared" si="1"/>
        <v>292.89095999999995</v>
      </c>
      <c r="G50" s="39">
        <f t="shared" si="1"/>
        <v>180.7917799999999</v>
      </c>
      <c r="H50" s="39">
        <f t="shared" si="1"/>
        <v>171.58955999999995</v>
      </c>
    </row>
    <row r="51" spans="2:15" x14ac:dyDescent="0.25">
      <c r="B51" s="17" t="s">
        <v>22</v>
      </c>
      <c r="C51" s="26">
        <f>IF($C20&gt;0,$C20*(1+$C36),$C20-($C20*(C$33)))</f>
        <v>571.71</v>
      </c>
      <c r="D51" s="26">
        <f>IF($C20&gt;0,$C20*(1+$D36),$C20-($C20*(D$33)))</f>
        <v>641.91999999999996</v>
      </c>
      <c r="E51" s="26">
        <f t="shared" ref="E51:E55" si="2">IF($D20&gt;0,$D20*(1+$C36),$D20-($D20*($C36)))</f>
        <v>578.77800000000002</v>
      </c>
      <c r="F51" s="26">
        <f t="shared" ref="F51:F55" si="3">IF($D20&gt;0,$D20*(1+$D36),$D20-($D20*($D36)))</f>
        <v>649.85599999999999</v>
      </c>
      <c r="G51" s="26">
        <f t="shared" ref="G51:G55" si="4">IF($E20&gt;0,$E20*(1+$C36),$E20-($E20*($C36)))</f>
        <v>578.32200000000012</v>
      </c>
      <c r="H51" s="26">
        <f t="shared" ref="H51:H55" si="5">IF($E20&gt;0,$E20*(1+$D36),$E20-($E20*($D36)))</f>
        <v>649.34400000000005</v>
      </c>
    </row>
    <row r="52" spans="2:15" x14ac:dyDescent="0.25">
      <c r="B52" s="17" t="s">
        <v>23</v>
      </c>
      <c r="C52" s="26">
        <f>IF($C21&gt;0,$C21*(1+$C37),$C21-($C21*(C$33)))</f>
        <v>236.02752000000004</v>
      </c>
      <c r="D52" s="26">
        <f>IF($C21&gt;0,$C21*(1+$D37),$C21-($C21*(D$33)))</f>
        <v>244.76928000000004</v>
      </c>
      <c r="E52" s="26">
        <f t="shared" si="2"/>
        <v>248.21424000000002</v>
      </c>
      <c r="F52" s="26">
        <f t="shared" si="3"/>
        <v>257.40736000000004</v>
      </c>
      <c r="G52" s="26">
        <f t="shared" si="4"/>
        <v>250.09236000000001</v>
      </c>
      <c r="H52" s="26">
        <f t="shared" si="5"/>
        <v>259.35504000000003</v>
      </c>
    </row>
    <row r="53" spans="2:15" x14ac:dyDescent="0.25">
      <c r="B53" s="17" t="s">
        <v>24</v>
      </c>
      <c r="C53" s="26">
        <f>IF($C22&gt;0,$C22*(1+$C38),$C22-($C22*(C$33)))</f>
        <v>80.992440000000002</v>
      </c>
      <c r="D53" s="26">
        <f>IF($C22&gt;0,$C22*(1+$D38),$C22-($C22*(D$33)))</f>
        <v>83.992159999999998</v>
      </c>
      <c r="E53" s="26">
        <f t="shared" si="2"/>
        <v>114.59232</v>
      </c>
      <c r="F53" s="26">
        <f t="shared" si="3"/>
        <v>118.83648000000001</v>
      </c>
      <c r="G53" s="26">
        <f t="shared" si="4"/>
        <v>118.99224000000001</v>
      </c>
      <c r="H53" s="26">
        <f t="shared" si="5"/>
        <v>123.39936000000002</v>
      </c>
    </row>
    <row r="54" spans="2:15" x14ac:dyDescent="0.25">
      <c r="B54" s="17" t="s">
        <v>25</v>
      </c>
      <c r="C54" s="26">
        <f>IF($C23&gt;0,$C23*(1+$C39),$C23-($C23*(C$33)))</f>
        <v>163.23552000000001</v>
      </c>
      <c r="D54" s="26">
        <f>IF($C23&gt;0,$C23*(1+$D39),$C23-($C23*(D$33)))</f>
        <v>169.28128000000001</v>
      </c>
      <c r="E54" s="26">
        <f t="shared" si="2"/>
        <v>190.83600000000001</v>
      </c>
      <c r="F54" s="26">
        <f t="shared" si="3"/>
        <v>197.904</v>
      </c>
      <c r="G54" s="26">
        <f t="shared" si="4"/>
        <v>197.33652000000001</v>
      </c>
      <c r="H54" s="26">
        <f t="shared" si="5"/>
        <v>204.64528000000001</v>
      </c>
    </row>
    <row r="55" spans="2:15" x14ac:dyDescent="0.25">
      <c r="B55" s="17" t="s">
        <v>26</v>
      </c>
      <c r="C55" s="26">
        <f>IF($C24&gt;0,$C24*(1+$C40),$C24-($C24*(C$33)))</f>
        <v>74.213999999999999</v>
      </c>
      <c r="D55" s="26">
        <f>IF($C24&gt;0,$C24*(1+$D40),$C24-($C24*(D$33)))</f>
        <v>83.327999999999989</v>
      </c>
      <c r="E55" s="26">
        <f t="shared" si="2"/>
        <v>78.888000000000005</v>
      </c>
      <c r="F55" s="26">
        <f t="shared" si="3"/>
        <v>88.576000000000008</v>
      </c>
      <c r="G55" s="26">
        <f t="shared" si="4"/>
        <v>74.213999999999999</v>
      </c>
      <c r="H55" s="26">
        <f t="shared" si="5"/>
        <v>83.327999999999989</v>
      </c>
    </row>
    <row r="58" spans="2:15" ht="15.75" thickBot="1" x14ac:dyDescent="0.3">
      <c r="B58" s="9" t="s">
        <v>39</v>
      </c>
      <c r="C58" s="8"/>
      <c r="D58" s="8"/>
      <c r="E58" s="8"/>
      <c r="F58" s="8"/>
      <c r="G58" s="8"/>
      <c r="H58" s="8"/>
    </row>
    <row r="60" spans="2:15" x14ac:dyDescent="0.25">
      <c r="B60" s="7" t="s">
        <v>40</v>
      </c>
      <c r="C60" s="7" t="s">
        <v>41</v>
      </c>
      <c r="D60" s="3" t="s">
        <v>42</v>
      </c>
    </row>
    <row r="61" spans="2:15" ht="18" x14ac:dyDescent="0.35">
      <c r="B61" s="30">
        <v>850</v>
      </c>
      <c r="C61" s="30">
        <v>1050</v>
      </c>
      <c r="D61" s="3" t="s">
        <v>43</v>
      </c>
    </row>
    <row r="62" spans="2:15" x14ac:dyDescent="0.25">
      <c r="B62" s="23" t="s">
        <v>44</v>
      </c>
    </row>
    <row r="63" spans="2:15" ht="15.75" thickBot="1" x14ac:dyDescent="0.3"/>
    <row r="64" spans="2:15" ht="16.5" thickBot="1" x14ac:dyDescent="0.3">
      <c r="C64" s="94" t="s">
        <v>117</v>
      </c>
      <c r="D64" s="95"/>
      <c r="E64" s="94" t="s">
        <v>45</v>
      </c>
      <c r="F64" s="96"/>
      <c r="G64" s="94" t="s">
        <v>46</v>
      </c>
      <c r="H64" s="95"/>
      <c r="I64" s="95"/>
      <c r="J64" s="95"/>
      <c r="K64" s="95"/>
      <c r="L64" s="96"/>
      <c r="O64" s="53"/>
    </row>
    <row r="65" spans="2:12" ht="43.5" customHeight="1" thickBot="1" x14ac:dyDescent="0.3">
      <c r="B65" s="31" t="s">
        <v>47</v>
      </c>
      <c r="C65" s="64" t="s">
        <v>48</v>
      </c>
      <c r="D65" s="65" t="s">
        <v>49</v>
      </c>
      <c r="E65" s="64" t="s">
        <v>48</v>
      </c>
      <c r="F65" s="65" t="s">
        <v>49</v>
      </c>
      <c r="G65" s="59" t="s">
        <v>119</v>
      </c>
      <c r="H65" s="56" t="s">
        <v>120</v>
      </c>
      <c r="I65" s="88" t="s">
        <v>115</v>
      </c>
      <c r="J65" s="88"/>
      <c r="K65" s="88" t="s">
        <v>116</v>
      </c>
      <c r="L65" s="89"/>
    </row>
    <row r="66" spans="2:12" ht="21" customHeight="1" x14ac:dyDescent="0.25">
      <c r="B66" s="48" t="s">
        <v>50</v>
      </c>
      <c r="C66" s="49">
        <f>B61</f>
        <v>850</v>
      </c>
      <c r="D66" s="50">
        <f>C61</f>
        <v>1050</v>
      </c>
      <c r="E66" s="51" t="s">
        <v>51</v>
      </c>
      <c r="F66" s="52" t="s">
        <v>51</v>
      </c>
      <c r="G66" s="60">
        <f>SUM(G68:G74)</f>
        <v>2561.576</v>
      </c>
      <c r="H66" s="57">
        <f>SUM(H68:H74)</f>
        <v>2039.0117749659598</v>
      </c>
      <c r="I66" s="64" t="s">
        <v>48</v>
      </c>
      <c r="J66" s="65" t="s">
        <v>49</v>
      </c>
      <c r="K66" s="64" t="s">
        <v>48</v>
      </c>
      <c r="L66" s="65" t="s">
        <v>49</v>
      </c>
    </row>
    <row r="67" spans="2:12" x14ac:dyDescent="0.25">
      <c r="B67" s="32" t="s">
        <v>19</v>
      </c>
      <c r="C67" s="35">
        <f>SUM(C68:C69)</f>
        <v>-276.17948000000007</v>
      </c>
      <c r="D67" s="44">
        <f>SUM(D68:D69)</f>
        <v>-161.30856</v>
      </c>
      <c r="E67" s="38" t="s">
        <v>52</v>
      </c>
      <c r="F67" s="37" t="s">
        <v>52</v>
      </c>
      <c r="G67" s="61">
        <f>SUM(G68:G69)</f>
        <v>1567</v>
      </c>
      <c r="H67" s="55">
        <f>SUM(H68:H69)</f>
        <v>799.8</v>
      </c>
      <c r="I67" s="76">
        <f t="shared" ref="I67:J74" si="6">(C67-$G67)/$G67</f>
        <v>-1.1762472750478621</v>
      </c>
      <c r="J67" s="76">
        <f t="shared" si="6"/>
        <v>-1.1029410082961071</v>
      </c>
      <c r="K67" s="76">
        <f t="shared" ref="K67:L74" si="7">(C67-$H67)/$H67</f>
        <v>-1.3453106776694175</v>
      </c>
      <c r="L67" s="77">
        <f t="shared" si="7"/>
        <v>-1.2016861215303825</v>
      </c>
    </row>
    <row r="68" spans="2:12" x14ac:dyDescent="0.25">
      <c r="B68" s="36" t="s">
        <v>20</v>
      </c>
      <c r="C68" s="35">
        <f>H49</f>
        <v>-505.72499999999997</v>
      </c>
      <c r="D68" s="44">
        <f>H49</f>
        <v>-505.72499999999997</v>
      </c>
      <c r="E68" s="38" t="s">
        <v>53</v>
      </c>
      <c r="F68" s="37" t="s">
        <v>53</v>
      </c>
      <c r="G68" s="61">
        <v>-323</v>
      </c>
      <c r="H68" s="55">
        <v>-369</v>
      </c>
      <c r="I68" s="76">
        <f t="shared" si="6"/>
        <v>0.56571207430340542</v>
      </c>
      <c r="J68" s="76">
        <f t="shared" si="6"/>
        <v>0.56571207430340542</v>
      </c>
      <c r="K68" s="76">
        <f t="shared" si="7"/>
        <v>0.37052845528455275</v>
      </c>
      <c r="L68" s="77">
        <f t="shared" si="7"/>
        <v>0.37052845528455275</v>
      </c>
    </row>
    <row r="69" spans="2:12" x14ac:dyDescent="0.25">
      <c r="B69" s="36" t="s">
        <v>21</v>
      </c>
      <c r="C69" s="42">
        <f>C66-C68-SUM(C70:C74)</f>
        <v>229.5455199999999</v>
      </c>
      <c r="D69" s="45">
        <f>D66-D68-SUM(D70:D74)</f>
        <v>344.41643999999997</v>
      </c>
      <c r="E69" s="38" t="s">
        <v>54</v>
      </c>
      <c r="F69" s="37" t="s">
        <v>54</v>
      </c>
      <c r="G69" s="61">
        <v>1890</v>
      </c>
      <c r="H69" s="55">
        <v>1168.8</v>
      </c>
      <c r="I69" s="76">
        <f t="shared" si="6"/>
        <v>-0.87854734391534395</v>
      </c>
      <c r="J69" s="76">
        <f t="shared" si="6"/>
        <v>-0.81776907936507937</v>
      </c>
      <c r="K69" s="76">
        <f t="shared" si="7"/>
        <v>-0.80360581793292274</v>
      </c>
      <c r="L69" s="77">
        <f t="shared" si="7"/>
        <v>-0.70532474332648876</v>
      </c>
    </row>
    <row r="70" spans="2:12" ht="16.5" customHeight="1" x14ac:dyDescent="0.25">
      <c r="B70" s="32" t="s">
        <v>22</v>
      </c>
      <c r="C70" s="35">
        <f>C51</f>
        <v>571.71</v>
      </c>
      <c r="D70" s="44">
        <f>E51</f>
        <v>578.77800000000002</v>
      </c>
      <c r="E70" s="38" t="s">
        <v>55</v>
      </c>
      <c r="F70" s="37" t="s">
        <v>56</v>
      </c>
      <c r="G70" s="61">
        <v>536.024</v>
      </c>
      <c r="H70" s="55">
        <v>643.24237509453303</v>
      </c>
      <c r="I70" s="76">
        <f t="shared" si="6"/>
        <v>6.6575377221915505E-2</v>
      </c>
      <c r="J70" s="76">
        <f t="shared" si="6"/>
        <v>7.976135396922529E-2</v>
      </c>
      <c r="K70" s="76">
        <f t="shared" si="7"/>
        <v>-0.11120594330250765</v>
      </c>
      <c r="L70" s="77">
        <f t="shared" si="7"/>
        <v>-0.1002178612456294</v>
      </c>
    </row>
    <row r="71" spans="2:12" x14ac:dyDescent="0.25">
      <c r="B71" s="32" t="s">
        <v>23</v>
      </c>
      <c r="C71" s="35">
        <f t="shared" ref="C71:C73" si="8">C52</f>
        <v>236.02752000000004</v>
      </c>
      <c r="D71" s="44">
        <f>E52</f>
        <v>248.21424000000002</v>
      </c>
      <c r="E71" s="38" t="s">
        <v>55</v>
      </c>
      <c r="F71" s="37" t="s">
        <v>56</v>
      </c>
      <c r="G71" s="61">
        <v>154.70099999999999</v>
      </c>
      <c r="H71" s="55">
        <v>178.535304637195</v>
      </c>
      <c r="I71" s="76">
        <f t="shared" si="6"/>
        <v>0.52570132061201957</v>
      </c>
      <c r="J71" s="76">
        <f t="shared" si="6"/>
        <v>0.60447728198266348</v>
      </c>
      <c r="K71" s="76">
        <f t="shared" si="7"/>
        <v>0.3220215490691663</v>
      </c>
      <c r="L71" s="77">
        <f t="shared" si="7"/>
        <v>0.39028098954658247</v>
      </c>
    </row>
    <row r="72" spans="2:12" x14ac:dyDescent="0.25">
      <c r="B72" s="32" t="s">
        <v>24</v>
      </c>
      <c r="C72" s="35">
        <f t="shared" si="8"/>
        <v>80.992440000000002</v>
      </c>
      <c r="D72" s="44">
        <f t="shared" ref="D72:D74" si="9">E53</f>
        <v>114.59232</v>
      </c>
      <c r="E72" s="38" t="s">
        <v>55</v>
      </c>
      <c r="F72" s="37" t="s">
        <v>56</v>
      </c>
      <c r="G72" s="61">
        <v>65.051000000000002</v>
      </c>
      <c r="H72" s="55">
        <v>80.158000000000001</v>
      </c>
      <c r="I72" s="76">
        <f t="shared" si="6"/>
        <v>0.24506064472490816</v>
      </c>
      <c r="J72" s="76">
        <f t="shared" si="6"/>
        <v>0.76157660912207337</v>
      </c>
      <c r="K72" s="76">
        <f t="shared" si="7"/>
        <v>1.0409940367773656E-2</v>
      </c>
      <c r="L72" s="77">
        <f t="shared" si="7"/>
        <v>0.42958057835774344</v>
      </c>
    </row>
    <row r="73" spans="2:12" x14ac:dyDescent="0.25">
      <c r="B73" s="32" t="s">
        <v>25</v>
      </c>
      <c r="C73" s="35">
        <f t="shared" si="8"/>
        <v>163.23552000000001</v>
      </c>
      <c r="D73" s="44">
        <f t="shared" si="9"/>
        <v>190.83600000000001</v>
      </c>
      <c r="E73" s="38" t="s">
        <v>55</v>
      </c>
      <c r="F73" s="37" t="s">
        <v>56</v>
      </c>
      <c r="G73" s="61">
        <v>177</v>
      </c>
      <c r="H73" s="55">
        <v>252.360710586105</v>
      </c>
      <c r="I73" s="76">
        <f t="shared" si="6"/>
        <v>-7.776542372881351E-2</v>
      </c>
      <c r="J73" s="76">
        <f t="shared" si="6"/>
        <v>7.8169491525423795E-2</v>
      </c>
      <c r="K73" s="76">
        <f t="shared" si="7"/>
        <v>-0.35316587268720517</v>
      </c>
      <c r="L73" s="77">
        <f t="shared" si="7"/>
        <v>-0.24379670846232171</v>
      </c>
    </row>
    <row r="74" spans="2:12" ht="15.75" thickBot="1" x14ac:dyDescent="0.3">
      <c r="B74" s="33" t="s">
        <v>26</v>
      </c>
      <c r="C74" s="43">
        <f>C55</f>
        <v>74.213999999999999</v>
      </c>
      <c r="D74" s="46">
        <f t="shared" si="9"/>
        <v>78.888000000000005</v>
      </c>
      <c r="E74" s="41" t="s">
        <v>55</v>
      </c>
      <c r="F74" s="47" t="s">
        <v>56</v>
      </c>
      <c r="G74" s="62">
        <v>61.8</v>
      </c>
      <c r="H74" s="63">
        <v>84.915384648127301</v>
      </c>
      <c r="I74" s="78">
        <f t="shared" si="6"/>
        <v>0.20087378640776701</v>
      </c>
      <c r="J74" s="78">
        <f t="shared" si="6"/>
        <v>0.27650485436893218</v>
      </c>
      <c r="K74" s="78">
        <f t="shared" si="7"/>
        <v>-0.12602409672254022</v>
      </c>
      <c r="L74" s="79">
        <f t="shared" si="7"/>
        <v>-7.0981067483867566E-2</v>
      </c>
    </row>
    <row r="75" spans="2:12" ht="19.5" customHeight="1" x14ac:dyDescent="0.25">
      <c r="B75" s="34" t="s">
        <v>27</v>
      </c>
      <c r="C75" s="40">
        <f>SUM(C70:C74)</f>
        <v>1126.17948</v>
      </c>
      <c r="D75" s="40">
        <f>SUM(D70:D74)</f>
        <v>1211.3085599999999</v>
      </c>
      <c r="F75" s="34" t="s">
        <v>27</v>
      </c>
      <c r="G75" s="58">
        <f>SUM(G70:G74)</f>
        <v>994.57600000000002</v>
      </c>
      <c r="H75" s="58">
        <f>SUM(H70:H74)</f>
        <v>1239.2117749659603</v>
      </c>
    </row>
    <row r="77" spans="2:12" ht="15.75" thickBot="1" x14ac:dyDescent="0.3"/>
    <row r="78" spans="2:12" ht="27" customHeight="1" thickBot="1" x14ac:dyDescent="0.3">
      <c r="C78" s="94" t="s">
        <v>118</v>
      </c>
      <c r="D78" s="96"/>
      <c r="E78" s="97" t="s">
        <v>57</v>
      </c>
      <c r="F78" s="98"/>
      <c r="G78" s="99" t="s">
        <v>119</v>
      </c>
      <c r="H78" s="99" t="s">
        <v>120</v>
      </c>
      <c r="I78" s="88" t="s">
        <v>115</v>
      </c>
      <c r="J78" s="88"/>
      <c r="K78" s="88" t="s">
        <v>114</v>
      </c>
      <c r="L78" s="89"/>
    </row>
    <row r="79" spans="2:12" ht="14.25" customHeight="1" x14ac:dyDescent="0.25">
      <c r="B79" s="54" t="s">
        <v>47</v>
      </c>
      <c r="C79" s="64" t="s">
        <v>48</v>
      </c>
      <c r="D79" s="65" t="s">
        <v>49</v>
      </c>
      <c r="E79" s="90"/>
      <c r="F79" s="91"/>
      <c r="G79" s="100"/>
      <c r="H79" s="100"/>
      <c r="I79" s="64" t="s">
        <v>48</v>
      </c>
      <c r="J79" s="65" t="s">
        <v>49</v>
      </c>
      <c r="K79" s="64" t="s">
        <v>48</v>
      </c>
      <c r="L79" s="65" t="s">
        <v>49</v>
      </c>
    </row>
    <row r="80" spans="2:12" x14ac:dyDescent="0.25">
      <c r="B80" s="66" t="s">
        <v>58</v>
      </c>
      <c r="C80" s="49">
        <f>SUM(C81,C84,C87:C91)</f>
        <v>849.79355999999996</v>
      </c>
      <c r="D80" s="49">
        <f>SUM(D81,D84,D87:D91)</f>
        <v>1050.3054400000001</v>
      </c>
      <c r="E80" s="84" t="s">
        <v>51</v>
      </c>
      <c r="F80" s="85"/>
      <c r="G80" s="75">
        <f>SUM(G81,G84,G87:G91)</f>
        <v>2561.2457027315186</v>
      </c>
      <c r="H80" s="75">
        <f>SUM(H81,H84,H87:H91)</f>
        <v>2039.236304679351</v>
      </c>
      <c r="I80" s="76">
        <f t="shared" ref="I80:J91" si="10">(C80-$G80)/$G80</f>
        <v>-0.66821084010264542</v>
      </c>
      <c r="J80" s="76">
        <f t="shared" si="10"/>
        <v>-0.58992398156886316</v>
      </c>
      <c r="K80" s="76">
        <f t="shared" ref="K80:L91" si="11">(C80-$H80)/$H80</f>
        <v>-0.58327852537245739</v>
      </c>
      <c r="L80" s="77">
        <f t="shared" si="11"/>
        <v>-0.4849515783973109</v>
      </c>
    </row>
    <row r="81" spans="2:12" x14ac:dyDescent="0.25">
      <c r="B81" s="54" t="s">
        <v>59</v>
      </c>
      <c r="C81" s="105">
        <f>SUM(C82:C83)</f>
        <v>-339.78220569551297</v>
      </c>
      <c r="D81" s="106">
        <f>SUM(D82:D83)</f>
        <v>-339.78220569551297</v>
      </c>
      <c r="E81" s="84" t="s">
        <v>60</v>
      </c>
      <c r="F81" s="85"/>
      <c r="G81" s="71">
        <f>SUM(G82:G83)</f>
        <v>41.477197035724885</v>
      </c>
      <c r="H81" s="71">
        <f>SUM(H82:H83)</f>
        <v>-108.0748843028162</v>
      </c>
      <c r="I81" s="76">
        <f t="shared" si="10"/>
        <v>-9.1920242923564448</v>
      </c>
      <c r="J81" s="76">
        <f t="shared" si="10"/>
        <v>-9.1920242923564448</v>
      </c>
      <c r="K81" s="76">
        <f t="shared" si="11"/>
        <v>2.1439516025154695</v>
      </c>
      <c r="L81" s="77">
        <f t="shared" si="11"/>
        <v>2.1439516025154695</v>
      </c>
    </row>
    <row r="82" spans="2:12" x14ac:dyDescent="0.25">
      <c r="B82" s="67" t="s">
        <v>61</v>
      </c>
      <c r="C82" s="107">
        <f>H82+(C68-H82)*$C$119</f>
        <v>-339.78220569551297</v>
      </c>
      <c r="D82" s="108">
        <f>C82</f>
        <v>-339.78220569551297</v>
      </c>
      <c r="E82" s="86" t="s">
        <v>62</v>
      </c>
      <c r="F82" s="87"/>
      <c r="G82" s="113">
        <f>C97+C115*($C$101+52)</f>
        <v>-259.66596356755429</v>
      </c>
      <c r="H82" s="114">
        <f>D97+$C$115*(D101+57)</f>
        <v>-305.79392252471445</v>
      </c>
      <c r="I82" s="76">
        <f t="shared" si="10"/>
        <v>0.30853578585056168</v>
      </c>
      <c r="J82" s="76">
        <f t="shared" si="10"/>
        <v>0.30853578585056168</v>
      </c>
      <c r="K82" s="76">
        <f t="shared" si="11"/>
        <v>0.11114767386540055</v>
      </c>
      <c r="L82" s="77">
        <f t="shared" si="11"/>
        <v>0.11114767386540055</v>
      </c>
    </row>
    <row r="83" spans="2:12" ht="15.75" customHeight="1" x14ac:dyDescent="0.25">
      <c r="B83" s="67" t="s">
        <v>63</v>
      </c>
      <c r="C83" s="107">
        <v>0</v>
      </c>
      <c r="D83" s="108">
        <f>C83</f>
        <v>0</v>
      </c>
      <c r="E83" s="86" t="s">
        <v>64</v>
      </c>
      <c r="F83" s="87"/>
      <c r="G83" s="113">
        <f>C98+C102*$C$114</f>
        <v>301.14316060327917</v>
      </c>
      <c r="H83" s="114">
        <f>D98+D102*$C$114</f>
        <v>197.71903822189824</v>
      </c>
      <c r="I83" s="76">
        <f t="shared" si="10"/>
        <v>-1</v>
      </c>
      <c r="J83" s="76">
        <f t="shared" si="10"/>
        <v>-1</v>
      </c>
      <c r="K83" s="76">
        <f t="shared" si="11"/>
        <v>-1</v>
      </c>
      <c r="L83" s="76">
        <f t="shared" si="11"/>
        <v>-1</v>
      </c>
    </row>
    <row r="84" spans="2:12" ht="15" customHeight="1" x14ac:dyDescent="0.25">
      <c r="B84" s="54" t="s">
        <v>65</v>
      </c>
      <c r="C84" s="107">
        <f>SUM(C85:C86)</f>
        <v>648.37156729551293</v>
      </c>
      <c r="D84" s="108">
        <f>SUM(D85:D86)</f>
        <v>772.51852569551306</v>
      </c>
      <c r="E84" s="84" t="s">
        <v>60</v>
      </c>
      <c r="F84" s="85"/>
      <c r="G84" s="115">
        <f>SUM(G85:G86)</f>
        <v>2061.1932292352544</v>
      </c>
      <c r="H84" s="115">
        <f>SUM(H85:H86)</f>
        <v>1551.3415572334386</v>
      </c>
      <c r="I84" s="76">
        <f t="shared" si="10"/>
        <v>-0.68543872641379078</v>
      </c>
      <c r="J84" s="76">
        <f t="shared" si="10"/>
        <v>-0.62520810046415032</v>
      </c>
      <c r="K84" s="76">
        <f t="shared" si="11"/>
        <v>-0.58205750095950726</v>
      </c>
      <c r="L84" s="77">
        <f t="shared" si="11"/>
        <v>-0.50203195286460822</v>
      </c>
    </row>
    <row r="85" spans="2:12" ht="15" customHeight="1" x14ac:dyDescent="0.25">
      <c r="B85" s="67" t="s">
        <v>66</v>
      </c>
      <c r="C85" s="107">
        <f>C68-C82</f>
        <v>-165.94279430448699</v>
      </c>
      <c r="D85" s="108">
        <f>D68-D82</f>
        <v>-165.94279430448699</v>
      </c>
      <c r="E85" s="86" t="s">
        <v>67</v>
      </c>
      <c r="F85" s="87"/>
      <c r="G85" s="113">
        <f>(C101+52)*$D$115-52</f>
        <v>-63.71788657559388</v>
      </c>
      <c r="H85" s="114">
        <f>(D101+57)*$D$115-57</f>
        <v>-62.849415135787154</v>
      </c>
      <c r="I85" s="76">
        <f t="shared" si="10"/>
        <v>1.6043361326433061</v>
      </c>
      <c r="J85" s="76">
        <f t="shared" si="10"/>
        <v>1.6043361326433061</v>
      </c>
      <c r="K85" s="76">
        <f t="shared" si="11"/>
        <v>1.6403236043798493</v>
      </c>
      <c r="L85" s="77">
        <f t="shared" si="11"/>
        <v>1.6403236043798493</v>
      </c>
    </row>
    <row r="86" spans="2:12" ht="15" customHeight="1" x14ac:dyDescent="0.25">
      <c r="B86" s="67" t="s">
        <v>68</v>
      </c>
      <c r="C86" s="107">
        <f>C69+C70+C73*$J$125</f>
        <v>814.31436159999998</v>
      </c>
      <c r="D86" s="108">
        <f>D69+D70++D73*$J$125</f>
        <v>938.46132</v>
      </c>
      <c r="E86" s="86" t="s">
        <v>106</v>
      </c>
      <c r="F86" s="87"/>
      <c r="G86" s="73">
        <f>C99+C102*$D$114</f>
        <v>2124.9111158108485</v>
      </c>
      <c r="H86" s="72">
        <f>D99+D102*$D$114</f>
        <v>1614.1909723692258</v>
      </c>
      <c r="I86" s="76">
        <f t="shared" si="10"/>
        <v>-0.61677721221329096</v>
      </c>
      <c r="J86" s="76">
        <f t="shared" si="10"/>
        <v>-0.55835267036951297</v>
      </c>
      <c r="K86" s="76">
        <f t="shared" si="11"/>
        <v>-0.49552786780563418</v>
      </c>
      <c r="L86" s="77">
        <f t="shared" si="11"/>
        <v>-0.41861815853016754</v>
      </c>
    </row>
    <row r="87" spans="2:12" x14ac:dyDescent="0.25">
      <c r="B87" s="54" t="s">
        <v>23</v>
      </c>
      <c r="C87" s="107">
        <f>C71+5</f>
        <v>241.02752000000004</v>
      </c>
      <c r="D87" s="108">
        <v>253</v>
      </c>
      <c r="E87" s="86" t="s">
        <v>107</v>
      </c>
      <c r="F87" s="87"/>
      <c r="G87" s="71">
        <f>C105</f>
        <v>154.70119264273183</v>
      </c>
      <c r="H87" s="71">
        <f>D105</f>
        <v>178.53530463719483</v>
      </c>
      <c r="I87" s="76">
        <f t="shared" si="10"/>
        <v>0.55801979210742692</v>
      </c>
      <c r="J87" s="76">
        <f t="shared" si="10"/>
        <v>0.63541079210863116</v>
      </c>
      <c r="K87" s="76">
        <f t="shared" si="11"/>
        <v>0.35002721444812773</v>
      </c>
      <c r="L87" s="77">
        <f t="shared" si="11"/>
        <v>0.41708666817538625</v>
      </c>
    </row>
    <row r="88" spans="2:12" x14ac:dyDescent="0.25">
      <c r="B88" s="54" t="s">
        <v>69</v>
      </c>
      <c r="C88" s="107">
        <v>81</v>
      </c>
      <c r="D88" s="108">
        <v>115</v>
      </c>
      <c r="E88" s="86" t="s">
        <v>108</v>
      </c>
      <c r="F88" s="87"/>
      <c r="G88" s="71">
        <f>C104</f>
        <v>65.051019203978285</v>
      </c>
      <c r="H88" s="71">
        <f>D104</f>
        <v>80.158231877301318</v>
      </c>
      <c r="I88" s="76">
        <f t="shared" si="10"/>
        <v>0.24517649363818628</v>
      </c>
      <c r="J88" s="76">
        <f t="shared" si="10"/>
        <v>0.76784316998014102</v>
      </c>
      <c r="K88" s="76">
        <f t="shared" si="11"/>
        <v>1.05013309673195E-2</v>
      </c>
      <c r="L88" s="77">
        <f t="shared" si="11"/>
        <v>0.43466238347212027</v>
      </c>
    </row>
    <row r="89" spans="2:12" x14ac:dyDescent="0.25">
      <c r="B89" s="54" t="s">
        <v>70</v>
      </c>
      <c r="C89" s="107">
        <f>C73*$C$125</f>
        <v>65.294208000000012</v>
      </c>
      <c r="D89" s="108">
        <f>D73*$C$125</f>
        <v>76.334400000000002</v>
      </c>
      <c r="E89" s="86" t="s">
        <v>71</v>
      </c>
      <c r="F89" s="87"/>
      <c r="G89" s="71">
        <f>C107</f>
        <v>75.017373311937959</v>
      </c>
      <c r="H89" s="71">
        <f>D107</f>
        <v>109.21541177452305</v>
      </c>
      <c r="I89" s="76">
        <f t="shared" si="10"/>
        <v>-0.12961218025465898</v>
      </c>
      <c r="J89" s="76">
        <f t="shared" si="10"/>
        <v>1.755628902901692E-2</v>
      </c>
      <c r="K89" s="76">
        <f t="shared" si="11"/>
        <v>-0.40215206865857961</v>
      </c>
      <c r="L89" s="77">
        <f t="shared" si="11"/>
        <v>-0.30106567599091616</v>
      </c>
    </row>
    <row r="90" spans="2:12" x14ac:dyDescent="0.25">
      <c r="B90" s="54" t="s">
        <v>72</v>
      </c>
      <c r="C90" s="107">
        <f>C73*$D$125</f>
        <v>84.882470400000003</v>
      </c>
      <c r="D90" s="108">
        <f>D73*$D$125</f>
        <v>99.23472000000001</v>
      </c>
      <c r="E90" s="86" t="s">
        <v>71</v>
      </c>
      <c r="F90" s="87"/>
      <c r="G90" s="71">
        <f>C103</f>
        <v>102.00177890705044</v>
      </c>
      <c r="H90" s="71">
        <f>D103</f>
        <v>143.14529881158222</v>
      </c>
      <c r="I90" s="76">
        <f t="shared" si="10"/>
        <v>-0.1678334308527156</v>
      </c>
      <c r="J90" s="76">
        <f t="shared" si="10"/>
        <v>-2.7127555388734161E-2</v>
      </c>
      <c r="K90" s="76">
        <f t="shared" si="11"/>
        <v>-0.40701880463620255</v>
      </c>
      <c r="L90" s="77">
        <f t="shared" si="11"/>
        <v>-0.30675529812110952</v>
      </c>
    </row>
    <row r="91" spans="2:12" ht="15.75" thickBot="1" x14ac:dyDescent="0.3">
      <c r="B91" s="54" t="s">
        <v>26</v>
      </c>
      <c r="C91" s="109">
        <v>69</v>
      </c>
      <c r="D91" s="110">
        <v>74</v>
      </c>
      <c r="E91" s="111" t="s">
        <v>109</v>
      </c>
      <c r="F91" s="112"/>
      <c r="G91" s="71">
        <f>C106</f>
        <v>61.803912394841078</v>
      </c>
      <c r="H91" s="71">
        <f>D106</f>
        <v>84.915384648127272</v>
      </c>
      <c r="I91" s="76">
        <f t="shared" si="10"/>
        <v>0.11643417586876907</v>
      </c>
      <c r="J91" s="76">
        <f t="shared" si="10"/>
        <v>0.1973352031056364</v>
      </c>
      <c r="K91" s="76">
        <f t="shared" si="11"/>
        <v>-0.18742639763191923</v>
      </c>
      <c r="L91" s="77">
        <f t="shared" si="11"/>
        <v>-0.12854425253278295</v>
      </c>
    </row>
    <row r="92" spans="2:12" ht="13.5" customHeight="1" x14ac:dyDescent="0.25"/>
    <row r="94" spans="2:12" ht="15.75" thickBot="1" x14ac:dyDescent="0.3">
      <c r="B94" s="8"/>
      <c r="C94" s="9">
        <v>2005</v>
      </c>
      <c r="D94" s="9">
        <v>2022</v>
      </c>
    </row>
    <row r="95" spans="2:12" x14ac:dyDescent="0.25">
      <c r="B95" s="74" t="s">
        <v>73</v>
      </c>
      <c r="C95" s="58">
        <v>2561.245702731519</v>
      </c>
      <c r="D95" s="58">
        <v>2039.2363046793514</v>
      </c>
    </row>
    <row r="96" spans="2:12" x14ac:dyDescent="0.25">
      <c r="B96" s="68" t="s">
        <v>74</v>
      </c>
      <c r="C96" s="55">
        <v>-200.77408718651247</v>
      </c>
      <c r="D96" s="55">
        <v>-260.76047512662205</v>
      </c>
    </row>
    <row r="97" spans="2:10" x14ac:dyDescent="0.25">
      <c r="B97" s="69" t="s">
        <v>75</v>
      </c>
      <c r="C97" s="55">
        <v>-218.12072934499417</v>
      </c>
      <c r="D97" s="55">
        <v>-285.05508704328724</v>
      </c>
    </row>
    <row r="98" spans="2:10" x14ac:dyDescent="0.25">
      <c r="B98" s="69" t="s">
        <v>76</v>
      </c>
      <c r="C98" s="55">
        <v>17.346642158481714</v>
      </c>
      <c r="D98" s="55">
        <v>24.294611916665161</v>
      </c>
    </row>
    <row r="99" spans="2:10" x14ac:dyDescent="0.25">
      <c r="B99" s="68" t="s">
        <v>22</v>
      </c>
      <c r="C99" s="55">
        <v>536.02402899162109</v>
      </c>
      <c r="D99" s="55">
        <v>643.24237509453292</v>
      </c>
    </row>
    <row r="100" spans="2:10" x14ac:dyDescent="0.25">
      <c r="B100" s="68" t="s">
        <v>77</v>
      </c>
      <c r="C100" s="55">
        <v>1767.4204844658711</v>
      </c>
      <c r="D100" s="55">
        <v>1060.7847729627117</v>
      </c>
    </row>
    <row r="101" spans="2:10" x14ac:dyDescent="0.25">
      <c r="B101" s="69" t="s">
        <v>78</v>
      </c>
      <c r="C101" s="55">
        <v>-105.26312079815401</v>
      </c>
      <c r="D101" s="55">
        <v>-83.588250617214328</v>
      </c>
      <c r="E101" s="70" t="s">
        <v>121</v>
      </c>
      <c r="F101" s="70"/>
      <c r="G101" s="70"/>
      <c r="H101" s="70"/>
      <c r="I101" s="81"/>
      <c r="J101" s="22"/>
    </row>
    <row r="102" spans="2:10" x14ac:dyDescent="0.25">
      <c r="B102" s="69" t="s">
        <v>79</v>
      </c>
      <c r="C102" s="55">
        <v>1872.6836052640251</v>
      </c>
      <c r="D102" s="55">
        <v>1144.373023579926</v>
      </c>
    </row>
    <row r="103" spans="2:10" x14ac:dyDescent="0.25">
      <c r="B103" s="68" t="s">
        <v>72</v>
      </c>
      <c r="C103" s="55">
        <v>102.00177890705044</v>
      </c>
      <c r="D103" s="55">
        <v>143.14529881158222</v>
      </c>
    </row>
    <row r="104" spans="2:10" x14ac:dyDescent="0.25">
      <c r="B104" s="68" t="s">
        <v>24</v>
      </c>
      <c r="C104" s="55">
        <v>65.051019203978285</v>
      </c>
      <c r="D104" s="55">
        <v>80.158231877301318</v>
      </c>
    </row>
    <row r="105" spans="2:10" x14ac:dyDescent="0.25">
      <c r="B105" s="68" t="s">
        <v>23</v>
      </c>
      <c r="C105" s="55">
        <v>154.70119264273183</v>
      </c>
      <c r="D105" s="55">
        <v>178.53530463719483</v>
      </c>
    </row>
    <row r="106" spans="2:10" x14ac:dyDescent="0.25">
      <c r="B106" s="68" t="s">
        <v>26</v>
      </c>
      <c r="C106" s="55">
        <v>61.803912394841078</v>
      </c>
      <c r="D106" s="55">
        <v>84.915384648127272</v>
      </c>
    </row>
    <row r="107" spans="2:10" x14ac:dyDescent="0.25">
      <c r="B107" s="68" t="s">
        <v>80</v>
      </c>
      <c r="C107" s="55">
        <v>75.017373311937959</v>
      </c>
      <c r="D107" s="55">
        <v>109.21541177452305</v>
      </c>
    </row>
    <row r="109" spans="2:10" x14ac:dyDescent="0.25">
      <c r="B109" t="s">
        <v>81</v>
      </c>
    </row>
    <row r="111" spans="2:10" ht="15.75" thickBot="1" x14ac:dyDescent="0.3">
      <c r="B111" s="9" t="s">
        <v>82</v>
      </c>
      <c r="C111" s="8"/>
      <c r="D111" s="8"/>
      <c r="E111" s="8"/>
      <c r="F111" s="8"/>
      <c r="G111" s="8"/>
      <c r="H111" s="8"/>
    </row>
    <row r="113" spans="2:10" x14ac:dyDescent="0.25">
      <c r="B113" s="7" t="s">
        <v>83</v>
      </c>
      <c r="C113" s="7" t="s">
        <v>84</v>
      </c>
      <c r="D113" s="7" t="s">
        <v>85</v>
      </c>
      <c r="E113" s="7" t="s">
        <v>86</v>
      </c>
    </row>
    <row r="114" spans="2:10" x14ac:dyDescent="0.25">
      <c r="B114" s="3" t="s">
        <v>87</v>
      </c>
      <c r="C114" s="19">
        <v>0.15154536390827519</v>
      </c>
      <c r="D114" s="19">
        <v>0.84845463609172478</v>
      </c>
      <c r="E114" s="3" t="s">
        <v>88</v>
      </c>
    </row>
    <row r="115" spans="2:10" x14ac:dyDescent="0.25">
      <c r="B115" s="3" t="s">
        <v>89</v>
      </c>
      <c r="C115" s="19">
        <v>0.78</v>
      </c>
      <c r="D115" s="19">
        <v>0.22</v>
      </c>
      <c r="E115" s="3" t="s">
        <v>90</v>
      </c>
    </row>
    <row r="117" spans="2:10" x14ac:dyDescent="0.25">
      <c r="B117" s="7" t="s">
        <v>91</v>
      </c>
      <c r="C117" s="7" t="s">
        <v>84</v>
      </c>
      <c r="D117" s="7" t="s">
        <v>85</v>
      </c>
      <c r="E117" s="7" t="s">
        <v>86</v>
      </c>
    </row>
    <row r="118" spans="2:10" x14ac:dyDescent="0.25">
      <c r="B118" s="3" t="s">
        <v>87</v>
      </c>
      <c r="C118" s="19">
        <v>0.15154536390827519</v>
      </c>
      <c r="D118" s="19">
        <v>0.84845463609172478</v>
      </c>
      <c r="E118" s="3" t="s">
        <v>92</v>
      </c>
    </row>
    <row r="119" spans="2:10" x14ac:dyDescent="0.25">
      <c r="B119" s="3" t="s">
        <v>89</v>
      </c>
      <c r="C119" s="19">
        <v>0.17</v>
      </c>
      <c r="D119" s="19">
        <f>1-C119</f>
        <v>0.83</v>
      </c>
      <c r="E119" s="3" t="s">
        <v>93</v>
      </c>
    </row>
    <row r="121" spans="2:10" ht="15.75" thickBot="1" x14ac:dyDescent="0.3">
      <c r="B121" s="9" t="s">
        <v>94</v>
      </c>
      <c r="C121" s="8"/>
      <c r="D121" s="8"/>
      <c r="E121" s="8"/>
      <c r="F121" s="8"/>
      <c r="G121" s="8"/>
      <c r="H121" s="8"/>
    </row>
    <row r="123" spans="2:10" x14ac:dyDescent="0.25">
      <c r="B123" s="7" t="s">
        <v>95</v>
      </c>
      <c r="C123" s="7" t="s">
        <v>70</v>
      </c>
      <c r="D123" s="7" t="s">
        <v>72</v>
      </c>
      <c r="E123" s="7" t="s">
        <v>86</v>
      </c>
      <c r="J123" s="7" t="s">
        <v>110</v>
      </c>
    </row>
    <row r="124" spans="2:10" x14ac:dyDescent="0.25">
      <c r="B124" s="3" t="s">
        <v>96</v>
      </c>
      <c r="C124" s="19">
        <f>AVERAGE(C107/SUM(C103,C107),D107/SUM(D103,D107))</f>
        <v>0.42827806679640623</v>
      </c>
      <c r="D124" s="19">
        <f>AVERAGE(C103/SUM(C103,C107),D103/SUM(D103,D107))</f>
        <v>0.57172193320359388</v>
      </c>
      <c r="E124" s="3" t="s">
        <v>97</v>
      </c>
      <c r="J124" s="3"/>
    </row>
    <row r="125" spans="2:10" x14ac:dyDescent="0.25">
      <c r="B125" s="3" t="s">
        <v>98</v>
      </c>
      <c r="C125" s="19">
        <v>0.4</v>
      </c>
      <c r="D125" s="19">
        <v>0.52</v>
      </c>
      <c r="E125" s="3" t="s">
        <v>99</v>
      </c>
      <c r="J125" s="82">
        <v>0.08</v>
      </c>
    </row>
    <row r="127" spans="2:10" ht="15.75" thickBot="1" x14ac:dyDescent="0.3">
      <c r="B127" s="9" t="s">
        <v>100</v>
      </c>
      <c r="C127" s="8"/>
      <c r="D127" s="8"/>
      <c r="E127" s="8"/>
      <c r="F127" s="8"/>
      <c r="G127" s="8"/>
      <c r="H127" s="8"/>
    </row>
    <row r="129" spans="2:13" ht="30.75" customHeight="1" x14ac:dyDescent="0.25">
      <c r="B129" s="80" t="s">
        <v>101</v>
      </c>
      <c r="C129" t="s">
        <v>102</v>
      </c>
      <c r="D129" s="83" t="s">
        <v>111</v>
      </c>
      <c r="E129" s="81"/>
      <c r="F129" s="81"/>
      <c r="G129" s="81"/>
      <c r="H129" s="81"/>
      <c r="I129" s="81"/>
      <c r="J129" s="81"/>
      <c r="K129" s="81"/>
      <c r="L129" s="81"/>
      <c r="M129" s="81"/>
    </row>
    <row r="130" spans="2:13" x14ac:dyDescent="0.25">
      <c r="B130" t="s">
        <v>103</v>
      </c>
      <c r="C130" t="s">
        <v>104</v>
      </c>
      <c r="D130" s="70" t="s">
        <v>112</v>
      </c>
      <c r="E130" s="81"/>
      <c r="F130" s="81"/>
      <c r="G130" s="81"/>
      <c r="H130" s="81"/>
    </row>
    <row r="131" spans="2:13" x14ac:dyDescent="0.25">
      <c r="B131" t="s">
        <v>105</v>
      </c>
      <c r="D131" s="70" t="s">
        <v>113</v>
      </c>
      <c r="E131" s="81"/>
      <c r="F131" s="81"/>
      <c r="G131" s="81"/>
      <c r="H131" s="81"/>
      <c r="I131" s="81"/>
      <c r="J131" s="81"/>
    </row>
  </sheetData>
  <mergeCells count="32">
    <mergeCell ref="C12:E12"/>
    <mergeCell ref="B13:B14"/>
    <mergeCell ref="C13:C14"/>
    <mergeCell ref="D13:D14"/>
    <mergeCell ref="E13:E14"/>
    <mergeCell ref="K78:L78"/>
    <mergeCell ref="E79:F79"/>
    <mergeCell ref="G45:H45"/>
    <mergeCell ref="C64:D64"/>
    <mergeCell ref="E64:F64"/>
    <mergeCell ref="G64:L64"/>
    <mergeCell ref="I65:J65"/>
    <mergeCell ref="K65:L65"/>
    <mergeCell ref="C45:D45"/>
    <mergeCell ref="E45:F45"/>
    <mergeCell ref="C78:D78"/>
    <mergeCell ref="E78:F78"/>
    <mergeCell ref="G78:G79"/>
    <mergeCell ref="H78:H79"/>
    <mergeCell ref="I78:J78"/>
    <mergeCell ref="E91:F91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</mergeCells>
  <conditionalFormatting sqref="I69:L74">
    <cfRule type="cellIs" dxfId="2" priority="3" operator="greaterThan">
      <formula>0</formula>
    </cfRule>
  </conditionalFormatting>
  <conditionalFormatting sqref="I83:L84">
    <cfRule type="cellIs" dxfId="1" priority="1" operator="greaterThan">
      <formula>0</formula>
    </cfRule>
  </conditionalFormatting>
  <conditionalFormatting sqref="I86:L91">
    <cfRule type="cellIs" dxfId="0" priority="2" operator="greaterThan">
      <formula>0</formula>
    </cfRule>
  </conditionalFormatting>
  <hyperlinks>
    <hyperlink ref="C26" r:id="rId1" xr:uid="{BE4E0E46-D18B-42E5-B54B-3D1FA1514F73}"/>
    <hyperlink ref="B62" r:id="rId2" xr:uid="{476D3810-5D57-4FEB-8460-D42F5CEE4C52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085FBD5000B42A7A5A1807B2169A4" ma:contentTypeVersion="14" ma:contentTypeDescription="Crie um novo documento." ma:contentTypeScope="" ma:versionID="e3f5d8d62ba5b8da76a376c5f371ea02">
  <xsd:schema xmlns:xsd="http://www.w3.org/2001/XMLSchema" xmlns:xs="http://www.w3.org/2001/XMLSchema" xmlns:p="http://schemas.microsoft.com/office/2006/metadata/properties" xmlns:ns2="e9a4ada4-c296-4c0a-8588-55a3e71a1f02" xmlns:ns3="3d7309ed-3ca0-4836-856b-ea27595929d6" targetNamespace="http://schemas.microsoft.com/office/2006/metadata/properties" ma:root="true" ma:fieldsID="79496f18aa616a099ab8b6c37478171a" ns2:_="" ns3:_="">
    <xsd:import namespace="e9a4ada4-c296-4c0a-8588-55a3e71a1f02"/>
    <xsd:import namespace="3d7309ed-3ca0-4836-856b-ea2759592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4ada4-c296-4c0a-8588-55a3e71a1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0e9e44-ce6c-4e35-b88c-9595161756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309ed-3ca0-4836-856b-ea2759592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2507e4f-3a3d-484d-b948-2eb8e1826dfa}" ma:internalName="TaxCatchAll" ma:showField="CatchAllData" ma:web="3d7309ed-3ca0-4836-856b-ea2759592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7309ed-3ca0-4836-856b-ea27595929d6" xsi:nil="true"/>
    <lcf76f155ced4ddcb4097134ff3c332f xmlns="e9a4ada4-c296-4c0a-8588-55a3e71a1f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B0F802-1088-4A0A-B05D-DD88622047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a4ada4-c296-4c0a-8588-55a3e71a1f02"/>
    <ds:schemaRef ds:uri="3d7309ed-3ca0-4836-856b-ea2759592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729350-E0D6-481D-8171-B8B8F6815947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3d7309ed-3ca0-4836-856b-ea27595929d6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e9a4ada4-c296-4c0a-8588-55a3e71a1f0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3FFE82A-ACCE-455D-A6C3-AF569D1568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Rebeca Orosco</dc:creator>
  <cp:keywords/>
  <dc:description/>
  <cp:lastModifiedBy>Leandro Gomes Cardoso</cp:lastModifiedBy>
  <cp:revision/>
  <dcterms:created xsi:type="dcterms:W3CDTF">2025-01-30T16:54:07Z</dcterms:created>
  <dcterms:modified xsi:type="dcterms:W3CDTF">2025-02-10T14:49:15Z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0x010100140085FBD5000B42A7A5A1807B2169A4</vt:lpwstr>
  </property>
  <property fmtid="{D5CDD505-2E9C-101B-9397-08002B2CF9AE}" pid="3" name="MediaServiceImageTags">
    <vt:lpwstr/>
  </property>
</Properties>
</file>