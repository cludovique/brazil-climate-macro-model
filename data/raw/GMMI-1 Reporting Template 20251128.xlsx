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on Clarke\Box\WorkSpace - Leon Clarke\SEGI\GMMI\Round 2 Specs\"/>
    </mc:Choice>
  </mc:AlternateContent>
  <xr:revisionPtr revIDLastSave="0" documentId="13_ncr:1_{2BF4D575-9492-456E-808A-86F182F3D9F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aseline template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6" i="3" l="1"/>
  <c r="A58" i="3"/>
  <c r="A55" i="3"/>
  <c r="A4" i="3" l="1"/>
  <c r="A6" i="3" s="1"/>
  <c r="A7" i="3" s="1"/>
  <c r="A8" i="3" s="1"/>
  <c r="A5" i="3" s="1"/>
  <c r="A9" i="3" l="1"/>
  <c r="A10" i="3"/>
  <c r="A12" i="3" s="1"/>
  <c r="A13" i="3" s="1"/>
  <c r="A14" i="3" s="1"/>
  <c r="A15" i="3" s="1"/>
  <c r="A16" i="3" l="1"/>
  <c r="A17" i="3" s="1"/>
  <c r="A19" i="3" s="1"/>
  <c r="A20" i="3" s="1"/>
  <c r="A21" i="3" s="1"/>
  <c r="A22" i="3" s="1"/>
  <c r="A23" i="3" s="1"/>
  <c r="A25" i="3" s="1"/>
  <c r="A26" i="3" s="1"/>
  <c r="A27" i="3" s="1"/>
  <c r="A28" i="3" l="1"/>
  <c r="A30" i="3" s="1"/>
  <c r="A31" i="3" s="1"/>
  <c r="A32" i="3" s="1"/>
  <c r="A33" i="3" s="1"/>
  <c r="A34" i="3" s="1"/>
  <c r="A37" i="3" l="1"/>
  <c r="A38" i="3" l="1"/>
  <c r="A39" i="3"/>
  <c r="A40" i="3"/>
  <c r="A41" i="3"/>
  <c r="A43" i="3" s="1"/>
  <c r="A44" i="3" s="1"/>
  <c r="A45" i="3" s="1"/>
  <c r="A46" i="3" s="1"/>
  <c r="A47" i="3" s="1"/>
  <c r="A49" i="3" s="1"/>
  <c r="A50" i="3" s="1"/>
  <c r="A51" i="3" s="1"/>
  <c r="A52" i="3" s="1"/>
  <c r="A53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9" i="3" s="1"/>
  <c r="A80" i="3" s="1"/>
  <c r="A81" i="3" s="1"/>
  <c r="A82" i="3" s="1"/>
  <c r="A83" i="3" s="1"/>
  <c r="A84" i="3" s="1"/>
  <c r="A85" i="3" s="1"/>
</calcChain>
</file>

<file path=xl/sharedStrings.xml><?xml version="1.0" encoding="utf-8"?>
<sst xmlns="http://schemas.openxmlformats.org/spreadsheetml/2006/main" count="253" uniqueCount="185">
  <si>
    <t>Variable</t>
  </si>
  <si>
    <t>Definition</t>
  </si>
  <si>
    <t>Unit</t>
  </si>
  <si>
    <t>Scenario</t>
  </si>
  <si>
    <t>Region</t>
  </si>
  <si>
    <t>Is this variable an ouput in your model?</t>
  </si>
  <si>
    <t>Is this variable an input in your model?</t>
  </si>
  <si>
    <t>Comments</t>
  </si>
  <si>
    <t>Emissions|Total</t>
  </si>
  <si>
    <t>Total GHG Emissions</t>
  </si>
  <si>
    <t>Mt CO2/year equivalent</t>
  </si>
  <si>
    <t>Emissions|CO2</t>
  </si>
  <si>
    <t>Mt CO2/year</t>
  </si>
  <si>
    <t>GDP|Total</t>
  </si>
  <si>
    <t>Bn 2022 USD</t>
  </si>
  <si>
    <t>GDP|Consumption|Private</t>
  </si>
  <si>
    <t>GDP|Investment|Total</t>
  </si>
  <si>
    <t>GDP|Investment|Government</t>
  </si>
  <si>
    <t>GDP|Investment|Private</t>
  </si>
  <si>
    <t>GDP|Consumption|Government</t>
  </si>
  <si>
    <t>GDP|Exports</t>
  </si>
  <si>
    <t>GDP|Imports</t>
  </si>
  <si>
    <t>Current Account|Balance</t>
  </si>
  <si>
    <t>Government|Revenue|Total</t>
  </si>
  <si>
    <t>Government|Revenue|Carbon</t>
  </si>
  <si>
    <t>Government|Expenditures</t>
  </si>
  <si>
    <t>Government|Debt</t>
  </si>
  <si>
    <t>Labor Force|Participation</t>
  </si>
  <si>
    <t>Labor Force|Employment</t>
  </si>
  <si>
    <t>% of total labor force</t>
  </si>
  <si>
    <t>Price|Inflation</t>
  </si>
  <si>
    <t>Year-on-year CPI growth rate</t>
  </si>
  <si>
    <t>Income|Household</t>
  </si>
  <si>
    <t>Capital Flow Variables</t>
  </si>
  <si>
    <t>GDP|nvestment|Green|Total</t>
  </si>
  <si>
    <t>GDP|Investment|Public|Green|Domestic</t>
  </si>
  <si>
    <t>GDP|Investment|Public|Green|International</t>
  </si>
  <si>
    <t>GDP|Investment|Private|Green|Domestic</t>
  </si>
  <si>
    <t>GDP|Investment|Private|Green|International</t>
  </si>
  <si>
    <t>Energy variables</t>
  </si>
  <si>
    <t>Prices|Electricity</t>
  </si>
  <si>
    <t>2022 $kWh</t>
  </si>
  <si>
    <t>Prices|Natural Gas</t>
  </si>
  <si>
    <t>2022 $/GJ</t>
  </si>
  <si>
    <t>Prices|Coal</t>
  </si>
  <si>
    <t>Prices|Gasoline</t>
  </si>
  <si>
    <t>Prices|Oil</t>
  </si>
  <si>
    <t>Primary Energy|Consumption|Total</t>
  </si>
  <si>
    <t>EJ/yr</t>
  </si>
  <si>
    <t>Primary Energy|Consumption|Coal</t>
  </si>
  <si>
    <t>Primary Energy|Consumption|Natural Gas</t>
  </si>
  <si>
    <t>Primary Energy|Consumption|Oil</t>
  </si>
  <si>
    <t>Primary Energy|Consumption|Bioenergy</t>
  </si>
  <si>
    <t>Primary Energy|Consumption|Other</t>
  </si>
  <si>
    <t>Electricity|Production|Total</t>
  </si>
  <si>
    <t>GWh/yr</t>
  </si>
  <si>
    <t>Electricity|Production|Non-Biomass Renewables|Total</t>
  </si>
  <si>
    <t>Electricity|Production|Non-Biomass Renewables|Solar</t>
  </si>
  <si>
    <t>Electricity|Production|Non-Biomass Renewables|Wind</t>
  </si>
  <si>
    <t>Electricity|Production|Non-Biomass Renewables|Hydro</t>
  </si>
  <si>
    <t>Electricity|Production|Non-Biomass Renewables|Other</t>
  </si>
  <si>
    <t>Electricity|Production|Nuclear</t>
  </si>
  <si>
    <t>Electricity|Production|Other</t>
  </si>
  <si>
    <t>Agriculture Variables</t>
  </si>
  <si>
    <t>Sectoral variables</t>
  </si>
  <si>
    <t>Labor Force|Employment|Primary</t>
  </si>
  <si>
    <t>GDP|Exports|Primary</t>
  </si>
  <si>
    <t>GDP|Imports|Primary</t>
  </si>
  <si>
    <t>Labor Force|Employment|Industry</t>
  </si>
  <si>
    <t>GDP|Exports|Industry</t>
  </si>
  <si>
    <t>GDP|Imports|Industry</t>
  </si>
  <si>
    <t>Service sector</t>
  </si>
  <si>
    <t>Labor Force|Employment|Service</t>
  </si>
  <si>
    <t>GDP|Exports|Service</t>
  </si>
  <si>
    <t>GDP|Imports|Service</t>
  </si>
  <si>
    <t>(Real) Total GDP</t>
  </si>
  <si>
    <t>Industry sector (includes extractive sectors)</t>
  </si>
  <si>
    <t>Primary (Agriculural include fisheries) sector</t>
  </si>
  <si>
    <t>GDP|Value Added|Primary</t>
  </si>
  <si>
    <t>GDP|Value Added|Industry</t>
  </si>
  <si>
    <t>GDP|Value Added|Service</t>
  </si>
  <si>
    <t>Wages|Primary</t>
  </si>
  <si>
    <t>Wages|Industry</t>
  </si>
  <si>
    <t>Wages|Service</t>
  </si>
  <si>
    <t>2022 USD</t>
  </si>
  <si>
    <t>Population|Total</t>
  </si>
  <si>
    <t>Population|Working Age</t>
  </si>
  <si>
    <t>GDP Identity</t>
  </si>
  <si>
    <t>Workforce &amp; Employment</t>
  </si>
  <si>
    <t>Total CO2 Emissions</t>
  </si>
  <si>
    <t>(Real) Private Consumption</t>
  </si>
  <si>
    <t>(Real) Government Investment</t>
  </si>
  <si>
    <t>(Real) Private Investment</t>
  </si>
  <si>
    <t>(Real) Government Consumption</t>
  </si>
  <si>
    <t>(Real) Total Investment</t>
  </si>
  <si>
    <t>(Real) Export</t>
  </si>
  <si>
    <t>(Real) Imports</t>
  </si>
  <si>
    <t>Fiscal &amp; External Variables</t>
  </si>
  <si>
    <t>Government|Deficit</t>
  </si>
  <si>
    <t>Note if the variable is not provided</t>
  </si>
  <si>
    <t>Is it on the margin or is it average? How was it calculated.</t>
  </si>
  <si>
    <t>Make this all nominal</t>
  </si>
  <si>
    <t>Can be calculated from other variabes in simple form, but includes other elements in real-world accounting</t>
  </si>
  <si>
    <t>(Real) Current account balance</t>
  </si>
  <si>
    <t>(Real) Total tax revenues</t>
  </si>
  <si>
    <t>(Real) Carbon pricing revenues</t>
  </si>
  <si>
    <t>(Real) Government expenditures</t>
  </si>
  <si>
    <t>(Real) Government deficit</t>
  </si>
  <si>
    <t>(Real) Public debt</t>
  </si>
  <si>
    <t>Total population</t>
  </si>
  <si>
    <t>Millions</t>
  </si>
  <si>
    <t>Working age population</t>
  </si>
  <si>
    <t>Proportion of working age population looking for work</t>
  </si>
  <si>
    <t>Proportion of those looking for work that are employed</t>
  </si>
  <si>
    <t>%</t>
  </si>
  <si>
    <t>(Real) Average annual household income</t>
  </si>
  <si>
    <t>Interest Rate|Cost of Capital</t>
  </si>
  <si>
    <t>Interest Rate|Monetary Policy Rate</t>
  </si>
  <si>
    <t>Exchange Rate</t>
  </si>
  <si>
    <t>(Nominal) Real rate of return on risky investment</t>
  </si>
  <si>
    <t>(Nominal) Risk-free rate</t>
  </si>
  <si>
    <t>Inflation, Interest Rates, &amp; Prices</t>
  </si>
  <si>
    <t>This can be calculated through revenues and expenditures, but we include here as a check</t>
  </si>
  <si>
    <t>(Real) Electricity prices</t>
  </si>
  <si>
    <t>(Real) Total green investment</t>
  </si>
  <si>
    <t>(Real) Total public domestic green investment</t>
  </si>
  <si>
    <t>(Real) Total public international green investment</t>
  </si>
  <si>
    <t>(Real) Total private domestic green investment</t>
  </si>
  <si>
    <t>(Real) Total private international green investment</t>
  </si>
  <si>
    <t>Could be marginal or average price</t>
  </si>
  <si>
    <t>(Real) Natural gas price</t>
  </si>
  <si>
    <t>(Real) Coal price</t>
  </si>
  <si>
    <t>(Real) Gasoline price</t>
  </si>
  <si>
    <t>(Real) Oil price</t>
  </si>
  <si>
    <t>Total primary energy consumption</t>
  </si>
  <si>
    <t>Please use direct equivalents</t>
  </si>
  <si>
    <t>Coal consumption</t>
  </si>
  <si>
    <t>Natural gas consumption</t>
  </si>
  <si>
    <t>Oil consumption</t>
  </si>
  <si>
    <t>Bioenergy consumption</t>
  </si>
  <si>
    <t>Primary Energy|Consumption|Non-Biomass Renewables</t>
  </si>
  <si>
    <t>Primary energy consumption from non-biomass renewables</t>
  </si>
  <si>
    <t>Primary energy consumption from other sources (e.g., nuclear power)</t>
  </si>
  <si>
    <t>Total electricity production from all sources</t>
  </si>
  <si>
    <t>Total electricity production from non-biomass renewables</t>
  </si>
  <si>
    <t>Wind electricity production</t>
  </si>
  <si>
    <t>Solar electricity production</t>
  </si>
  <si>
    <t>Other electricity production</t>
  </si>
  <si>
    <t>Hydroelectric power production</t>
  </si>
  <si>
    <t>Other renewable electricity (e.g., geothermal)</t>
  </si>
  <si>
    <t>Nuclear power production</t>
  </si>
  <si>
    <t>Employment in the primary sector</t>
  </si>
  <si>
    <t>Employment in the industry sector</t>
  </si>
  <si>
    <t>(Real) Exports from the primary sector</t>
  </si>
  <si>
    <t>(Real) Imports from the primary sector</t>
  </si>
  <si>
    <t>(Real) Exports from the industry sector</t>
  </si>
  <si>
    <t>(Real) Imports from the industry sector</t>
  </si>
  <si>
    <t>(Real) Exports from the service sector</t>
  </si>
  <si>
    <t>(Real) Imports from the service sector</t>
  </si>
  <si>
    <t>(Real) Added value in the primary sector</t>
  </si>
  <si>
    <t>(Real) Average wage in the primary sector</t>
  </si>
  <si>
    <t>(Real) Added value in the industry sector</t>
  </si>
  <si>
    <t>(Real) Average wage in the industry sector</t>
  </si>
  <si>
    <t>Employment in the service sector</t>
  </si>
  <si>
    <t>(Real) Added value in the service sector</t>
  </si>
  <si>
    <t>(Real) Average wage in the service sector</t>
  </si>
  <si>
    <t xml:space="preserve">The size and remuneration of the ag sector is often predictive  of the poverty analysis. </t>
  </si>
  <si>
    <t>domestic/USD</t>
  </si>
  <si>
    <t>(Nominal) Exchange rate</t>
  </si>
  <si>
    <t>Emissions|Agriculture|Total</t>
  </si>
  <si>
    <t>Emissions|Agriculture|CO2</t>
  </si>
  <si>
    <t>Emissions|LUCUCF|Total</t>
  </si>
  <si>
    <t>Emissions|LUCUCF|CO2</t>
  </si>
  <si>
    <t>Can get pretty close to land use change and forestry by subtracting out agricultural emissions</t>
  </si>
  <si>
    <t>Agriculture|Production</t>
  </si>
  <si>
    <t>Agriculture|Imports</t>
  </si>
  <si>
    <t>Agriculture|Exports</t>
  </si>
  <si>
    <t>Total agricultural GHG emissions</t>
  </si>
  <si>
    <t>Total agricultural CO2 emissions</t>
  </si>
  <si>
    <t>Total LULUCF GHG emissions</t>
  </si>
  <si>
    <t>Total LULUCF CO2 emissions</t>
  </si>
  <si>
    <t>(Real) Total agricultural production</t>
  </si>
  <si>
    <t>(Real) Total agricultural imports</t>
  </si>
  <si>
    <t>(Real) Total agricultural exports</t>
  </si>
  <si>
    <t>Aggregate Emissions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</si>
</sst>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sz val="10"/>
      <color rgb="FFFFFFFF"/>
      <name val="Arial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&quot;Arial&quot;"/>
    </font>
    <font>
      <sz val="10"/>
      <color rgb="FF000000"/>
      <name val="Arial"/>
      <family val="2"/>
      <scheme val="minor"/>
    </font>
    <font>
      <sz val="10"/>
      <color theme="1"/>
      <name val="Arial"/>
      <scheme val="minor"/>
    </font>
    <font>
      <sz val="10"/>
      <color rgb="FFFF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3" borderId="0" xfId="0" applyFont="1" applyFill="1"/>
    <xf numFmtId="0" fontId="4" fillId="3" borderId="0" xfId="0" applyFont="1" applyFill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0" borderId="0" xfId="0" applyFont="1"/>
    <xf numFmtId="0" fontId="9" fillId="0" borderId="0" xfId="0" applyFont="1"/>
    <xf numFmtId="0" fontId="7" fillId="0" borderId="0" xfId="0" applyFont="1"/>
    <xf numFmtId="0" fontId="1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2" fillId="4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P111"/>
  <sheetViews>
    <sheetView tabSelected="1" topLeftCell="A20" workbookViewId="0">
      <selection activeCell="B56" sqref="B56"/>
    </sheetView>
  </sheetViews>
  <sheetFormatPr defaultColWidth="12.73046875" defaultRowHeight="15.75" customHeight="1"/>
  <cols>
    <col min="1" max="1" width="4.3984375" customWidth="1"/>
    <col min="2" max="2" width="46" bestFit="1" customWidth="1"/>
    <col min="3" max="3" width="70.1328125" customWidth="1"/>
    <col min="4" max="4" width="24.73046875" customWidth="1"/>
    <col min="5" max="5" width="31.265625" customWidth="1"/>
    <col min="6" max="7" width="18.3984375" customWidth="1"/>
    <col min="8" max="10" width="15.86328125" customWidth="1"/>
    <col min="26" max="26" width="46" customWidth="1"/>
  </cols>
  <sheetData>
    <row r="1" spans="1:42" s="15" customFormat="1" ht="42.75">
      <c r="B1" s="10" t="s">
        <v>0</v>
      </c>
      <c r="C1" s="11" t="s">
        <v>1</v>
      </c>
      <c r="D1" s="10" t="s">
        <v>2</v>
      </c>
      <c r="E1" s="12" t="s">
        <v>7</v>
      </c>
      <c r="F1" s="12" t="s">
        <v>3</v>
      </c>
      <c r="G1" s="12" t="s">
        <v>99</v>
      </c>
      <c r="H1" s="12" t="s">
        <v>4</v>
      </c>
      <c r="I1" s="13" t="s">
        <v>5</v>
      </c>
      <c r="J1" s="13" t="s">
        <v>6</v>
      </c>
      <c r="K1" s="21">
        <v>2024</v>
      </c>
      <c r="L1" s="14">
        <v>2025</v>
      </c>
      <c r="M1" s="14">
        <v>2026</v>
      </c>
      <c r="N1" s="14">
        <v>2027</v>
      </c>
      <c r="O1" s="14">
        <v>2028</v>
      </c>
      <c r="P1" s="14">
        <v>2029</v>
      </c>
      <c r="Q1" s="14">
        <v>2030</v>
      </c>
      <c r="R1" s="14">
        <v>2031</v>
      </c>
      <c r="S1" s="14">
        <v>2032</v>
      </c>
      <c r="T1" s="14">
        <v>2033</v>
      </c>
      <c r="U1" s="14">
        <v>2034</v>
      </c>
      <c r="V1" s="14">
        <v>2035</v>
      </c>
      <c r="W1" s="14">
        <v>2040</v>
      </c>
      <c r="X1" s="21">
        <v>2045</v>
      </c>
      <c r="Y1" s="14">
        <v>2050</v>
      </c>
      <c r="Z1" s="14" t="s">
        <v>7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15" customHeight="1">
      <c r="A2" s="3"/>
      <c r="B2" s="3" t="s">
        <v>87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15" customHeight="1">
      <c r="A3">
        <v>1</v>
      </c>
      <c r="B3" s="18" t="s">
        <v>13</v>
      </c>
      <c r="C3" s="1" t="s">
        <v>75</v>
      </c>
      <c r="D3" s="1" t="s">
        <v>14</v>
      </c>
      <c r="E3" s="1"/>
      <c r="F3" s="1"/>
      <c r="G3" s="1"/>
    </row>
    <row r="4" spans="1:42" ht="15" customHeight="1">
      <c r="A4">
        <f>A3+1</f>
        <v>2</v>
      </c>
      <c r="B4" s="1" t="s">
        <v>15</v>
      </c>
      <c r="C4" s="1" t="s">
        <v>90</v>
      </c>
      <c r="D4" s="1" t="s">
        <v>14</v>
      </c>
      <c r="E4" s="1"/>
      <c r="F4" s="1"/>
      <c r="G4" s="1"/>
      <c r="T4" s="1"/>
    </row>
    <row r="5" spans="1:42" ht="15" customHeight="1">
      <c r="A5">
        <f>A8+1</f>
        <v>6</v>
      </c>
      <c r="B5" s="1" t="s">
        <v>19</v>
      </c>
      <c r="C5" s="1" t="s">
        <v>93</v>
      </c>
      <c r="D5" s="1" t="s">
        <v>14</v>
      </c>
      <c r="E5" s="1"/>
      <c r="F5" s="1"/>
      <c r="G5" s="1"/>
    </row>
    <row r="6" spans="1:42" ht="15" customHeight="1">
      <c r="A6">
        <f>A4+1</f>
        <v>3</v>
      </c>
      <c r="B6" s="1" t="s">
        <v>16</v>
      </c>
      <c r="C6" s="1" t="s">
        <v>94</v>
      </c>
      <c r="D6" s="1" t="s">
        <v>14</v>
      </c>
      <c r="E6" s="1"/>
      <c r="F6" s="1"/>
      <c r="G6" s="1"/>
    </row>
    <row r="7" spans="1:42" ht="15" customHeight="1">
      <c r="A7">
        <f t="shared" ref="A7:A23" si="0">A6+1</f>
        <v>4</v>
      </c>
      <c r="B7" s="1" t="s">
        <v>17</v>
      </c>
      <c r="C7" s="1" t="s">
        <v>91</v>
      </c>
      <c r="D7" s="1" t="s">
        <v>14</v>
      </c>
      <c r="E7" s="1"/>
      <c r="F7" s="1"/>
      <c r="G7" s="1"/>
    </row>
    <row r="8" spans="1:42" ht="15" customHeight="1">
      <c r="A8">
        <f t="shared" si="0"/>
        <v>5</v>
      </c>
      <c r="B8" s="1" t="s">
        <v>18</v>
      </c>
      <c r="C8" s="1" t="s">
        <v>92</v>
      </c>
      <c r="D8" s="1" t="s">
        <v>14</v>
      </c>
      <c r="E8" s="1"/>
      <c r="F8" s="1"/>
      <c r="G8" s="1"/>
    </row>
    <row r="9" spans="1:42" ht="15" customHeight="1">
      <c r="A9">
        <f t="shared" si="0"/>
        <v>6</v>
      </c>
      <c r="B9" s="1" t="s">
        <v>20</v>
      </c>
      <c r="C9" s="1" t="s">
        <v>95</v>
      </c>
      <c r="D9" s="1" t="s">
        <v>14</v>
      </c>
      <c r="E9" s="1"/>
      <c r="F9" s="1"/>
      <c r="G9" s="1"/>
    </row>
    <row r="10" spans="1:42" ht="15" customHeight="1">
      <c r="A10">
        <f t="shared" si="0"/>
        <v>7</v>
      </c>
      <c r="B10" s="1" t="s">
        <v>21</v>
      </c>
      <c r="C10" s="1" t="s">
        <v>96</v>
      </c>
      <c r="D10" s="1" t="s">
        <v>14</v>
      </c>
      <c r="E10" s="1"/>
      <c r="F10" s="1"/>
      <c r="G10" s="1"/>
    </row>
    <row r="11" spans="1:42" ht="15" customHeight="1">
      <c r="A11" s="3"/>
      <c r="B11" s="3" t="s">
        <v>97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ht="51">
      <c r="A12">
        <f>A10+1</f>
        <v>8</v>
      </c>
      <c r="B12" s="1" t="s">
        <v>22</v>
      </c>
      <c r="C12" s="1" t="s">
        <v>103</v>
      </c>
      <c r="D12" s="1" t="s">
        <v>14</v>
      </c>
      <c r="E12" s="19" t="s">
        <v>102</v>
      </c>
      <c r="F12" s="1"/>
      <c r="G12" s="1"/>
    </row>
    <row r="13" spans="1:42" ht="15" customHeight="1">
      <c r="A13">
        <f t="shared" si="0"/>
        <v>9</v>
      </c>
      <c r="B13" s="1" t="s">
        <v>23</v>
      </c>
      <c r="C13" s="1" t="s">
        <v>104</v>
      </c>
      <c r="D13" s="1" t="s">
        <v>14</v>
      </c>
      <c r="E13" s="1"/>
      <c r="F13" s="1"/>
      <c r="G13" s="1"/>
    </row>
    <row r="14" spans="1:42" ht="15" customHeight="1">
      <c r="A14">
        <f t="shared" si="0"/>
        <v>10</v>
      </c>
      <c r="B14" s="1" t="s">
        <v>24</v>
      </c>
      <c r="C14" s="1" t="s">
        <v>105</v>
      </c>
      <c r="D14" s="1" t="s">
        <v>14</v>
      </c>
      <c r="E14" s="1"/>
      <c r="F14" s="1"/>
      <c r="G14" s="1"/>
    </row>
    <row r="15" spans="1:42" ht="15" customHeight="1">
      <c r="A15">
        <f t="shared" si="0"/>
        <v>11</v>
      </c>
      <c r="B15" s="1" t="s">
        <v>25</v>
      </c>
      <c r="C15" s="1" t="s">
        <v>106</v>
      </c>
      <c r="D15" s="1" t="s">
        <v>14</v>
      </c>
      <c r="E15" s="1"/>
      <c r="F15" s="1"/>
      <c r="G15" s="1"/>
    </row>
    <row r="16" spans="1:42" ht="38.25">
      <c r="A16">
        <f t="shared" si="0"/>
        <v>12</v>
      </c>
      <c r="B16" s="1" t="s">
        <v>98</v>
      </c>
      <c r="C16" s="1" t="s">
        <v>107</v>
      </c>
      <c r="D16" s="1" t="s">
        <v>14</v>
      </c>
      <c r="E16" s="19" t="s">
        <v>122</v>
      </c>
      <c r="F16" s="1"/>
      <c r="G16" s="1"/>
    </row>
    <row r="17" spans="1:42" ht="15" customHeight="1">
      <c r="A17">
        <f t="shared" si="0"/>
        <v>13</v>
      </c>
      <c r="B17" s="1" t="s">
        <v>26</v>
      </c>
      <c r="C17" s="1" t="s">
        <v>108</v>
      </c>
      <c r="D17" s="1" t="s">
        <v>14</v>
      </c>
      <c r="E17" s="1"/>
      <c r="F17" s="1"/>
      <c r="G17" s="1"/>
      <c r="H17" s="18"/>
    </row>
    <row r="18" spans="1:42" ht="15" customHeight="1">
      <c r="A18" s="3"/>
      <c r="B18" s="3" t="s">
        <v>88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ht="15" customHeight="1">
      <c r="A19">
        <f>A17+1</f>
        <v>14</v>
      </c>
      <c r="B19" s="1" t="s">
        <v>85</v>
      </c>
      <c r="C19" s="1" t="s">
        <v>109</v>
      </c>
      <c r="D19" s="1" t="s">
        <v>110</v>
      </c>
      <c r="E19" s="1"/>
      <c r="F19" s="1"/>
      <c r="G19" s="1"/>
      <c r="H19" s="18"/>
    </row>
    <row r="20" spans="1:42" ht="15" customHeight="1">
      <c r="A20">
        <f t="shared" si="0"/>
        <v>15</v>
      </c>
      <c r="B20" s="1" t="s">
        <v>86</v>
      </c>
      <c r="C20" s="1" t="s">
        <v>111</v>
      </c>
      <c r="D20" s="1" t="s">
        <v>110</v>
      </c>
      <c r="E20" s="1"/>
      <c r="F20" s="1"/>
      <c r="G20" s="1"/>
      <c r="H20" s="18"/>
    </row>
    <row r="21" spans="1:42" ht="15" customHeight="1">
      <c r="A21">
        <f t="shared" si="0"/>
        <v>16</v>
      </c>
      <c r="B21" s="1" t="s">
        <v>27</v>
      </c>
      <c r="C21" s="1" t="s">
        <v>112</v>
      </c>
      <c r="D21" s="1" t="s">
        <v>114</v>
      </c>
      <c r="E21" s="1"/>
      <c r="F21" s="1"/>
      <c r="G21" s="1"/>
    </row>
    <row r="22" spans="1:42" ht="15" customHeight="1">
      <c r="A22">
        <f t="shared" si="0"/>
        <v>17</v>
      </c>
      <c r="B22" s="1" t="s">
        <v>28</v>
      </c>
      <c r="C22" s="1" t="s">
        <v>113</v>
      </c>
      <c r="D22" s="1" t="s">
        <v>114</v>
      </c>
      <c r="E22" s="1"/>
      <c r="F22" s="1"/>
      <c r="G22" s="1"/>
      <c r="H22" s="18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ht="15" customHeight="1">
      <c r="A23">
        <f t="shared" si="0"/>
        <v>18</v>
      </c>
      <c r="B23" s="5" t="s">
        <v>32</v>
      </c>
      <c r="C23" s="1" t="s">
        <v>115</v>
      </c>
      <c r="D23" s="5" t="s">
        <v>84</v>
      </c>
      <c r="E23" s="1"/>
      <c r="F23" s="1"/>
      <c r="G23" s="1"/>
      <c r="H23" s="5"/>
      <c r="K23" s="5"/>
      <c r="L23" s="5"/>
      <c r="M23" s="5"/>
      <c r="N23" s="5"/>
      <c r="O23" s="5"/>
      <c r="P23" s="5"/>
      <c r="Q23" s="5"/>
      <c r="R23" s="5"/>
      <c r="S23" s="6"/>
      <c r="T23" s="6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ht="15" customHeight="1">
      <c r="A24" s="3"/>
      <c r="B24" s="3" t="s">
        <v>121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ht="14.25" customHeight="1">
      <c r="A25">
        <f>A23+1</f>
        <v>19</v>
      </c>
      <c r="B25" s="1" t="s">
        <v>30</v>
      </c>
      <c r="C25" s="1" t="s">
        <v>31</v>
      </c>
      <c r="D25" s="5" t="s">
        <v>114</v>
      </c>
      <c r="E25" s="19" t="s">
        <v>101</v>
      </c>
      <c r="F25" s="1"/>
      <c r="G25" s="1"/>
      <c r="H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ht="25.5">
      <c r="A26">
        <f t="shared" ref="A26:A28" si="1">A25+1</f>
        <v>20</v>
      </c>
      <c r="B26" s="1" t="s">
        <v>116</v>
      </c>
      <c r="C26" s="1" t="s">
        <v>119</v>
      </c>
      <c r="D26" s="1" t="s">
        <v>114</v>
      </c>
      <c r="E26" s="19" t="s">
        <v>100</v>
      </c>
      <c r="F26" s="1"/>
      <c r="G26" s="1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ht="15" customHeight="1">
      <c r="A27">
        <f t="shared" si="1"/>
        <v>21</v>
      </c>
      <c r="B27" s="1" t="s">
        <v>117</v>
      </c>
      <c r="C27" s="1" t="s">
        <v>120</v>
      </c>
      <c r="D27" s="1" t="s">
        <v>114</v>
      </c>
      <c r="E27" s="19"/>
      <c r="F27" s="1"/>
      <c r="G27" s="1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ht="15" customHeight="1">
      <c r="A28">
        <f t="shared" si="1"/>
        <v>22</v>
      </c>
      <c r="B28" s="1" t="s">
        <v>118</v>
      </c>
      <c r="C28" s="1" t="s">
        <v>168</v>
      </c>
      <c r="D28" s="1" t="s">
        <v>167</v>
      </c>
      <c r="E28" s="19"/>
      <c r="F28" s="1"/>
      <c r="G28" s="1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ht="15" customHeight="1">
      <c r="A29" s="3"/>
      <c r="B29" s="3" t="s">
        <v>33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42" ht="15" customHeight="1">
      <c r="A30">
        <f>A28+1</f>
        <v>23</v>
      </c>
      <c r="B30" s="1" t="s">
        <v>34</v>
      </c>
      <c r="C30" s="1" t="s">
        <v>124</v>
      </c>
      <c r="D30" s="1" t="s">
        <v>14</v>
      </c>
      <c r="E30" s="1"/>
      <c r="F30" s="1"/>
      <c r="G30" s="1"/>
    </row>
    <row r="31" spans="1:42" ht="15" customHeight="1">
      <c r="A31">
        <f>A30+1</f>
        <v>24</v>
      </c>
      <c r="B31" s="1" t="s">
        <v>35</v>
      </c>
      <c r="C31" s="1" t="s">
        <v>125</v>
      </c>
      <c r="D31" s="1" t="s">
        <v>14</v>
      </c>
      <c r="E31" s="1"/>
      <c r="F31" s="1"/>
      <c r="G31" s="1"/>
    </row>
    <row r="32" spans="1:42" ht="15" customHeight="1">
      <c r="A32">
        <f t="shared" ref="A32:A34" si="2">A31+1</f>
        <v>25</v>
      </c>
      <c r="B32" s="1" t="s">
        <v>36</v>
      </c>
      <c r="C32" s="1" t="s">
        <v>126</v>
      </c>
      <c r="D32" s="1" t="s">
        <v>14</v>
      </c>
      <c r="E32" s="1"/>
      <c r="F32" s="1"/>
      <c r="G32" s="1"/>
    </row>
    <row r="33" spans="1:42" ht="15" customHeight="1">
      <c r="A33">
        <f t="shared" si="2"/>
        <v>26</v>
      </c>
      <c r="B33" s="1" t="s">
        <v>37</v>
      </c>
      <c r="C33" s="1" t="s">
        <v>127</v>
      </c>
      <c r="D33" s="1" t="s">
        <v>14</v>
      </c>
      <c r="E33" s="1"/>
      <c r="F33" s="1"/>
      <c r="G33" s="1"/>
    </row>
    <row r="34" spans="1:42" ht="15" customHeight="1">
      <c r="A34">
        <f t="shared" si="2"/>
        <v>27</v>
      </c>
      <c r="B34" s="1" t="s">
        <v>38</v>
      </c>
      <c r="C34" s="1" t="s">
        <v>128</v>
      </c>
      <c r="D34" s="1" t="s">
        <v>14</v>
      </c>
      <c r="E34" s="1"/>
      <c r="F34" s="1"/>
      <c r="G34" s="1"/>
    </row>
    <row r="35" spans="1:42" ht="15" customHeight="1">
      <c r="A35" s="3"/>
      <c r="B35" s="3" t="s">
        <v>64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 spans="1:42" ht="15" customHeight="1">
      <c r="A36" s="8"/>
      <c r="B36" s="8" t="s">
        <v>77</v>
      </c>
      <c r="C36" s="8"/>
      <c r="D36" s="8"/>
      <c r="E36" s="9"/>
      <c r="F36" s="9"/>
      <c r="G36" s="9"/>
      <c r="H36" s="9"/>
      <c r="I36" s="9"/>
      <c r="J36" s="9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5" customHeight="1">
      <c r="A37">
        <f>A34+1</f>
        <v>28</v>
      </c>
      <c r="B37" s="1" t="s">
        <v>65</v>
      </c>
      <c r="C37" s="1" t="s">
        <v>151</v>
      </c>
      <c r="D37" s="1" t="s">
        <v>29</v>
      </c>
      <c r="E37" s="1"/>
      <c r="F37" s="1"/>
      <c r="G37" s="1"/>
    </row>
    <row r="38" spans="1:42" ht="15" customHeight="1">
      <c r="A38">
        <f>A37+1</f>
        <v>29</v>
      </c>
      <c r="B38" s="1" t="s">
        <v>66</v>
      </c>
      <c r="C38" s="1" t="s">
        <v>153</v>
      </c>
      <c r="D38" s="1" t="s">
        <v>14</v>
      </c>
      <c r="E38" s="1"/>
      <c r="F38" s="1"/>
      <c r="G38" s="1"/>
    </row>
    <row r="39" spans="1:42" ht="15" customHeight="1">
      <c r="A39">
        <f>A38+1</f>
        <v>30</v>
      </c>
      <c r="B39" s="1" t="s">
        <v>67</v>
      </c>
      <c r="C39" s="1" t="s">
        <v>154</v>
      </c>
      <c r="D39" s="1" t="s">
        <v>14</v>
      </c>
      <c r="E39" s="1"/>
      <c r="F39" s="1"/>
      <c r="G39" s="1"/>
    </row>
    <row r="40" spans="1:42" ht="15" customHeight="1">
      <c r="A40">
        <f t="shared" ref="A40:A41" si="3">A39+1</f>
        <v>31</v>
      </c>
      <c r="B40" s="1" t="s">
        <v>78</v>
      </c>
      <c r="C40" s="1" t="s">
        <v>159</v>
      </c>
      <c r="D40" s="1" t="s">
        <v>14</v>
      </c>
      <c r="E40" s="1"/>
      <c r="F40" s="1"/>
      <c r="G40" s="1"/>
    </row>
    <row r="41" spans="1:42" ht="38.25">
      <c r="A41">
        <f t="shared" si="3"/>
        <v>32</v>
      </c>
      <c r="B41" s="1" t="s">
        <v>81</v>
      </c>
      <c r="C41" s="1" t="s">
        <v>160</v>
      </c>
      <c r="D41" s="1" t="s">
        <v>84</v>
      </c>
      <c r="E41" s="19" t="s">
        <v>166</v>
      </c>
      <c r="F41" s="1"/>
      <c r="G41" s="1"/>
    </row>
    <row r="42" spans="1:42" ht="15" customHeight="1">
      <c r="A42" s="8"/>
      <c r="B42" s="8" t="s">
        <v>76</v>
      </c>
      <c r="C42" s="8"/>
      <c r="D42" s="8"/>
      <c r="E42" s="9"/>
      <c r="F42" s="9"/>
      <c r="G42" s="9"/>
      <c r="H42" s="9"/>
      <c r="I42" s="9"/>
      <c r="J42" s="9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5" customHeight="1">
      <c r="A43">
        <f>A41</f>
        <v>32</v>
      </c>
      <c r="B43" s="1" t="s">
        <v>68</v>
      </c>
      <c r="C43" s="1" t="s">
        <v>152</v>
      </c>
      <c r="D43" s="1" t="s">
        <v>29</v>
      </c>
      <c r="E43" s="1"/>
      <c r="F43" s="1"/>
      <c r="G43" s="1"/>
    </row>
    <row r="44" spans="1:42" ht="15" customHeight="1">
      <c r="A44">
        <f>A43+1</f>
        <v>33</v>
      </c>
      <c r="B44" s="1" t="s">
        <v>69</v>
      </c>
      <c r="C44" s="1" t="s">
        <v>155</v>
      </c>
      <c r="D44" s="1" t="s">
        <v>14</v>
      </c>
      <c r="E44" s="1"/>
      <c r="F44" s="1"/>
      <c r="G44" s="1"/>
    </row>
    <row r="45" spans="1:42" ht="15" customHeight="1">
      <c r="A45">
        <f t="shared" ref="A45:A47" si="4">A44+1</f>
        <v>34</v>
      </c>
      <c r="B45" s="1" t="s">
        <v>70</v>
      </c>
      <c r="C45" s="1" t="s">
        <v>156</v>
      </c>
      <c r="D45" s="1" t="s">
        <v>14</v>
      </c>
      <c r="E45" s="1"/>
      <c r="F45" s="1"/>
      <c r="G45" s="1"/>
    </row>
    <row r="46" spans="1:42" ht="15" customHeight="1">
      <c r="A46">
        <f t="shared" si="4"/>
        <v>35</v>
      </c>
      <c r="B46" s="1" t="s">
        <v>79</v>
      </c>
      <c r="C46" s="1" t="s">
        <v>161</v>
      </c>
      <c r="D46" s="1" t="s">
        <v>14</v>
      </c>
      <c r="E46" s="1"/>
      <c r="F46" s="1"/>
      <c r="G46" s="1"/>
    </row>
    <row r="47" spans="1:42" ht="15" customHeight="1">
      <c r="A47">
        <f t="shared" si="4"/>
        <v>36</v>
      </c>
      <c r="B47" s="1" t="s">
        <v>82</v>
      </c>
      <c r="C47" s="1" t="s">
        <v>162</v>
      </c>
      <c r="D47" s="1" t="s">
        <v>84</v>
      </c>
      <c r="E47" s="1"/>
      <c r="F47" s="1"/>
      <c r="G47" s="1"/>
    </row>
    <row r="48" spans="1:42" ht="15" customHeight="1">
      <c r="A48" s="8"/>
      <c r="B48" s="8" t="s">
        <v>71</v>
      </c>
      <c r="C48" s="8"/>
      <c r="D48" s="8"/>
      <c r="E48" s="9"/>
      <c r="F48" s="9"/>
      <c r="G48" s="9"/>
      <c r="H48" s="9"/>
      <c r="I48" s="9"/>
      <c r="J48" s="9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5" customHeight="1">
      <c r="A49">
        <f>A47</f>
        <v>36</v>
      </c>
      <c r="B49" s="1" t="s">
        <v>72</v>
      </c>
      <c r="C49" s="1" t="s">
        <v>163</v>
      </c>
      <c r="D49" s="1" t="s">
        <v>29</v>
      </c>
      <c r="E49" s="1"/>
      <c r="F49" s="1"/>
      <c r="G49" s="1"/>
    </row>
    <row r="50" spans="1:42" ht="15" customHeight="1">
      <c r="A50">
        <f>A49+1</f>
        <v>37</v>
      </c>
      <c r="B50" s="1" t="s">
        <v>73</v>
      </c>
      <c r="C50" s="1" t="s">
        <v>157</v>
      </c>
      <c r="D50" s="1" t="s">
        <v>14</v>
      </c>
      <c r="E50" s="1"/>
      <c r="F50" s="1"/>
      <c r="G50" s="1"/>
    </row>
    <row r="51" spans="1:42" ht="15" customHeight="1">
      <c r="A51">
        <f t="shared" ref="A51:A53" si="5">A50+1</f>
        <v>38</v>
      </c>
      <c r="B51" s="1" t="s">
        <v>74</v>
      </c>
      <c r="C51" s="1" t="s">
        <v>158</v>
      </c>
      <c r="D51" s="1" t="s">
        <v>14</v>
      </c>
      <c r="E51" s="1"/>
      <c r="F51" s="1"/>
      <c r="G51" s="1"/>
    </row>
    <row r="52" spans="1:42" ht="15" customHeight="1">
      <c r="A52">
        <f t="shared" si="5"/>
        <v>39</v>
      </c>
      <c r="B52" s="1" t="s">
        <v>80</v>
      </c>
      <c r="C52" s="1" t="s">
        <v>164</v>
      </c>
      <c r="D52" s="1" t="s">
        <v>14</v>
      </c>
      <c r="E52" s="1"/>
      <c r="F52" s="1"/>
      <c r="G52" s="1"/>
    </row>
    <row r="53" spans="1:42" ht="15" customHeight="1">
      <c r="A53">
        <f t="shared" si="5"/>
        <v>40</v>
      </c>
      <c r="B53" s="1" t="s">
        <v>83</v>
      </c>
      <c r="C53" s="1" t="s">
        <v>165</v>
      </c>
      <c r="D53" s="1" t="s">
        <v>84</v>
      </c>
      <c r="E53" s="18"/>
      <c r="F53" s="1"/>
      <c r="G53" s="1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</row>
    <row r="54" spans="1:42" ht="15" customHeight="1">
      <c r="A54" s="3"/>
      <c r="B54" s="3" t="s">
        <v>184</v>
      </c>
      <c r="C54" s="3"/>
      <c r="D54" s="3"/>
      <c r="E54" s="3"/>
      <c r="F54" s="3"/>
      <c r="G54" s="3"/>
      <c r="H54" s="4"/>
      <c r="I54" s="3"/>
      <c r="J54" s="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</row>
    <row r="55" spans="1:42" ht="15" customHeight="1">
      <c r="A55">
        <f>A53+1</f>
        <v>41</v>
      </c>
      <c r="B55" t="s">
        <v>8</v>
      </c>
      <c r="C55" s="1" t="s">
        <v>9</v>
      </c>
      <c r="D55" s="1" t="s">
        <v>10</v>
      </c>
      <c r="E55" s="1"/>
      <c r="F55" s="1"/>
      <c r="G55" s="1"/>
    </row>
    <row r="56" spans="1:42" ht="15" customHeight="1">
      <c r="A56">
        <f>A55+1</f>
        <v>42</v>
      </c>
      <c r="B56" s="16" t="s">
        <v>11</v>
      </c>
      <c r="C56" s="1" t="s">
        <v>89</v>
      </c>
      <c r="D56" s="1" t="s">
        <v>12</v>
      </c>
      <c r="E56" s="1"/>
      <c r="F56" s="1"/>
      <c r="G56" s="1"/>
    </row>
    <row r="57" spans="1:42" ht="15" customHeight="1">
      <c r="A57" s="3"/>
      <c r="B57" s="3" t="s">
        <v>39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</row>
    <row r="58" spans="1:42" ht="15" customHeight="1">
      <c r="A58">
        <f>A56+1</f>
        <v>43</v>
      </c>
      <c r="B58" s="18" t="s">
        <v>40</v>
      </c>
      <c r="C58" s="1" t="s">
        <v>123</v>
      </c>
      <c r="D58" s="18" t="s">
        <v>41</v>
      </c>
      <c r="E58" s="18" t="s">
        <v>129</v>
      </c>
      <c r="F58" s="1"/>
      <c r="G58" s="1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</row>
    <row r="59" spans="1:42" ht="15" customHeight="1">
      <c r="A59">
        <f>A58+1</f>
        <v>44</v>
      </c>
      <c r="B59" s="18" t="s">
        <v>42</v>
      </c>
      <c r="C59" s="1" t="s">
        <v>130</v>
      </c>
      <c r="D59" s="18" t="s">
        <v>43</v>
      </c>
      <c r="E59" s="18" t="s">
        <v>129</v>
      </c>
      <c r="F59" s="1"/>
      <c r="G59" s="1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</row>
    <row r="60" spans="1:42" ht="15" customHeight="1">
      <c r="A60">
        <f t="shared" ref="A60:A77" si="6">A59+1</f>
        <v>45</v>
      </c>
      <c r="B60" s="18" t="s">
        <v>44</v>
      </c>
      <c r="C60" s="1" t="s">
        <v>131</v>
      </c>
      <c r="D60" s="18" t="s">
        <v>43</v>
      </c>
      <c r="E60" s="18" t="s">
        <v>129</v>
      </c>
      <c r="F60" s="1"/>
      <c r="G60" s="1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</row>
    <row r="61" spans="1:42" ht="15" customHeight="1">
      <c r="A61">
        <f t="shared" si="6"/>
        <v>46</v>
      </c>
      <c r="B61" s="18" t="s">
        <v>45</v>
      </c>
      <c r="C61" s="1" t="s">
        <v>132</v>
      </c>
      <c r="D61" s="18" t="s">
        <v>43</v>
      </c>
      <c r="E61" s="18" t="s">
        <v>129</v>
      </c>
      <c r="F61" s="1"/>
      <c r="G61" s="1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</row>
    <row r="62" spans="1:42" ht="15" customHeight="1">
      <c r="A62">
        <f t="shared" si="6"/>
        <v>47</v>
      </c>
      <c r="B62" s="18" t="s">
        <v>46</v>
      </c>
      <c r="C62" s="1" t="s">
        <v>133</v>
      </c>
      <c r="D62" s="18" t="s">
        <v>43</v>
      </c>
      <c r="E62" s="18" t="s">
        <v>129</v>
      </c>
      <c r="F62" s="1"/>
      <c r="G62" s="1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</row>
    <row r="63" spans="1:42" ht="15" customHeight="1">
      <c r="A63">
        <f t="shared" si="6"/>
        <v>48</v>
      </c>
      <c r="B63" s="1" t="s">
        <v>47</v>
      </c>
      <c r="C63" s="1" t="s">
        <v>134</v>
      </c>
      <c r="D63" s="18" t="s">
        <v>48</v>
      </c>
      <c r="E63" s="18" t="s">
        <v>135</v>
      </c>
      <c r="F63" s="1"/>
      <c r="G63" s="1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</row>
    <row r="64" spans="1:42" ht="15" customHeight="1">
      <c r="A64">
        <f t="shared" si="6"/>
        <v>49</v>
      </c>
      <c r="B64" s="1" t="s">
        <v>49</v>
      </c>
      <c r="C64" s="1" t="s">
        <v>136</v>
      </c>
      <c r="D64" s="18" t="s">
        <v>48</v>
      </c>
      <c r="E64" s="1"/>
      <c r="F64" s="1"/>
      <c r="G64" s="1"/>
    </row>
    <row r="65" spans="1:42" ht="15" customHeight="1">
      <c r="A65">
        <f t="shared" si="6"/>
        <v>50</v>
      </c>
      <c r="B65" s="1" t="s">
        <v>50</v>
      </c>
      <c r="C65" s="1" t="s">
        <v>137</v>
      </c>
      <c r="D65" s="18" t="s">
        <v>48</v>
      </c>
      <c r="E65" s="1"/>
      <c r="F65" s="1"/>
      <c r="G65" s="1"/>
    </row>
    <row r="66" spans="1:42" ht="15" customHeight="1">
      <c r="A66">
        <f t="shared" si="6"/>
        <v>51</v>
      </c>
      <c r="B66" s="1" t="s">
        <v>51</v>
      </c>
      <c r="C66" s="1" t="s">
        <v>138</v>
      </c>
      <c r="D66" s="18" t="s">
        <v>48</v>
      </c>
      <c r="E66" s="1"/>
      <c r="F66" s="1"/>
      <c r="G66" s="1"/>
    </row>
    <row r="67" spans="1:42" ht="15" customHeight="1">
      <c r="A67">
        <f t="shared" si="6"/>
        <v>52</v>
      </c>
      <c r="B67" s="1" t="s">
        <v>52</v>
      </c>
      <c r="C67" s="1" t="s">
        <v>139</v>
      </c>
      <c r="D67" s="18" t="s">
        <v>48</v>
      </c>
      <c r="E67" s="1"/>
      <c r="F67" s="1"/>
      <c r="G67" s="1"/>
    </row>
    <row r="68" spans="1:42" ht="15" customHeight="1">
      <c r="A68">
        <f t="shared" si="6"/>
        <v>53</v>
      </c>
      <c r="B68" s="1" t="s">
        <v>140</v>
      </c>
      <c r="C68" s="1" t="s">
        <v>141</v>
      </c>
      <c r="D68" s="18" t="s">
        <v>48</v>
      </c>
      <c r="E68" s="1" t="s">
        <v>135</v>
      </c>
      <c r="F68" s="1"/>
      <c r="G68" s="1"/>
    </row>
    <row r="69" spans="1:42" ht="15" customHeight="1">
      <c r="A69">
        <f t="shared" si="6"/>
        <v>54</v>
      </c>
      <c r="B69" s="1" t="s">
        <v>53</v>
      </c>
      <c r="C69" s="1" t="s">
        <v>142</v>
      </c>
      <c r="D69" s="18" t="s">
        <v>48</v>
      </c>
      <c r="E69" s="1" t="s">
        <v>135</v>
      </c>
      <c r="F69" s="1"/>
      <c r="G69" s="1"/>
    </row>
    <row r="70" spans="1:42" ht="15" customHeight="1">
      <c r="A70">
        <f t="shared" si="6"/>
        <v>55</v>
      </c>
      <c r="B70" s="1" t="s">
        <v>54</v>
      </c>
      <c r="C70" s="1" t="s">
        <v>143</v>
      </c>
      <c r="D70" s="7" t="s">
        <v>55</v>
      </c>
      <c r="E70" s="1"/>
      <c r="F70" s="1"/>
      <c r="G70" s="1"/>
    </row>
    <row r="71" spans="1:42" ht="15" customHeight="1">
      <c r="A71">
        <f t="shared" si="6"/>
        <v>56</v>
      </c>
      <c r="B71" s="1" t="s">
        <v>56</v>
      </c>
      <c r="C71" s="1" t="s">
        <v>144</v>
      </c>
      <c r="D71" s="7" t="s">
        <v>55</v>
      </c>
      <c r="E71" s="1"/>
      <c r="F71" s="1"/>
      <c r="G71" s="1"/>
    </row>
    <row r="72" spans="1:42" ht="15" customHeight="1">
      <c r="A72">
        <f t="shared" si="6"/>
        <v>57</v>
      </c>
      <c r="B72" s="1" t="s">
        <v>57</v>
      </c>
      <c r="C72" s="1" t="s">
        <v>146</v>
      </c>
      <c r="D72" s="7" t="s">
        <v>55</v>
      </c>
      <c r="E72" s="18"/>
      <c r="F72" s="1"/>
      <c r="G72" s="1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</row>
    <row r="73" spans="1:42" ht="15" customHeight="1">
      <c r="A73">
        <f t="shared" si="6"/>
        <v>58</v>
      </c>
      <c r="B73" s="1" t="s">
        <v>58</v>
      </c>
      <c r="C73" s="1" t="s">
        <v>145</v>
      </c>
      <c r="D73" s="7" t="s">
        <v>55</v>
      </c>
      <c r="E73" s="18"/>
      <c r="F73" s="1"/>
      <c r="G73" s="1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</row>
    <row r="74" spans="1:42" ht="15" customHeight="1">
      <c r="A74">
        <f t="shared" si="6"/>
        <v>59</v>
      </c>
      <c r="B74" s="1" t="s">
        <v>59</v>
      </c>
      <c r="C74" s="1" t="s">
        <v>148</v>
      </c>
      <c r="D74" s="7" t="s">
        <v>55</v>
      </c>
      <c r="E74" s="18"/>
      <c r="F74" s="1"/>
      <c r="G74" s="1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</row>
    <row r="75" spans="1:42" ht="15" customHeight="1">
      <c r="A75">
        <f t="shared" si="6"/>
        <v>60</v>
      </c>
      <c r="B75" s="1" t="s">
        <v>60</v>
      </c>
      <c r="C75" s="1" t="s">
        <v>149</v>
      </c>
      <c r="D75" s="7" t="s">
        <v>55</v>
      </c>
      <c r="E75" s="18"/>
      <c r="F75" s="1"/>
      <c r="G75" s="1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</row>
    <row r="76" spans="1:42" ht="15" customHeight="1">
      <c r="A76">
        <f t="shared" si="6"/>
        <v>61</v>
      </c>
      <c r="B76" s="1" t="s">
        <v>61</v>
      </c>
      <c r="C76" s="1" t="s">
        <v>150</v>
      </c>
      <c r="D76" s="7" t="s">
        <v>55</v>
      </c>
      <c r="E76" s="18"/>
      <c r="F76" s="1"/>
      <c r="G76" s="1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</row>
    <row r="77" spans="1:42" ht="15" customHeight="1">
      <c r="A77">
        <f t="shared" si="6"/>
        <v>62</v>
      </c>
      <c r="B77" s="1" t="s">
        <v>62</v>
      </c>
      <c r="C77" s="1" t="s">
        <v>147</v>
      </c>
      <c r="D77" s="7" t="s">
        <v>55</v>
      </c>
      <c r="E77" s="18"/>
      <c r="F77" s="1"/>
      <c r="G77" s="1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</row>
    <row r="78" spans="1:42" ht="15" customHeight="1">
      <c r="A78" s="3"/>
      <c r="B78" s="3" t="s">
        <v>63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</row>
    <row r="79" spans="1:42" ht="15" customHeight="1">
      <c r="A79">
        <f>A77+1</f>
        <v>63</v>
      </c>
      <c r="B79" s="1" t="s">
        <v>169</v>
      </c>
      <c r="C79" s="1" t="s">
        <v>177</v>
      </c>
      <c r="D79" s="1" t="s">
        <v>10</v>
      </c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</row>
    <row r="80" spans="1:42" ht="15" customHeight="1">
      <c r="A80">
        <f>A79+1</f>
        <v>64</v>
      </c>
      <c r="B80" s="1" t="s">
        <v>170</v>
      </c>
      <c r="C80" s="1" t="s">
        <v>178</v>
      </c>
      <c r="D80" s="1" t="s">
        <v>12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</row>
    <row r="81" spans="1:42" ht="38.25">
      <c r="A81">
        <f t="shared" ref="A81:A85" si="7">A80+1</f>
        <v>65</v>
      </c>
      <c r="B81" s="1" t="s">
        <v>171</v>
      </c>
      <c r="C81" s="1" t="s">
        <v>179</v>
      </c>
      <c r="D81" s="1" t="s">
        <v>10</v>
      </c>
      <c r="E81" s="20" t="s">
        <v>173</v>
      </c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</row>
    <row r="82" spans="1:42" ht="38.25">
      <c r="A82">
        <f t="shared" si="7"/>
        <v>66</v>
      </c>
      <c r="B82" s="1" t="s">
        <v>172</v>
      </c>
      <c r="C82" s="1" t="s">
        <v>180</v>
      </c>
      <c r="D82" s="1" t="s">
        <v>12</v>
      </c>
      <c r="E82" s="20" t="s">
        <v>173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</row>
    <row r="83" spans="1:42" ht="15" customHeight="1">
      <c r="A83">
        <f t="shared" si="7"/>
        <v>67</v>
      </c>
      <c r="B83" s="1" t="s">
        <v>174</v>
      </c>
      <c r="C83" s="1" t="s">
        <v>181</v>
      </c>
      <c r="D83" s="1" t="s">
        <v>14</v>
      </c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</row>
    <row r="84" spans="1:42" ht="15" customHeight="1">
      <c r="A84">
        <f t="shared" si="7"/>
        <v>68</v>
      </c>
      <c r="B84" s="1" t="s">
        <v>175</v>
      </c>
      <c r="C84" s="1" t="s">
        <v>182</v>
      </c>
      <c r="D84" s="1" t="s">
        <v>14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</row>
    <row r="85" spans="1:42" ht="15" customHeight="1">
      <c r="A85">
        <f t="shared" si="7"/>
        <v>69</v>
      </c>
      <c r="B85" s="1" t="s">
        <v>176</v>
      </c>
      <c r="C85" s="1" t="s">
        <v>183</v>
      </c>
      <c r="D85" s="1" t="s">
        <v>14</v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</row>
    <row r="86" spans="1:42" ht="1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</row>
    <row r="87" spans="1:42" ht="1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</row>
    <row r="88" spans="1:42" ht="1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</row>
    <row r="89" spans="1:42" ht="1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</row>
    <row r="90" spans="1:42" ht="1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</row>
    <row r="91" spans="1:42" ht="15" customHeight="1">
      <c r="B91" s="1"/>
      <c r="C91" s="1"/>
      <c r="D91" s="17"/>
      <c r="E91" s="1"/>
      <c r="F91" s="1"/>
      <c r="G91" s="1"/>
    </row>
    <row r="92" spans="1:42" ht="15" customHeight="1">
      <c r="B92" s="1"/>
      <c r="C92" s="1"/>
      <c r="D92" s="17"/>
      <c r="E92" s="1"/>
      <c r="F92" s="1"/>
      <c r="G92" s="1"/>
    </row>
    <row r="93" spans="1:42" ht="15" customHeight="1">
      <c r="B93" s="1"/>
      <c r="C93" s="1"/>
      <c r="D93" s="17"/>
      <c r="E93" s="1"/>
      <c r="F93" s="1"/>
      <c r="G93" s="1"/>
    </row>
    <row r="94" spans="1:42" ht="15" customHeight="1">
      <c r="B94" s="1"/>
      <c r="C94" s="1"/>
      <c r="D94" s="17"/>
      <c r="E94" s="1"/>
      <c r="F94" s="1"/>
      <c r="G94" s="1"/>
    </row>
    <row r="95" spans="1:42" ht="15" customHeight="1">
      <c r="B95" s="1"/>
      <c r="C95" s="1"/>
      <c r="D95" s="17"/>
      <c r="E95" s="1"/>
      <c r="F95" s="1"/>
      <c r="G95" s="1"/>
    </row>
    <row r="96" spans="1:42" ht="15" customHeight="1">
      <c r="B96" s="1"/>
      <c r="C96" s="1"/>
      <c r="D96" s="17"/>
      <c r="E96" s="1"/>
      <c r="F96" s="1"/>
      <c r="G96" s="1"/>
    </row>
    <row r="97" spans="2:7" ht="15" customHeight="1">
      <c r="B97" s="1"/>
      <c r="C97" s="1"/>
      <c r="D97" s="17"/>
      <c r="E97" s="1"/>
      <c r="F97" s="1"/>
      <c r="G97" s="1"/>
    </row>
    <row r="98" spans="2:7" ht="15" customHeight="1">
      <c r="B98" s="1"/>
      <c r="C98" s="1"/>
      <c r="D98" s="1"/>
      <c r="E98" s="1"/>
      <c r="F98" s="1"/>
      <c r="G98" s="1"/>
    </row>
    <row r="99" spans="2:7" ht="15" customHeight="1">
      <c r="B99" s="1"/>
      <c r="C99" s="1"/>
      <c r="D99" s="1"/>
      <c r="E99" s="1"/>
      <c r="F99" s="1"/>
      <c r="G99" s="1"/>
    </row>
    <row r="100" spans="2:7" ht="15" customHeight="1">
      <c r="B100" s="1"/>
      <c r="C100" s="1"/>
      <c r="D100" s="1"/>
      <c r="E100" s="1"/>
      <c r="F100" s="1"/>
      <c r="G100" s="1"/>
    </row>
    <row r="101" spans="2:7" ht="15" customHeight="1">
      <c r="B101" s="1"/>
      <c r="C101" s="1"/>
      <c r="D101" s="1"/>
      <c r="E101" s="1"/>
      <c r="F101" s="1"/>
      <c r="G101" s="1"/>
    </row>
    <row r="102" spans="2:7" ht="15" customHeight="1">
      <c r="B102" s="1"/>
      <c r="C102" s="1"/>
      <c r="D102" s="1"/>
      <c r="E102" s="1"/>
      <c r="F102" s="1"/>
      <c r="G102" s="1"/>
    </row>
    <row r="103" spans="2:7" ht="15" customHeight="1">
      <c r="B103" s="1"/>
      <c r="C103" s="1"/>
      <c r="D103" s="1"/>
      <c r="E103" s="1"/>
      <c r="F103" s="1"/>
      <c r="G103" s="1"/>
    </row>
    <row r="104" spans="2:7" ht="15" customHeight="1">
      <c r="B104" s="1"/>
      <c r="C104" s="1"/>
      <c r="D104" s="1"/>
      <c r="E104" s="1"/>
      <c r="F104" s="1"/>
      <c r="G104" s="1"/>
    </row>
    <row r="105" spans="2:7" ht="15" customHeight="1">
      <c r="B105" s="1"/>
      <c r="C105" s="1"/>
      <c r="D105" s="7"/>
      <c r="E105" s="1"/>
      <c r="F105" s="1"/>
      <c r="G105" s="1"/>
    </row>
    <row r="106" spans="2:7" ht="15" customHeight="1">
      <c r="B106" s="1"/>
      <c r="C106" s="1"/>
      <c r="D106" s="7"/>
      <c r="E106" s="1"/>
      <c r="F106" s="1"/>
      <c r="G106" s="1"/>
    </row>
    <row r="107" spans="2:7" ht="15" customHeight="1">
      <c r="B107" s="1"/>
      <c r="C107" s="1"/>
      <c r="D107" s="1"/>
      <c r="E107" s="1"/>
      <c r="F107" s="1"/>
      <c r="G107" s="1"/>
    </row>
    <row r="108" spans="2:7" ht="15" customHeight="1">
      <c r="B108" s="1"/>
      <c r="C108" s="1"/>
      <c r="D108" s="7"/>
      <c r="E108" s="1"/>
      <c r="F108" s="1"/>
      <c r="G108" s="1"/>
    </row>
    <row r="109" spans="2:7" ht="15" customHeight="1">
      <c r="B109" s="1"/>
      <c r="C109" s="1"/>
      <c r="D109" s="7"/>
      <c r="E109" s="1"/>
      <c r="F109" s="1"/>
      <c r="G109" s="1"/>
    </row>
    <row r="110" spans="2:7" ht="15" customHeight="1">
      <c r="B110" s="1"/>
      <c r="C110" s="1"/>
      <c r="D110" s="7"/>
      <c r="E110" s="1"/>
      <c r="F110" s="1"/>
      <c r="G110" s="1"/>
    </row>
    <row r="111" spans="2:7" ht="12.75">
      <c r="B111" s="1"/>
      <c r="C111" s="1"/>
      <c r="D111" s="1"/>
      <c r="E111" s="1"/>
      <c r="F111" s="1"/>
      <c r="G111" s="1"/>
    </row>
  </sheetData>
  <dataValidations disablePrompts="1" count="1">
    <dataValidation type="list" allowBlank="1" showInputMessage="1" showErrorMessage="1" sqref="I55:J56 I30:J34 I37:J41 I91:J111 I43:J47 I64:J71 I49:J52 I12:J17 I3:J10 I19:J23 I25:J28" xr:uid="{1512FC0F-AA03-294E-A922-48FC134C0B9F}">
      <formula1>#REF!</formula1>
    </dataValidation>
  </dataValidations>
  <pageMargins left="0.7" right="0.7" top="0.75" bottom="0.75" header="0.3" footer="0.3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 Clarke</dc:creator>
  <cp:keywords/>
  <dc:description/>
  <cp:lastModifiedBy>Leon Clarke</cp:lastModifiedBy>
  <cp:revision/>
  <dcterms:created xsi:type="dcterms:W3CDTF">2024-11-18T13:51:10Z</dcterms:created>
  <dcterms:modified xsi:type="dcterms:W3CDTF">2025-12-01T00:24:58Z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2025-11-14T01:44:30Z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78fbea4c-d6e9-4488-a8c2-ecb237e6ef96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