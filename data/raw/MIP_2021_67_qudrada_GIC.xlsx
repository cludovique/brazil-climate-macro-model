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 Ludovique\Desktop\Profissional\Politica Industrial Verde\Perobelli Curso\"/>
    </mc:Choice>
  </mc:AlternateContent>
  <xr:revisionPtr revIDLastSave="0" documentId="13_ncr:1_{A1558D2F-8699-4E28-9A3A-18E3B89C4F68}" xr6:coauthVersionLast="47" xr6:coauthVersionMax="47" xr10:uidLastSave="{00000000-0000-0000-0000-000000000000}"/>
  <bookViews>
    <workbookView xWindow="-120" yWindow="-120" windowWidth="38640" windowHeight="15720" tabRatio="838" activeTab="2" xr2:uid="{00000000-000D-0000-FFFF-FFFF00000000}"/>
  </bookViews>
  <sheets>
    <sheet name="ÍNDICE" sheetId="1" r:id="rId1"/>
    <sheet name="Recursos" sheetId="2" r:id="rId2"/>
    <sheet name="Usos" sheetId="3" r:id="rId3"/>
    <sheet name="Usos Nacional" sheetId="4" r:id="rId4"/>
    <sheet name="Usos Importado" sheetId="5" r:id="rId5"/>
    <sheet name="Impostos" sheetId="6" state="hidden" r:id="rId6"/>
    <sheet name="Comércio" sheetId="7" state="hidden" r:id="rId7"/>
    <sheet name="Transporte" sheetId="8" state="hidden" r:id="rId8"/>
    <sheet name="An" sheetId="9" r:id="rId9"/>
    <sheet name="Am" sheetId="10" r:id="rId10"/>
    <sheet name="MIL" sheetId="11" r:id="rId11"/>
    <sheet name="Setores" sheetId="21" r:id="rId12"/>
    <sheet name="set" sheetId="22" r:id="rId13"/>
    <sheet name="Z" sheetId="12" r:id="rId14"/>
    <sheet name="y" sheetId="13" r:id="rId15"/>
    <sheet name="x" sheetId="14" r:id="rId16"/>
    <sheet name="v" sheetId="15" r:id="rId17"/>
    <sheet name="sp" sheetId="16" r:id="rId18"/>
    <sheet name="r" sheetId="17" r:id="rId19"/>
    <sheet name="e" sheetId="18" r:id="rId20"/>
    <sheet name="c" sheetId="19" r:id="rId21"/>
  </sheets>
  <definedNames>
    <definedName name="_xlnm.Print_Area" localSheetId="1">Recursos!$A$1:$I$75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 a="1"/>
  <c r="A1" i="18" s="1"/>
  <c r="A1" i="17" a="1"/>
  <c r="A1" i="17" s="1"/>
  <c r="A1" i="12" a="1"/>
  <c r="A1" i="12" s="1"/>
  <c r="A1" i="14" a="1"/>
  <c r="A1" i="14" s="1"/>
  <c r="A2" i="22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1" i="22"/>
  <c r="A2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1" i="19"/>
  <c r="A1" i="15" a="1"/>
  <c r="A1" i="15" s="1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1" i="13"/>
  <c r="U3" i="11"/>
  <c r="AD3" i="11" s="1"/>
  <c r="AM3" i="11" s="1"/>
  <c r="AV3" i="11" s="1"/>
  <c r="BE3" i="11" s="1"/>
  <c r="BQ3" i="11" s="1"/>
  <c r="L3" i="11"/>
  <c r="AD3" i="10"/>
  <c r="AM3" i="10" s="1"/>
  <c r="AV3" i="10" s="1"/>
  <c r="BE3" i="10" s="1"/>
  <c r="BQ3" i="10" s="1"/>
  <c r="U3" i="10"/>
  <c r="L3" i="10"/>
  <c r="AD3" i="9"/>
  <c r="AM3" i="9" s="1"/>
  <c r="AV3" i="9" s="1"/>
  <c r="BE3" i="9" s="1"/>
  <c r="BQ3" i="9" s="1"/>
  <c r="U3" i="9"/>
  <c r="L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<sst xmlns="http://schemas.openxmlformats.org/spreadsheetml/2006/main" count="3310" uniqueCount="346">
  <si>
    <t xml:space="preserve">Tabela 1 - Recursos de bens e serviços </t>
  </si>
  <si>
    <t>Tabela 2 - Usos Totais a preços de consumidor</t>
  </si>
  <si>
    <t>Tabela 3 - Demanda da produção nacionais a preço básico</t>
  </si>
  <si>
    <t>Tabela 4 - Demanda de produtos importados a preço básico</t>
  </si>
  <si>
    <t>Tabela 5 - Destino dos impostos sobre produtos nacionais e importados (soma das Tabels 5 e 6 do SCN 2010, IBGE)</t>
  </si>
  <si>
    <t>Tabela 6 - Destino da margem de comércio sobre produtos nacionais e importados (soma das Tabels 7 e 8 do SCN 2010, IBGE)</t>
  </si>
  <si>
    <t>Tabela 7 - Destino da margem de transporte sobre produtos nacionais e importados (soma das Tabels 9 e 10 do SCN 2010, IBGE)</t>
  </si>
  <si>
    <t>Tabela 8 - Matriz dos coeficientes técnicos intersetoriais nacionais</t>
  </si>
  <si>
    <t>Tabela 9 - Matriz dos coeficientes técnicos intersetoriais importados</t>
  </si>
  <si>
    <t>Tabela 10 - Matriz de impacto intersetorial - Matriz de Leontief</t>
  </si>
  <si>
    <t>Referenciar como:</t>
  </si>
  <si>
    <t>Unidade de Medida: R$ 1.000.000,00</t>
  </si>
  <si>
    <t>Oferta de bens e serviços</t>
  </si>
  <si>
    <t>Produção das atividades</t>
  </si>
  <si>
    <t>Importação de bens e serviços (1)</t>
  </si>
  <si>
    <t>Oferta total a preço de consumidor</t>
  </si>
  <si>
    <t>Margem de comércio</t>
  </si>
  <si>
    <t>Margem
de
transporte</t>
  </si>
  <si>
    <t>Imposto
de
importação</t>
  </si>
  <si>
    <t>IPI</t>
  </si>
  <si>
    <t>ICMS</t>
  </si>
  <si>
    <t>Outros impostos menos subsídios</t>
  </si>
  <si>
    <t>Total de impostos líquidos de subsídios</t>
  </si>
  <si>
    <t xml:space="preserve">Oferta total  a preço básico </t>
  </si>
  <si>
    <t>0191</t>
  </si>
  <si>
    <t>0192</t>
  </si>
  <si>
    <t>0280</t>
  </si>
  <si>
    <t>0580</t>
  </si>
  <si>
    <t>0680</t>
  </si>
  <si>
    <t>0791</t>
  </si>
  <si>
    <t>0792</t>
  </si>
  <si>
    <t>1091</t>
  </si>
  <si>
    <t>1092</t>
  </si>
  <si>
    <t>1093</t>
  </si>
  <si>
    <t>1100</t>
  </si>
  <si>
    <t>1200</t>
  </si>
  <si>
    <t>1300</t>
  </si>
  <si>
    <t>1400</t>
  </si>
  <si>
    <t>1500</t>
  </si>
  <si>
    <t>1600</t>
  </si>
  <si>
    <t>1700</t>
  </si>
  <si>
    <t>1800</t>
  </si>
  <si>
    <t>1991</t>
  </si>
  <si>
    <t>1992</t>
  </si>
  <si>
    <t>2091</t>
  </si>
  <si>
    <t>2092</t>
  </si>
  <si>
    <t>2093</t>
  </si>
  <si>
    <t>2100</t>
  </si>
  <si>
    <t>2200</t>
  </si>
  <si>
    <t>2300</t>
  </si>
  <si>
    <t>2491</t>
  </si>
  <si>
    <t>2492</t>
  </si>
  <si>
    <t>2500</t>
  </si>
  <si>
    <t>2600</t>
  </si>
  <si>
    <t>2700</t>
  </si>
  <si>
    <t>2800</t>
  </si>
  <si>
    <t>2991</t>
  </si>
  <si>
    <t>2992</t>
  </si>
  <si>
    <t>3000</t>
  </si>
  <si>
    <t>3180</t>
  </si>
  <si>
    <t>3300</t>
  </si>
  <si>
    <t>3500</t>
  </si>
  <si>
    <t>3680</t>
  </si>
  <si>
    <t>4180</t>
  </si>
  <si>
    <t>4580</t>
  </si>
  <si>
    <t>4900</t>
  </si>
  <si>
    <t>5000</t>
  </si>
  <si>
    <t>5100</t>
  </si>
  <si>
    <t>5280</t>
  </si>
  <si>
    <t>5500</t>
  </si>
  <si>
    <t>5600</t>
  </si>
  <si>
    <t>5800</t>
  </si>
  <si>
    <t>5980</t>
  </si>
  <si>
    <t>6100</t>
  </si>
  <si>
    <t>6280</t>
  </si>
  <si>
    <t>6480</t>
  </si>
  <si>
    <t>6800</t>
  </si>
  <si>
    <t>6980</t>
  </si>
  <si>
    <t>7180</t>
  </si>
  <si>
    <t>7380</t>
  </si>
  <si>
    <t>7700</t>
  </si>
  <si>
    <t>7880</t>
  </si>
  <si>
    <t>8000</t>
  </si>
  <si>
    <t>8400</t>
  </si>
  <si>
    <t>8591</t>
  </si>
  <si>
    <t>8592</t>
  </si>
  <si>
    <t>8691</t>
  </si>
  <si>
    <t>8692</t>
  </si>
  <si>
    <t>9080</t>
  </si>
  <si>
    <t>9480</t>
  </si>
  <si>
    <t>9700</t>
  </si>
  <si>
    <t>Total
do produto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</si>
  <si>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</si>
  <si>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</si>
  <si>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</si>
  <si>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 metálicos</t>
  </si>
  <si>
    <t>Extração de petróleo e gás, inclusive as atividades de apoio</t>
  </si>
  <si>
    <t>Extração de minério de ferro, inclusive beneficiamentos e a aglomeração</t>
  </si>
  <si>
    <t>Extração de minerais metálicos não 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</si>
  <si>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</si>
  <si>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</si>
  <si>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</si>
  <si>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</si>
  <si>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</si>
  <si>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</si>
  <si>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</si>
  <si>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</si>
  <si>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</si>
  <si>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</si>
  <si>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</si>
  <si>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</si>
  <si>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</si>
  <si>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</si>
  <si>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</si>
  <si>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</si>
  <si>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</si>
  <si>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</si>
  <si>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 metálicos</t>
  </si>
  <si>
    <t>Produção de ferro gusa/ferroligas, siderurgia e tubos de aço sem costura</t>
  </si>
  <si>
    <t>Metalurgia de metais não 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</si>
  <si>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</si>
  <si>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</si>
  <si>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</si>
  <si>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</si>
  <si>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</si>
  <si>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</si>
  <si>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</si>
  <si>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</si>
  <si>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</si>
  <si>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Energia elétrica, gás natural e outras utilidades</t>
  </si>
  <si>
    <t>Água, esgoto e gestão de resíduos</t>
  </si>
  <si>
    <t>Construção</t>
  </si>
  <si>
    <t>Comércio por atacado e varejo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</si>
  <si>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</si>
  <si>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</si>
  <si>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</si>
  <si>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</si>
  <si>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</si>
  <si>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</si>
  <si>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</si>
  <si>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</si>
  <si>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</si>
  <si>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</si>
  <si>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</si>
  <si>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</si>
  <si>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</si>
  <si>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</si>
  <si>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</si>
  <si>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 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</si>
  <si>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</si>
  <si>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</si>
  <si>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</si>
  <si>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</si>
  <si>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</si>
  <si>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</si>
  <si>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</si>
  <si>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</si>
  <si>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</si>
  <si>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</si>
  <si>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Total</t>
  </si>
  <si>
    <t>(1) Importação de bens e serviços líquida de ajuste CIF/FOB.</t>
  </si>
  <si>
    <t>Consumo intermediário das atividades</t>
  </si>
  <si>
    <t>Demanda final</t>
  </si>
  <si>
    <t>Demanda Total</t>
  </si>
  <si>
    <t>Total do produto</t>
  </si>
  <si>
    <t>Exportação de bens e serviços (1)</t>
  </si>
  <si>
    <t>Consumo do governo</t>
  </si>
  <si>
    <t>Consumo das ISFLSF</t>
  </si>
  <si>
    <t>Consumo das famílias</t>
  </si>
  <si>
    <t>Formação bruta de capital fixo</t>
  </si>
  <si>
    <t>Variação de estoque</t>
  </si>
  <si>
    <t>(1) Exportação de bens e serviços líquida de ajuste CIF/FOB.</t>
  </si>
  <si>
    <t>Valor adicionado</t>
  </si>
  <si>
    <t>Operações</t>
  </si>
  <si>
    <t>Valor adicionado bruto ( PIB )</t>
  </si>
  <si>
    <t>Remunerações</t>
  </si>
  <si>
    <t xml:space="preserve">   Salários</t>
  </si>
  <si>
    <t xml:space="preserve">   Contribuições sociais efetivas</t>
  </si>
  <si>
    <t xml:space="preserve">      Previdência oficial /FGTS</t>
  </si>
  <si>
    <t xml:space="preserve">      Previdência privada</t>
  </si>
  <si>
    <t xml:space="preserve">   Contribuições sociais imputadas</t>
  </si>
  <si>
    <t>Excedente operacional bruto e rendimento misto bruto</t>
  </si>
  <si>
    <t xml:space="preserve">   Rendimento misto bruto</t>
  </si>
  <si>
    <t xml:space="preserve">   Excedente operacional bruto (EOB)</t>
  </si>
  <si>
    <t>Outros impostos sobre a produção</t>
  </si>
  <si>
    <t>Outros subsídios à produção</t>
  </si>
  <si>
    <t>Valor da produção</t>
  </si>
  <si>
    <t>Fator trabalho (ocupações)</t>
  </si>
  <si>
    <t>Matriz D.Bn</t>
  </si>
  <si>
    <t>Código da Atividade Nível 67</t>
  </si>
  <si>
    <t>Descrição da Atividade Nível 67</t>
  </si>
  <si>
    <t>Atividades</t>
  </si>
  <si>
    <t>Matriz Z</t>
  </si>
  <si>
    <t>MATRIZ INSUMO-PRODUTO - 2021 (67 ATIVIDADES - PREÇOS CORRENTES)</t>
  </si>
  <si>
    <t>ALVES-PASSONI, Patieene; FREITAS, Fabio. Como deflacionar matrizes insumo-produto? Uma proposta de uma série deflacionada para o Brasil no SCN 2010. Texto para Discussão, 030/2021, Instituto de Economia/IE, UFRJ. 2021. Disponível em: https://www.ie.ufrj.br/images/IE/TDS/2021/TD_IE_030_2021_PASSONI_FREITAS.pdf</t>
  </si>
  <si>
    <t>Tabela 1 - Recursos de bens e serviços - 2021 (Preços correntes)</t>
  </si>
  <si>
    <t>Tabela 2 - Usos de bens e serviços - 2021 (Preços correntes)</t>
  </si>
  <si>
    <t>Tabela 3 - Demanda da produção nacional a preços básicos - 2021 (Preços correntes)</t>
  </si>
  <si>
    <t>Tabela 4 - Demanda por bens importados a preços básicos - 2021 (Preços correntes)</t>
  </si>
  <si>
    <t>Tabela 5 - Destino dos impostos sobre produtos nacionais e importados (soma das Tabels 5 e 6 do SCN 2010, IBGE) - 2021 (Preços correntes)</t>
  </si>
  <si>
    <t>Tabela 6 - Destino da margem de comércio sobre produtos nacionais e importados (soma das Tabels 7 e 8 do SCN 2010, IBGE) - 2021 (Preços correntes)</t>
  </si>
  <si>
    <t>Tabela 7 - Destino da margem de transporte sobre produtos nacionais e importados (soma das Tabels 9 e 10 do SCN 2010, IBGE)21 (Preços correntes)</t>
  </si>
  <si>
    <t>Tabela 8 - Matriz dos coeficientes técnicos dos insumos nacionais (An) - 2021 (Preços correntes)</t>
  </si>
  <si>
    <t>Tabela 9 - Matriz dos coeficientes técnicos dos insumos importados (Am)  - 2021 (Preços correntes)</t>
  </si>
  <si>
    <t>Tabela 10 - Matriz de impacto intersetorial, Matriz Inversa de Leontief - 2021 (Preços correntes)</t>
  </si>
  <si>
    <t/>
  </si>
  <si>
    <t>Setores</t>
  </si>
  <si>
    <t>Demanda final
y</t>
  </si>
  <si>
    <t>Código</t>
  </si>
  <si>
    <t>Abrev.</t>
  </si>
  <si>
    <t>não vai rodar nada do lado Ghosh / extração para frente / multiplicadores de oferta</t>
  </si>
  <si>
    <t>Agric</t>
  </si>
  <si>
    <t>Pec</t>
  </si>
  <si>
    <t>Florest_Pesca</t>
  </si>
  <si>
    <t>Min_NaoMet</t>
  </si>
  <si>
    <t>Pet_Gas</t>
  </si>
  <si>
    <t>Min_Ferro</t>
  </si>
  <si>
    <t>Min_NFer</t>
  </si>
  <si>
    <t>Carnes_Latic</t>
  </si>
  <si>
    <t>Acucar</t>
  </si>
  <si>
    <t>Alimentos</t>
  </si>
  <si>
    <t>Bebidas</t>
  </si>
  <si>
    <t>Fumo</t>
  </si>
  <si>
    <t>Textil</t>
  </si>
  <si>
    <t>Vestuario</t>
  </si>
  <si>
    <t>Couro_Calc</t>
  </si>
  <si>
    <t>Madeira</t>
  </si>
  <si>
    <t>Papel_Cel</t>
  </si>
  <si>
    <t>Impressao</t>
  </si>
  <si>
    <t>Refino</t>
  </si>
  <si>
    <t>Biocomb</t>
  </si>
  <si>
    <t>Quim_Base</t>
  </si>
  <si>
    <t>Quim_Diversos</t>
  </si>
  <si>
    <t>Hig_Pessoal</t>
  </si>
  <si>
    <t>Farmaceut</t>
  </si>
  <si>
    <t>Borracha_Plast</t>
  </si>
  <si>
    <t>Minerais_NMet</t>
  </si>
  <si>
    <t>Siderurgia</t>
  </si>
  <si>
    <t>Metal_NFer</t>
  </si>
  <si>
    <t>Prod_Metal</t>
  </si>
  <si>
    <t>Eletro_Info</t>
  </si>
  <si>
    <t>Maq_Eletr</t>
  </si>
  <si>
    <t>Maq_Mec</t>
  </si>
  <si>
    <t>Veic_Mont</t>
  </si>
  <si>
    <t>Auto_Pecas</t>
  </si>
  <si>
    <t>Equip_Transp</t>
  </si>
  <si>
    <t>Moveis_Diversos</t>
  </si>
  <si>
    <t>Manut_Maq</t>
  </si>
  <si>
    <t>Energia</t>
  </si>
  <si>
    <t>Saneamento</t>
  </si>
  <si>
    <t>Construcao</t>
  </si>
  <si>
    <t>Comercio</t>
  </si>
  <si>
    <t>Transp_Ter</t>
  </si>
  <si>
    <t>Transp_Aqua</t>
  </si>
  <si>
    <t>Transp_Aereo</t>
  </si>
  <si>
    <t>Logistica</t>
  </si>
  <si>
    <t>Aloj</t>
  </si>
  <si>
    <t>Alimentacao</t>
  </si>
  <si>
    <t>Edicao</t>
  </si>
  <si>
    <t>Midia</t>
  </si>
  <si>
    <t>Telecom</t>
  </si>
  <si>
    <t>TI_Info</t>
  </si>
  <si>
    <t>Financeiro</t>
  </si>
  <si>
    <t>Imobiliario</t>
  </si>
  <si>
    <t>Serv_Corp</t>
  </si>
  <si>
    <t>Eng_P&amp;D</t>
  </si>
  <si>
    <t>Prof_Tecn</t>
  </si>
  <si>
    <t>Alug_Ativos</t>
  </si>
  <si>
    <t>Serv_Admin</t>
  </si>
  <si>
    <t>Seguranca</t>
  </si>
  <si>
    <t>Adm_Publica</t>
  </si>
  <si>
    <t>Educ_Pub</t>
  </si>
  <si>
    <t>Educ_Priv</t>
  </si>
  <si>
    <t>Saude_Pub</t>
  </si>
  <si>
    <t>Saude_Priv</t>
  </si>
  <si>
    <t>Cultura</t>
  </si>
  <si>
    <t>Org_Assoc</t>
  </si>
  <si>
    <t>Serv_Dom</t>
  </si>
  <si>
    <t>Code</t>
  </si>
  <si>
    <t>Sector name</t>
  </si>
  <si>
    <t>Agriculture</t>
  </si>
  <si>
    <t>Livestock</t>
  </si>
  <si>
    <t>Forestry</t>
  </si>
  <si>
    <t>Coal mining</t>
  </si>
  <si>
    <t>Oil gas</t>
  </si>
  <si>
    <t>Iron ore</t>
  </si>
  <si>
    <t>Metal mining</t>
  </si>
  <si>
    <t>Meat dairy</t>
  </si>
  <si>
    <t>Sugar</t>
  </si>
  <si>
    <t>Food products</t>
  </si>
  <si>
    <t>Beverages</t>
  </si>
  <si>
    <t>Tobacco</t>
  </si>
  <si>
    <t>Textiles</t>
  </si>
  <si>
    <t>Apparel</t>
  </si>
  <si>
    <t>Leather</t>
  </si>
  <si>
    <t>Wood</t>
  </si>
  <si>
    <t>Paper</t>
  </si>
  <si>
    <t>Printing</t>
  </si>
  <si>
    <t>Refining</t>
  </si>
  <si>
    <t>Biofuels</t>
  </si>
  <si>
    <t>Chemicals</t>
  </si>
  <si>
    <t>Chemical products</t>
  </si>
  <si>
    <t>Personal products</t>
  </si>
  <si>
    <t>Pharmaceuticals</t>
  </si>
  <si>
    <t>Rubber plastics</t>
  </si>
  <si>
    <t>Nonmet minerals</t>
  </si>
  <si>
    <t>Steel</t>
  </si>
  <si>
    <t>Nonfer metals</t>
  </si>
  <si>
    <t>Metal products</t>
  </si>
  <si>
    <t>Electronics</t>
  </si>
  <si>
    <t>Electrical equipment</t>
  </si>
  <si>
    <t>Machinery</t>
  </si>
  <si>
    <t>Vehicles</t>
  </si>
  <si>
    <t>Auto parts</t>
  </si>
  <si>
    <t>Transport equipment</t>
  </si>
  <si>
    <t>Furniture</t>
  </si>
  <si>
    <t>Equipment services</t>
  </si>
  <si>
    <t>Utilities</t>
  </si>
  <si>
    <t>Water waste</t>
  </si>
  <si>
    <t>Construction</t>
  </si>
  <si>
    <t>Trade</t>
  </si>
  <si>
    <t>Land transport</t>
  </si>
  <si>
    <t>Water transport</t>
  </si>
  <si>
    <t>Air transport</t>
  </si>
  <si>
    <t>Logistics</t>
  </si>
  <si>
    <t>Accommodation</t>
  </si>
  <si>
    <t>Food services</t>
  </si>
  <si>
    <t>Publishing</t>
  </si>
  <si>
    <t>Media</t>
  </si>
  <si>
    <t>IT services</t>
  </si>
  <si>
    <t>Finance</t>
  </si>
  <si>
    <t>Real estate</t>
  </si>
  <si>
    <t>Business services</t>
  </si>
  <si>
    <t>Engineering</t>
  </si>
  <si>
    <t>Professional services</t>
  </si>
  <si>
    <t>Leasing</t>
  </si>
  <si>
    <t>Admin services</t>
  </si>
  <si>
    <t>Security</t>
  </si>
  <si>
    <t>Public administration</t>
  </si>
  <si>
    <t>Public education</t>
  </si>
  <si>
    <t>Private education</t>
  </si>
  <si>
    <t>Public health</t>
  </si>
  <si>
    <t>Private health</t>
  </si>
  <si>
    <t>Arts</t>
  </si>
  <si>
    <t>Associations</t>
  </si>
  <si>
    <t>Domestic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</si>
</sst>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###"/>
    <numFmt numFmtId="165" formatCode="_-* #,##0_-;\-* #,##0_-;_-* \-??_-;_-@_-"/>
    <numFmt numFmtId="166" formatCode="#"/>
    <numFmt numFmtId="167" formatCode="#\ ###\ ###\ ##0;&quot;(-) &quot;###\ ###\ ##0"/>
    <numFmt numFmtId="168" formatCode="_-* #,##0.000000_-;\-* #,##0.000000_-;_-* \-??_-;_-@_-"/>
  </numFmts>
  <fonts count="15" x14ac:knownFonts="1">
    <font>
      <sz val="10"/>
      <name val="Arial"/>
      <charset val="1"/>
    </font>
    <font>
      <u/>
      <sz val="9"/>
      <color rgb="FF0000FF"/>
      <name val="Microsoft New Tai Lue"/>
    </font>
    <font>
      <u/>
      <sz val="10"/>
      <color rgb="FF0000FF"/>
      <name val="Microsoft New Tai Lue"/>
    </font>
    <font>
      <b/>
      <sz val="20"/>
      <color rgb="FF000000"/>
      <name val="Microsoft New Tai Lue"/>
    </font>
    <font>
      <sz val="12"/>
      <color rgb="FF000000"/>
      <name val="Microsoft New Tai Lue"/>
    </font>
    <font>
      <sz val="10"/>
      <color rgb="FF000000"/>
      <name val="Microsoft New Tai Lue"/>
    </font>
    <font>
      <sz val="10"/>
      <color rgb="FF000000"/>
      <name val="Arial"/>
    </font>
    <font>
      <u/>
      <sz val="10"/>
      <color rgb="FF0000FF"/>
      <name val="Arial"/>
    </font>
    <font>
      <b/>
      <sz val="9"/>
      <color rgb="FF000000"/>
      <name val="Microsoft New Tai Lue"/>
    </font>
    <font>
      <sz val="9"/>
      <color rgb="FF000000"/>
      <name val="Microsoft New Tai Lue"/>
    </font>
    <font>
      <b/>
      <sz val="9"/>
      <color rgb="FFFFFFFF"/>
      <name val="Microsoft New Tai Lue"/>
    </font>
    <font>
      <sz val="9"/>
      <color rgb="FFFFFFFF"/>
      <name val="Microsoft New Tai Lue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  <fill>
      <patternFill patternType="solid">
        <fgColor rgb="FFFFFFFF"/>
        <bgColor rgb="FFF2F2F2"/>
      </patternFill>
    </fill>
    <fill>
      <patternFill patternType="solid">
        <fgColor rgb="FF376092"/>
        <bgColor rgb="FF604A7B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10" fillId="4" borderId="3" xfId="0" applyFont="1" applyFill="1" applyBorder="1" applyAlignment="1">
      <alignment horizontal="left" vertical="center" indent="1"/>
    </xf>
    <xf numFmtId="0" fontId="11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left"/>
    </xf>
    <xf numFmtId="165" fontId="9" fillId="5" borderId="6" xfId="0" applyNumberFormat="1" applyFont="1" applyFill="1" applyBorder="1" applyAlignment="1">
      <alignment vertical="center"/>
    </xf>
    <xf numFmtId="165" fontId="9" fillId="0" borderId="7" xfId="0" applyNumberFormat="1" applyFont="1" applyBorder="1" applyAlignment="1">
      <alignment vertical="center"/>
    </xf>
    <xf numFmtId="165" fontId="9" fillId="5" borderId="8" xfId="0" applyNumberFormat="1" applyFont="1" applyFill="1" applyBorder="1" applyAlignment="1">
      <alignment vertical="center"/>
    </xf>
    <xf numFmtId="165" fontId="9" fillId="0" borderId="6" xfId="0" applyNumberFormat="1" applyFont="1" applyBorder="1" applyAlignment="1">
      <alignment vertical="center"/>
    </xf>
    <xf numFmtId="165" fontId="9" fillId="0" borderId="8" xfId="0" applyNumberFormat="1" applyFont="1" applyBorder="1" applyAlignment="1">
      <alignment vertical="center"/>
    </xf>
    <xf numFmtId="165" fontId="9" fillId="5" borderId="10" xfId="0" applyNumberFormat="1" applyFont="1" applyFill="1" applyBorder="1" applyAlignment="1">
      <alignment vertical="center"/>
    </xf>
    <xf numFmtId="165" fontId="9" fillId="5" borderId="11" xfId="0" applyNumberFormat="1" applyFont="1" applyFill="1" applyBorder="1" applyAlignment="1">
      <alignment vertical="center"/>
    </xf>
    <xf numFmtId="165" fontId="9" fillId="0" borderId="12" xfId="0" applyNumberFormat="1" applyFont="1" applyBorder="1" applyAlignment="1">
      <alignment vertical="center"/>
    </xf>
    <xf numFmtId="165" fontId="9" fillId="5" borderId="13" xfId="0" applyNumberFormat="1" applyFont="1" applyFill="1" applyBorder="1" applyAlignment="1">
      <alignment vertical="center"/>
    </xf>
    <xf numFmtId="165" fontId="9" fillId="0" borderId="11" xfId="0" applyNumberFormat="1" applyFont="1" applyBorder="1" applyAlignment="1">
      <alignment vertical="center"/>
    </xf>
    <xf numFmtId="165" fontId="9" fillId="0" borderId="13" xfId="0" applyNumberFormat="1" applyFont="1" applyBorder="1" applyAlignment="1">
      <alignment vertical="center"/>
    </xf>
    <xf numFmtId="165" fontId="9" fillId="5" borderId="14" xfId="0" applyNumberFormat="1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165" fontId="9" fillId="5" borderId="17" xfId="0" applyNumberFormat="1" applyFont="1" applyFill="1" applyBorder="1" applyAlignment="1">
      <alignment vertical="center"/>
    </xf>
    <xf numFmtId="165" fontId="9" fillId="0" borderId="18" xfId="0" applyNumberFormat="1" applyFont="1" applyBorder="1" applyAlignment="1">
      <alignment vertical="center"/>
    </xf>
    <xf numFmtId="165" fontId="9" fillId="5" borderId="19" xfId="0" applyNumberFormat="1" applyFont="1" applyFill="1" applyBorder="1" applyAlignment="1">
      <alignment vertical="center"/>
    </xf>
    <xf numFmtId="165" fontId="9" fillId="0" borderId="17" xfId="0" applyNumberFormat="1" applyFont="1" applyBorder="1" applyAlignment="1">
      <alignment vertical="center"/>
    </xf>
    <xf numFmtId="165" fontId="9" fillId="0" borderId="19" xfId="0" applyNumberFormat="1" applyFont="1" applyBorder="1" applyAlignment="1">
      <alignment vertical="center"/>
    </xf>
    <xf numFmtId="165" fontId="9" fillId="5" borderId="20" xfId="0" applyNumberFormat="1" applyFont="1" applyFill="1" applyBorder="1" applyAlignment="1">
      <alignment vertical="center"/>
    </xf>
    <xf numFmtId="0" fontId="9" fillId="3" borderId="0" xfId="0" applyFont="1" applyFill="1" applyAlignment="1">
      <alignment horizontal="left"/>
    </xf>
    <xf numFmtId="165" fontId="9" fillId="0" borderId="0" xfId="0" applyNumberFormat="1" applyFont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165" fontId="8" fillId="5" borderId="21" xfId="0" applyNumberFormat="1" applyFont="1" applyFill="1" applyBorder="1" applyAlignment="1">
      <alignment vertical="center"/>
    </xf>
    <xf numFmtId="165" fontId="8" fillId="0" borderId="22" xfId="0" applyNumberFormat="1" applyFont="1" applyBorder="1" applyAlignment="1">
      <alignment vertical="center"/>
    </xf>
    <xf numFmtId="165" fontId="8" fillId="5" borderId="23" xfId="0" applyNumberFormat="1" applyFont="1" applyFill="1" applyBorder="1" applyAlignment="1">
      <alignment vertical="center"/>
    </xf>
    <xf numFmtId="165" fontId="8" fillId="0" borderId="21" xfId="0" applyNumberFormat="1" applyFont="1" applyBorder="1" applyAlignment="1">
      <alignment vertical="center"/>
    </xf>
    <xf numFmtId="165" fontId="8" fillId="0" borderId="23" xfId="0" applyNumberFormat="1" applyFont="1" applyBorder="1" applyAlignment="1">
      <alignment vertical="center"/>
    </xf>
    <xf numFmtId="165" fontId="8" fillId="5" borderId="9" xfId="0" applyNumberFormat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right" vertical="center" indent="1"/>
    </xf>
    <xf numFmtId="0" fontId="8" fillId="0" borderId="0" xfId="0" applyFont="1" applyAlignment="1">
      <alignment horizontal="right"/>
    </xf>
    <xf numFmtId="0" fontId="10" fillId="4" borderId="5" xfId="0" applyFont="1" applyFill="1" applyBorder="1" applyAlignment="1">
      <alignment horizontal="right" vertical="center" indent="1"/>
    </xf>
    <xf numFmtId="0" fontId="8" fillId="3" borderId="0" xfId="0" applyFont="1" applyFill="1" applyAlignment="1">
      <alignment horizontal="center"/>
    </xf>
    <xf numFmtId="0" fontId="10" fillId="4" borderId="4" xfId="0" applyFont="1" applyFill="1" applyBorder="1" applyAlignment="1">
      <alignment horizontal="right" vertical="center" indent="1"/>
    </xf>
    <xf numFmtId="165" fontId="9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5" fontId="9" fillId="0" borderId="24" xfId="0" applyNumberFormat="1" applyFont="1" applyBorder="1" applyAlignment="1">
      <alignment horizontal="right" vertical="center"/>
    </xf>
    <xf numFmtId="165" fontId="9" fillId="5" borderId="10" xfId="0" applyNumberFormat="1" applyFont="1" applyFill="1" applyBorder="1" applyAlignment="1">
      <alignment horizontal="right"/>
    </xf>
    <xf numFmtId="165" fontId="9" fillId="0" borderId="6" xfId="0" applyNumberFormat="1" applyFont="1" applyBorder="1" applyAlignment="1">
      <alignment horizontal="right"/>
    </xf>
    <xf numFmtId="165" fontId="9" fillId="0" borderId="7" xfId="0" applyNumberFormat="1" applyFont="1" applyBorder="1" applyAlignment="1">
      <alignment horizontal="right"/>
    </xf>
    <xf numFmtId="165" fontId="9" fillId="0" borderId="24" xfId="0" applyNumberFormat="1" applyFont="1" applyBorder="1" applyAlignment="1">
      <alignment horizontal="right"/>
    </xf>
    <xf numFmtId="165" fontId="9" fillId="6" borderId="25" xfId="0" applyNumberFormat="1" applyFont="1" applyFill="1" applyBorder="1" applyAlignment="1">
      <alignment horizontal="right"/>
    </xf>
    <xf numFmtId="165" fontId="9" fillId="0" borderId="11" xfId="0" applyNumberFormat="1" applyFont="1" applyBorder="1" applyAlignment="1">
      <alignment horizontal="right" vertical="center"/>
    </xf>
    <xf numFmtId="165" fontId="9" fillId="0" borderId="12" xfId="0" applyNumberFormat="1" applyFont="1" applyBorder="1" applyAlignment="1">
      <alignment horizontal="right" vertical="center"/>
    </xf>
    <xf numFmtId="165" fontId="9" fillId="0" borderId="26" xfId="0" applyNumberFormat="1" applyFont="1" applyBorder="1" applyAlignment="1">
      <alignment horizontal="right" vertical="center"/>
    </xf>
    <xf numFmtId="165" fontId="9" fillId="5" borderId="14" xfId="0" applyNumberFormat="1" applyFont="1" applyFill="1" applyBorder="1" applyAlignment="1">
      <alignment horizontal="right"/>
    </xf>
    <xf numFmtId="165" fontId="9" fillId="0" borderId="11" xfId="0" applyNumberFormat="1" applyFont="1" applyBorder="1" applyAlignment="1">
      <alignment horizontal="right"/>
    </xf>
    <xf numFmtId="165" fontId="9" fillId="0" borderId="12" xfId="0" applyNumberFormat="1" applyFont="1" applyBorder="1" applyAlignment="1">
      <alignment horizontal="right"/>
    </xf>
    <xf numFmtId="165" fontId="9" fillId="0" borderId="26" xfId="0" applyNumberFormat="1" applyFont="1" applyBorder="1" applyAlignment="1">
      <alignment horizontal="right"/>
    </xf>
    <xf numFmtId="165" fontId="9" fillId="6" borderId="13" xfId="0" applyNumberFormat="1" applyFont="1" applyFill="1" applyBorder="1" applyAlignment="1">
      <alignment horizontal="right"/>
    </xf>
    <xf numFmtId="165" fontId="9" fillId="0" borderId="17" xfId="0" applyNumberFormat="1" applyFont="1" applyBorder="1" applyAlignment="1">
      <alignment horizontal="right" vertical="center"/>
    </xf>
    <xf numFmtId="165" fontId="9" fillId="0" borderId="18" xfId="0" applyNumberFormat="1" applyFont="1" applyBorder="1" applyAlignment="1">
      <alignment horizontal="right" vertical="center"/>
    </xf>
    <xf numFmtId="165" fontId="9" fillId="0" borderId="27" xfId="0" applyNumberFormat="1" applyFont="1" applyBorder="1" applyAlignment="1">
      <alignment horizontal="right" vertical="center"/>
    </xf>
    <xf numFmtId="165" fontId="9" fillId="5" borderId="20" xfId="0" applyNumberFormat="1" applyFont="1" applyFill="1" applyBorder="1" applyAlignment="1">
      <alignment horizontal="right"/>
    </xf>
    <xf numFmtId="165" fontId="9" fillId="0" borderId="17" xfId="0" applyNumberFormat="1" applyFont="1" applyBorder="1" applyAlignment="1">
      <alignment horizontal="right"/>
    </xf>
    <xf numFmtId="165" fontId="9" fillId="0" borderId="18" xfId="0" applyNumberFormat="1" applyFont="1" applyBorder="1" applyAlignment="1">
      <alignment horizontal="right"/>
    </xf>
    <xf numFmtId="165" fontId="9" fillId="0" borderId="27" xfId="0" applyNumberFormat="1" applyFont="1" applyBorder="1" applyAlignment="1">
      <alignment horizontal="right"/>
    </xf>
    <xf numFmtId="165" fontId="9" fillId="6" borderId="19" xfId="0" applyNumberFormat="1" applyFont="1" applyFill="1" applyBorder="1" applyAlignment="1">
      <alignment horizontal="right"/>
    </xf>
    <xf numFmtId="0" fontId="6" fillId="0" borderId="15" xfId="0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165" fontId="8" fillId="0" borderId="28" xfId="0" applyNumberFormat="1" applyFont="1" applyBorder="1" applyAlignment="1">
      <alignment vertical="center"/>
    </xf>
    <xf numFmtId="165" fontId="8" fillId="0" borderId="29" xfId="0" applyNumberFormat="1" applyFont="1" applyBorder="1" applyAlignment="1">
      <alignment vertical="center"/>
    </xf>
    <xf numFmtId="165" fontId="8" fillId="5" borderId="9" xfId="0" applyNumberFormat="1" applyFont="1" applyFill="1" applyBorder="1" applyAlignment="1">
      <alignment horizontal="right" vertical="center"/>
    </xf>
    <xf numFmtId="165" fontId="8" fillId="0" borderId="21" xfId="0" applyNumberFormat="1" applyFont="1" applyBorder="1" applyAlignment="1">
      <alignment horizontal="center"/>
    </xf>
    <xf numFmtId="165" fontId="8" fillId="0" borderId="22" xfId="0" applyNumberFormat="1" applyFont="1" applyBorder="1" applyAlignment="1">
      <alignment horizontal="center"/>
    </xf>
    <xf numFmtId="165" fontId="8" fillId="0" borderId="29" xfId="0" applyNumberFormat="1" applyFont="1" applyBorder="1" applyAlignment="1">
      <alignment horizontal="right"/>
    </xf>
    <xf numFmtId="165" fontId="8" fillId="6" borderId="23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center"/>
    </xf>
    <xf numFmtId="168" fontId="9" fillId="0" borderId="6" xfId="0" applyNumberFormat="1" applyFont="1" applyBorder="1" applyAlignment="1">
      <alignment horizontal="right" vertical="center"/>
    </xf>
    <xf numFmtId="168" fontId="9" fillId="0" borderId="7" xfId="0" applyNumberFormat="1" applyFont="1" applyBorder="1" applyAlignment="1">
      <alignment horizontal="right" vertical="center"/>
    </xf>
    <xf numFmtId="168" fontId="9" fillId="0" borderId="8" xfId="0" applyNumberFormat="1" applyFont="1" applyBorder="1" applyAlignment="1">
      <alignment horizontal="right" vertical="center"/>
    </xf>
    <xf numFmtId="168" fontId="9" fillId="0" borderId="11" xfId="0" applyNumberFormat="1" applyFont="1" applyBorder="1" applyAlignment="1">
      <alignment horizontal="right" vertical="center"/>
    </xf>
    <xf numFmtId="168" fontId="9" fillId="0" borderId="12" xfId="0" applyNumberFormat="1" applyFont="1" applyBorder="1" applyAlignment="1">
      <alignment horizontal="right" vertical="center"/>
    </xf>
    <xf numFmtId="168" fontId="9" fillId="0" borderId="13" xfId="0" applyNumberFormat="1" applyFont="1" applyBorder="1" applyAlignment="1">
      <alignment horizontal="right" vertical="center"/>
    </xf>
    <xf numFmtId="168" fontId="9" fillId="0" borderId="17" xfId="0" applyNumberFormat="1" applyFont="1" applyBorder="1" applyAlignment="1">
      <alignment horizontal="right" vertical="center"/>
    </xf>
    <xf numFmtId="168" fontId="9" fillId="0" borderId="18" xfId="0" applyNumberFormat="1" applyFont="1" applyBorder="1" applyAlignment="1">
      <alignment horizontal="right" vertical="center"/>
    </xf>
    <xf numFmtId="168" fontId="9" fillId="0" borderId="19" xfId="0" applyNumberFormat="1" applyFont="1" applyBorder="1" applyAlignment="1">
      <alignment horizontal="right" vertical="center"/>
    </xf>
    <xf numFmtId="0" fontId="12" fillId="0" borderId="0" xfId="1"/>
    <xf numFmtId="165" fontId="9" fillId="8" borderId="10" xfId="0" applyNumberFormat="1" applyFont="1" applyFill="1" applyBorder="1" applyAlignment="1">
      <alignment horizontal="right"/>
    </xf>
    <xf numFmtId="165" fontId="9" fillId="8" borderId="14" xfId="0" applyNumberFormat="1" applyFont="1" applyFill="1" applyBorder="1" applyAlignment="1">
      <alignment horizontal="right"/>
    </xf>
    <xf numFmtId="165" fontId="9" fillId="8" borderId="20" xfId="0" applyNumberFormat="1" applyFont="1" applyFill="1" applyBorder="1" applyAlignment="1">
      <alignment horizontal="right"/>
    </xf>
    <xf numFmtId="0" fontId="9" fillId="7" borderId="0" xfId="0" applyFont="1" applyFill="1" applyAlignment="1">
      <alignment vertical="center"/>
    </xf>
    <xf numFmtId="165" fontId="9" fillId="7" borderId="11" xfId="0" applyNumberFormat="1" applyFont="1" applyFill="1" applyBorder="1" applyAlignment="1">
      <alignment horizontal="right" vertical="center"/>
    </xf>
    <xf numFmtId="165" fontId="9" fillId="7" borderId="12" xfId="0" applyNumberFormat="1" applyFont="1" applyFill="1" applyBorder="1" applyAlignment="1">
      <alignment horizontal="right" vertical="center"/>
    </xf>
    <xf numFmtId="165" fontId="9" fillId="7" borderId="26" xfId="0" applyNumberFormat="1" applyFont="1" applyFill="1" applyBorder="1" applyAlignment="1">
      <alignment horizontal="right" vertical="center"/>
    </xf>
    <xf numFmtId="0" fontId="0" fillId="7" borderId="0" xfId="0" applyFill="1"/>
    <xf numFmtId="0" fontId="9" fillId="7" borderId="15" xfId="0" applyFont="1" applyFill="1" applyBorder="1" applyAlignment="1">
      <alignment vertical="center"/>
    </xf>
    <xf numFmtId="0" fontId="9" fillId="7" borderId="16" xfId="0" applyFont="1" applyFill="1" applyBorder="1" applyAlignment="1">
      <alignment horizontal="left"/>
    </xf>
    <xf numFmtId="165" fontId="9" fillId="7" borderId="17" xfId="0" applyNumberFormat="1" applyFont="1" applyFill="1" applyBorder="1" applyAlignment="1">
      <alignment horizontal="right" vertical="center"/>
    </xf>
    <xf numFmtId="165" fontId="9" fillId="7" borderId="18" xfId="0" applyNumberFormat="1" applyFont="1" applyFill="1" applyBorder="1" applyAlignment="1">
      <alignment horizontal="right" vertical="center"/>
    </xf>
    <xf numFmtId="165" fontId="9" fillId="7" borderId="27" xfId="0" applyNumberFormat="1" applyFont="1" applyFill="1" applyBorder="1" applyAlignment="1">
      <alignment horizontal="right" vertical="center"/>
    </xf>
    <xf numFmtId="0" fontId="12" fillId="9" borderId="0" xfId="1" applyFill="1"/>
    <xf numFmtId="165" fontId="9" fillId="7" borderId="7" xfId="0" applyNumberFormat="1" applyFont="1" applyFill="1" applyBorder="1" applyAlignment="1">
      <alignment horizontal="right"/>
    </xf>
    <xf numFmtId="165" fontId="9" fillId="7" borderId="12" xfId="0" applyNumberFormat="1" applyFont="1" applyFill="1" applyBorder="1" applyAlignment="1">
      <alignment horizontal="right"/>
    </xf>
    <xf numFmtId="165" fontId="9" fillId="7" borderId="18" xfId="0" applyNumberFormat="1" applyFont="1" applyFill="1" applyBorder="1" applyAlignment="1">
      <alignment horizontal="right"/>
    </xf>
    <xf numFmtId="0" fontId="13" fillId="0" borderId="30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130DF09-D678-4A74-9350-0192B685B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.ufrj.br/images/IE/TDS/2020/TD_IE_025_2020_ALVES-PASSONI_FREITASv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04A7B"/>
  </sheetPr>
  <dimension ref="A2:R20"/>
  <sheetViews>
    <sheetView showGridLines="0" zoomScaleNormal="100" workbookViewId="0">
      <selection activeCell="A7" sqref="A7:A16"/>
    </sheetView>
  </sheetViews>
  <sheetFormatPr defaultColWidth="11.42578125" defaultRowHeight="12.75" x14ac:dyDescent="0.2"/>
  <cols>
    <col min="1" max="1" width="24" customWidth="1"/>
    <col min="2" max="2" width="8.85546875" customWidth="1"/>
  </cols>
  <sheetData>
    <row r="2" spans="1:17" ht="13.9" customHeight="1" x14ac:dyDescent="0.2">
      <c r="A2" s="10"/>
    </row>
    <row r="3" spans="1:17" ht="13.9" customHeight="1" x14ac:dyDescent="0.2">
      <c r="A3" s="11"/>
    </row>
    <row r="4" spans="1:17" ht="16.899999999999999" customHeight="1" x14ac:dyDescent="0.2">
      <c r="A4" s="2"/>
    </row>
    <row r="5" spans="1:17" ht="21.6" customHeight="1" x14ac:dyDescent="0.2">
      <c r="A5" s="1"/>
      <c r="B5" s="3" t="s">
        <v>193</v>
      </c>
    </row>
    <row r="6" spans="1:17" ht="16.899999999999999" customHeight="1" x14ac:dyDescent="0.2">
      <c r="A6" s="2"/>
    </row>
    <row r="7" spans="1:17" ht="15" customHeight="1" x14ac:dyDescent="0.2">
      <c r="A7" s="2"/>
      <c r="B7" s="2" t="s">
        <v>0</v>
      </c>
    </row>
    <row r="8" spans="1:17" ht="15" customHeight="1" x14ac:dyDescent="0.2">
      <c r="A8" s="2"/>
      <c r="B8" s="2" t="s">
        <v>1</v>
      </c>
    </row>
    <row r="9" spans="1:17" ht="15" customHeight="1" x14ac:dyDescent="0.2">
      <c r="A9" s="2"/>
      <c r="B9" s="2" t="s">
        <v>2</v>
      </c>
    </row>
    <row r="10" spans="1:17" ht="15" customHeight="1" x14ac:dyDescent="0.2">
      <c r="A10" s="2"/>
      <c r="B10" s="2" t="s">
        <v>3</v>
      </c>
    </row>
    <row r="11" spans="1:17" ht="15" customHeight="1" x14ac:dyDescent="0.2">
      <c r="A11" s="1"/>
      <c r="B11" s="2" t="s">
        <v>4</v>
      </c>
    </row>
    <row r="12" spans="1:17" ht="15" customHeight="1" x14ac:dyDescent="0.2">
      <c r="A12" s="1"/>
      <c r="B12" s="2" t="s">
        <v>5</v>
      </c>
    </row>
    <row r="13" spans="1:17" ht="15" customHeight="1" x14ac:dyDescent="0.2">
      <c r="A13" s="1"/>
      <c r="B13" s="2" t="s">
        <v>6</v>
      </c>
    </row>
    <row r="14" spans="1:17" ht="15" customHeight="1" x14ac:dyDescent="0.2">
      <c r="B14" s="2" t="s">
        <v>7</v>
      </c>
    </row>
    <row r="15" spans="1:17" ht="15" customHeight="1" x14ac:dyDescent="0.2">
      <c r="B15" s="2" t="s">
        <v>8</v>
      </c>
    </row>
    <row r="16" spans="1:17" ht="15" customHeight="1" x14ac:dyDescent="0.2">
      <c r="A16" s="4"/>
      <c r="B16" s="2" t="s">
        <v>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8" spans="2:18" ht="14.45" customHeight="1" x14ac:dyDescent="0.2">
      <c r="B18" s="5" t="s">
        <v>10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2:18" ht="31.9" customHeight="1" x14ac:dyDescent="0.2">
      <c r="B19" s="125" t="s">
        <v>194</v>
      </c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</row>
    <row r="20" spans="2:18" ht="14.45" customHeight="1" x14ac:dyDescent="0.2">
      <c r="B20" s="7" t="s">
        <v>205</v>
      </c>
      <c r="C20" s="8"/>
      <c r="D20" s="9" t="s">
        <v>205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</sheetData>
  <mergeCells count="1">
    <mergeCell ref="B19:R19"/>
  </mergeCells>
  <hyperlinks>
    <hyperlink ref="B7" location="Recursos!A1" display="Tabela 1 - Recursos de bens e serviços " xr:uid="{00000000-0004-0000-0000-000000000000}"/>
    <hyperlink ref="B8" location="Usos!A1" display="Tabela 2 - Usos Totais a preços de consumidor" xr:uid="{00000000-0004-0000-0000-000001000000}"/>
    <hyperlink ref="B9" location="'Usos Nacional'!A1" display="Tabela 3 - Demanda da produção nacionais a preço básico" xr:uid="{00000000-0004-0000-0000-000002000000}"/>
    <hyperlink ref="B10" location="'Usos Importado'!A1" display="Tabela 4 - Demanda de produtos importados a preço básico" xr:uid="{00000000-0004-0000-0000-000003000000}"/>
    <hyperlink ref="B11" location="Impostos!A1" display="Tabela 5 - Destino dos impostos sobre produtos nacionais e importados (soma das Tabels 5 e 6 do SCN 2010, IBGE)" xr:uid="{00000000-0004-0000-0000-000004000000}"/>
    <hyperlink ref="B12" location="Comércio!A1" display="Tabela 6 - Destino da margem de comércio sobre produtos nacionais e importados (soma das Tabels 7 e 8 do SCN 2010, IBGE)" xr:uid="{00000000-0004-0000-0000-000005000000}"/>
    <hyperlink ref="B13" location="Transporte!A1" display="Tabela 7 - Destino da margem de transporte sobre produtos nacionais e importados (soma das Tabels 9 e 10 do SCN 2010, IBGE)" xr:uid="{00000000-0004-0000-0000-000006000000}"/>
    <hyperlink ref="B14" location="An!A1" display="Tabela 8 - Matriz dos coeficientes técnicos intersetoriais nacionais" xr:uid="{00000000-0004-0000-0000-000007000000}"/>
    <hyperlink ref="B15" location="Am!A1" display="Tabela 9 - Matriz dos coeficientes técnicos intersetoriais importados" xr:uid="{00000000-0004-0000-0000-000008000000}"/>
    <hyperlink ref="B16" location="Z!A1" display="Tabela 10 - Matriz de impacto intersetorial - Matriz de Leontief" xr:uid="{00000000-0004-0000-0000-000009000000}"/>
    <hyperlink ref="D20" r:id="rId1" xr:uid="{00000000-0004-0000-0000-00000A000000}"/>
  </hyperlink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CB77"/>
  <sheetViews>
    <sheetView showGridLines="0" zoomScale="90" zoomScaleNormal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11" width="14.7109375" customWidth="1"/>
    <col min="12" max="80" width="20.7109375" customWidth="1"/>
  </cols>
  <sheetData>
    <row r="1" spans="1:80" ht="15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80" ht="15" customHeight="1" x14ac:dyDescent="0.2">
      <c r="A2" s="12" t="s">
        <v>11</v>
      </c>
    </row>
    <row r="3" spans="1:80" ht="15" customHeight="1" x14ac:dyDescent="0.2">
      <c r="A3" s="126" t="s">
        <v>189</v>
      </c>
      <c r="B3" s="126" t="s">
        <v>190</v>
      </c>
      <c r="C3" s="127" t="s">
        <v>12</v>
      </c>
      <c r="D3" s="127"/>
      <c r="E3" s="127"/>
      <c r="F3" s="127"/>
      <c r="G3" s="127"/>
      <c r="H3" s="127"/>
      <c r="I3" s="127"/>
      <c r="J3" s="127"/>
      <c r="K3" s="127"/>
      <c r="L3" s="14" t="s">
        <v>13</v>
      </c>
      <c r="M3" s="15"/>
      <c r="N3" s="15"/>
      <c r="O3" s="15"/>
      <c r="P3" s="15"/>
      <c r="Q3" s="15"/>
      <c r="R3" s="15"/>
      <c r="S3" s="15"/>
      <c r="T3" s="15"/>
      <c r="U3" s="16" t="s">
        <v>13</v>
      </c>
      <c r="V3" s="15"/>
      <c r="W3" s="15"/>
      <c r="X3" s="15"/>
      <c r="Y3" s="15"/>
      <c r="Z3" s="15"/>
      <c r="AA3" s="15"/>
      <c r="AB3" s="15"/>
      <c r="AC3" s="15"/>
      <c r="AD3" s="16" t="s">
        <v>13</v>
      </c>
      <c r="AE3" s="15"/>
      <c r="AF3" s="15"/>
      <c r="AG3" s="15"/>
      <c r="AH3" s="15"/>
      <c r="AI3" s="15"/>
      <c r="AJ3" s="15"/>
      <c r="AK3" s="15"/>
      <c r="AL3" s="15"/>
      <c r="AM3" s="16" t="s">
        <v>13</v>
      </c>
      <c r="AN3" s="15"/>
      <c r="AO3" s="15"/>
      <c r="AP3" s="15"/>
      <c r="AQ3" s="15"/>
      <c r="AR3" s="15"/>
      <c r="AS3" s="15"/>
      <c r="AT3" s="15"/>
      <c r="AU3" s="15"/>
      <c r="AV3" s="16" t="s">
        <v>13</v>
      </c>
      <c r="AW3" s="15"/>
      <c r="AX3" s="15"/>
      <c r="AY3" s="15"/>
      <c r="AZ3" s="15"/>
      <c r="BA3" s="15"/>
      <c r="BB3" s="15"/>
      <c r="BC3" s="15"/>
      <c r="BD3" s="15"/>
      <c r="BE3" s="16" t="s">
        <v>13</v>
      </c>
      <c r="BF3" s="15"/>
      <c r="BG3" s="15"/>
      <c r="BH3" s="15"/>
      <c r="BI3" s="15"/>
      <c r="BJ3" s="15"/>
      <c r="BK3" s="15"/>
      <c r="BL3" s="15"/>
      <c r="BM3" s="15"/>
      <c r="BN3" s="16" t="s">
        <v>13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6" t="s">
        <v>13</v>
      </c>
      <c r="CB3" s="128" t="s">
        <v>14</v>
      </c>
    </row>
    <row r="4" spans="1:80" ht="15" customHeight="1" x14ac:dyDescent="0.2">
      <c r="A4" s="126"/>
      <c r="B4" s="126"/>
      <c r="C4" s="129" t="s">
        <v>15</v>
      </c>
      <c r="D4" s="128" t="s">
        <v>16</v>
      </c>
      <c r="E4" s="128" t="s">
        <v>17</v>
      </c>
      <c r="F4" s="128" t="s">
        <v>18</v>
      </c>
      <c r="G4" s="128" t="s">
        <v>19</v>
      </c>
      <c r="H4" s="128" t="s">
        <v>20</v>
      </c>
      <c r="I4" s="128" t="s">
        <v>21</v>
      </c>
      <c r="J4" s="128" t="s">
        <v>22</v>
      </c>
      <c r="K4" s="129" t="s">
        <v>23</v>
      </c>
      <c r="L4" s="17" t="s">
        <v>24</v>
      </c>
      <c r="M4" s="17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30</v>
      </c>
      <c r="S4" s="17" t="s">
        <v>31</v>
      </c>
      <c r="T4" s="17" t="s">
        <v>32</v>
      </c>
      <c r="U4" s="17" t="s">
        <v>33</v>
      </c>
      <c r="V4" s="17" t="s">
        <v>34</v>
      </c>
      <c r="W4" s="17" t="s">
        <v>35</v>
      </c>
      <c r="X4" s="17" t="s">
        <v>36</v>
      </c>
      <c r="Y4" s="17" t="s">
        <v>37</v>
      </c>
      <c r="Z4" s="17" t="s">
        <v>38</v>
      </c>
      <c r="AA4" s="17" t="s">
        <v>39</v>
      </c>
      <c r="AB4" s="17" t="s">
        <v>40</v>
      </c>
      <c r="AC4" s="17" t="s">
        <v>41</v>
      </c>
      <c r="AD4" s="17" t="s">
        <v>42</v>
      </c>
      <c r="AE4" s="17" t="s">
        <v>43</v>
      </c>
      <c r="AF4" s="17" t="s">
        <v>44</v>
      </c>
      <c r="AG4" s="17" t="s">
        <v>45</v>
      </c>
      <c r="AH4" s="17" t="s">
        <v>46</v>
      </c>
      <c r="AI4" s="17" t="s">
        <v>47</v>
      </c>
      <c r="AJ4" s="17" t="s">
        <v>48</v>
      </c>
      <c r="AK4" s="17" t="s">
        <v>49</v>
      </c>
      <c r="AL4" s="17" t="s">
        <v>50</v>
      </c>
      <c r="AM4" s="17" t="s">
        <v>51</v>
      </c>
      <c r="AN4" s="17" t="s">
        <v>52</v>
      </c>
      <c r="AO4" s="17" t="s">
        <v>53</v>
      </c>
      <c r="AP4" s="17" t="s">
        <v>54</v>
      </c>
      <c r="AQ4" s="17" t="s">
        <v>55</v>
      </c>
      <c r="AR4" s="17" t="s">
        <v>56</v>
      </c>
      <c r="AS4" s="17" t="s">
        <v>57</v>
      </c>
      <c r="AT4" s="17" t="s">
        <v>58</v>
      </c>
      <c r="AU4" s="17" t="s">
        <v>59</v>
      </c>
      <c r="AV4" s="17" t="s">
        <v>60</v>
      </c>
      <c r="AW4" s="17" t="s">
        <v>61</v>
      </c>
      <c r="AX4" s="17" t="s">
        <v>62</v>
      </c>
      <c r="AY4" s="17" t="s">
        <v>63</v>
      </c>
      <c r="AZ4" s="17" t="s">
        <v>64</v>
      </c>
      <c r="BA4" s="17" t="s">
        <v>65</v>
      </c>
      <c r="BB4" s="17" t="s">
        <v>66</v>
      </c>
      <c r="BC4" s="17" t="s">
        <v>67</v>
      </c>
      <c r="BD4" s="17" t="s">
        <v>68</v>
      </c>
      <c r="BE4" s="17" t="s">
        <v>69</v>
      </c>
      <c r="BF4" s="17" t="s">
        <v>70</v>
      </c>
      <c r="BG4" s="17" t="s">
        <v>71</v>
      </c>
      <c r="BH4" s="17" t="s">
        <v>72</v>
      </c>
      <c r="BI4" s="17" t="s">
        <v>73</v>
      </c>
      <c r="BJ4" s="17" t="s">
        <v>74</v>
      </c>
      <c r="BK4" s="17" t="s">
        <v>75</v>
      </c>
      <c r="BL4" s="17" t="s">
        <v>76</v>
      </c>
      <c r="BM4" s="17" t="s">
        <v>77</v>
      </c>
      <c r="BN4" s="17" t="s">
        <v>78</v>
      </c>
      <c r="BO4" s="17" t="s">
        <v>79</v>
      </c>
      <c r="BP4" s="17" t="s">
        <v>80</v>
      </c>
      <c r="BQ4" s="17" t="s">
        <v>81</v>
      </c>
      <c r="BR4" s="17" t="s">
        <v>82</v>
      </c>
      <c r="BS4" s="17" t="s">
        <v>83</v>
      </c>
      <c r="BT4" s="17" t="s">
        <v>84</v>
      </c>
      <c r="BU4" s="17" t="s">
        <v>85</v>
      </c>
      <c r="BV4" s="17" t="s">
        <v>86</v>
      </c>
      <c r="BW4" s="17" t="s">
        <v>87</v>
      </c>
      <c r="BX4" s="17" t="s">
        <v>88</v>
      </c>
      <c r="BY4" s="17" t="s">
        <v>89</v>
      </c>
      <c r="BZ4" s="17" t="s">
        <v>90</v>
      </c>
      <c r="CA4" s="130" t="s">
        <v>91</v>
      </c>
      <c r="CB4" s="128"/>
    </row>
    <row r="5" spans="1:80" ht="60" customHeight="1" x14ac:dyDescent="0.2">
      <c r="A5" s="126"/>
      <c r="B5" s="126"/>
      <c r="C5" s="129"/>
      <c r="D5" s="128"/>
      <c r="E5" s="128"/>
      <c r="F5" s="128"/>
      <c r="G5" s="128"/>
      <c r="H5" s="128"/>
      <c r="I5" s="128"/>
      <c r="J5" s="128"/>
      <c r="K5" s="129"/>
      <c r="L5" s="18" t="s">
        <v>92</v>
      </c>
      <c r="M5" s="18" t="s">
        <v>93</v>
      </c>
      <c r="N5" s="18" t="s">
        <v>94</v>
      </c>
      <c r="O5" s="18" t="s">
        <v>95</v>
      </c>
      <c r="P5" s="18" t="s">
        <v>96</v>
      </c>
      <c r="Q5" s="18" t="s">
        <v>97</v>
      </c>
      <c r="R5" s="18" t="s">
        <v>98</v>
      </c>
      <c r="S5" s="18" t="s">
        <v>99</v>
      </c>
      <c r="T5" s="18" t="s">
        <v>100</v>
      </c>
      <c r="U5" s="18" t="s">
        <v>101</v>
      </c>
      <c r="V5" s="18" t="s">
        <v>102</v>
      </c>
      <c r="W5" s="18" t="s">
        <v>103</v>
      </c>
      <c r="X5" s="18" t="s">
        <v>104</v>
      </c>
      <c r="Y5" s="18" t="s">
        <v>105</v>
      </c>
      <c r="Z5" s="18" t="s">
        <v>106</v>
      </c>
      <c r="AA5" s="18" t="s">
        <v>107</v>
      </c>
      <c r="AB5" s="18" t="s">
        <v>108</v>
      </c>
      <c r="AC5" s="18" t="s">
        <v>109</v>
      </c>
      <c r="AD5" s="18" t="s">
        <v>110</v>
      </c>
      <c r="AE5" s="18" t="s">
        <v>111</v>
      </c>
      <c r="AF5" s="18" t="s">
        <v>112</v>
      </c>
      <c r="AG5" s="18" t="s">
        <v>113</v>
      </c>
      <c r="AH5" s="18" t="s">
        <v>114</v>
      </c>
      <c r="AI5" s="18" t="s">
        <v>115</v>
      </c>
      <c r="AJ5" s="18" t="s">
        <v>116</v>
      </c>
      <c r="AK5" s="18" t="s">
        <v>117</v>
      </c>
      <c r="AL5" s="18" t="s">
        <v>118</v>
      </c>
      <c r="AM5" s="18" t="s">
        <v>119</v>
      </c>
      <c r="AN5" s="18" t="s">
        <v>120</v>
      </c>
      <c r="AO5" s="18" t="s">
        <v>121</v>
      </c>
      <c r="AP5" s="18" t="s">
        <v>122</v>
      </c>
      <c r="AQ5" s="18" t="s">
        <v>123</v>
      </c>
      <c r="AR5" s="18" t="s">
        <v>124</v>
      </c>
      <c r="AS5" s="18" t="s">
        <v>125</v>
      </c>
      <c r="AT5" s="18" t="s">
        <v>126</v>
      </c>
      <c r="AU5" s="18" t="s">
        <v>127</v>
      </c>
      <c r="AV5" s="18" t="s">
        <v>128</v>
      </c>
      <c r="AW5" s="18" t="s">
        <v>129</v>
      </c>
      <c r="AX5" s="18" t="s">
        <v>130</v>
      </c>
      <c r="AY5" s="18" t="s">
        <v>131</v>
      </c>
      <c r="AZ5" s="18" t="s">
        <v>132</v>
      </c>
      <c r="BA5" s="18" t="s">
        <v>133</v>
      </c>
      <c r="BB5" s="18" t="s">
        <v>134</v>
      </c>
      <c r="BC5" s="18" t="s">
        <v>135</v>
      </c>
      <c r="BD5" s="18" t="s">
        <v>136</v>
      </c>
      <c r="BE5" s="18" t="s">
        <v>137</v>
      </c>
      <c r="BF5" s="18" t="s">
        <v>138</v>
      </c>
      <c r="BG5" s="18" t="s">
        <v>139</v>
      </c>
      <c r="BH5" s="18" t="s">
        <v>140</v>
      </c>
      <c r="BI5" s="18" t="s">
        <v>141</v>
      </c>
      <c r="BJ5" s="18" t="s">
        <v>142</v>
      </c>
      <c r="BK5" s="18" t="s">
        <v>143</v>
      </c>
      <c r="BL5" s="18" t="s">
        <v>144</v>
      </c>
      <c r="BM5" s="18" t="s">
        <v>145</v>
      </c>
      <c r="BN5" s="18" t="s">
        <v>146</v>
      </c>
      <c r="BO5" s="18" t="s">
        <v>147</v>
      </c>
      <c r="BP5" s="18" t="s">
        <v>148</v>
      </c>
      <c r="BQ5" s="18" t="s">
        <v>149</v>
      </c>
      <c r="BR5" s="18" t="s">
        <v>150</v>
      </c>
      <c r="BS5" s="18" t="s">
        <v>151</v>
      </c>
      <c r="BT5" s="18" t="s">
        <v>152</v>
      </c>
      <c r="BU5" s="18" t="s">
        <v>153</v>
      </c>
      <c r="BV5" s="18" t="s">
        <v>154</v>
      </c>
      <c r="BW5" s="18" t="s">
        <v>155</v>
      </c>
      <c r="BX5" s="18" t="s">
        <v>156</v>
      </c>
      <c r="BY5" s="18" t="s">
        <v>157</v>
      </c>
      <c r="BZ5" s="18" t="s">
        <v>158</v>
      </c>
      <c r="CA5" s="130"/>
      <c r="CB5" s="128"/>
    </row>
    <row r="6" spans="1:80" ht="15" customHeight="1" x14ac:dyDescent="0.3">
      <c r="A6" s="19" t="s">
        <v>24</v>
      </c>
      <c r="B6" s="11" t="s">
        <v>92</v>
      </c>
      <c r="C6" s="20">
        <v>906406.01526340295</v>
      </c>
      <c r="D6" s="21">
        <v>84475.178046325804</v>
      </c>
      <c r="E6" s="21">
        <v>16491.2641197843</v>
      </c>
      <c r="F6" s="21">
        <v>345.45298210661002</v>
      </c>
      <c r="G6" s="21">
        <v>101.53823417135899</v>
      </c>
      <c r="H6" s="21">
        <v>6792.66808496253</v>
      </c>
      <c r="I6" s="21">
        <v>4222.2285019848096</v>
      </c>
      <c r="J6" s="21">
        <v>11461.8878032253</v>
      </c>
      <c r="K6" s="22">
        <v>793977.68529406702</v>
      </c>
      <c r="L6" s="23">
        <v>721811.42403174203</v>
      </c>
      <c r="M6" s="21">
        <v>35121.784592220101</v>
      </c>
      <c r="N6" s="21">
        <v>2537.2216876177299</v>
      </c>
      <c r="O6" s="21">
        <v>61.518419896956999</v>
      </c>
      <c r="P6" s="21">
        <v>1.16106991137341</v>
      </c>
      <c r="Q6" s="21">
        <v>15.9850255705471</v>
      </c>
      <c r="R6" s="21">
        <v>0</v>
      </c>
      <c r="S6" s="21">
        <v>396.34287075850898</v>
      </c>
      <c r="T6" s="21">
        <v>171.41342903240201</v>
      </c>
      <c r="U6" s="21">
        <v>2528.5603867126802</v>
      </c>
      <c r="V6" s="21">
        <v>225.27517221391801</v>
      </c>
      <c r="W6" s="21">
        <v>219.68727954635401</v>
      </c>
      <c r="X6" s="21">
        <v>1795.17262598142</v>
      </c>
      <c r="Y6" s="21">
        <v>2.6284723027370398</v>
      </c>
      <c r="Z6" s="21">
        <v>0.35085064961112999</v>
      </c>
      <c r="AA6" s="21">
        <v>30.030950913378</v>
      </c>
      <c r="AB6" s="21">
        <v>1.39195548044008</v>
      </c>
      <c r="AC6" s="21">
        <v>0.79925413076883201</v>
      </c>
      <c r="AD6" s="21">
        <v>0.187993577237176</v>
      </c>
      <c r="AE6" s="21">
        <v>73.608822291605307</v>
      </c>
      <c r="AF6" s="21">
        <v>11.5457333739958</v>
      </c>
      <c r="AG6" s="21">
        <v>1.3692319492340199</v>
      </c>
      <c r="AH6" s="21">
        <v>0.28177697078652097</v>
      </c>
      <c r="AI6" s="21">
        <v>0.44900395382840702</v>
      </c>
      <c r="AJ6" s="21">
        <v>2.6162551252609001</v>
      </c>
      <c r="AK6" s="21">
        <v>3.6771977566894498</v>
      </c>
      <c r="AL6" s="21">
        <v>1.6664218090626901</v>
      </c>
      <c r="AM6" s="21">
        <v>1.9415754824529201</v>
      </c>
      <c r="AN6" s="21">
        <v>1.4091853280088</v>
      </c>
      <c r="AO6" s="21">
        <v>8.4991108271897001E-2</v>
      </c>
      <c r="AP6" s="21">
        <v>0.80094269583383704</v>
      </c>
      <c r="AQ6" s="21">
        <v>0.13170807507035701</v>
      </c>
      <c r="AR6" s="21">
        <v>8.1051123120219601E-2</v>
      </c>
      <c r="AS6" s="21">
        <v>0.60675771335831097</v>
      </c>
      <c r="AT6" s="21">
        <v>5.1219806971805497E-2</v>
      </c>
      <c r="AU6" s="21">
        <v>4.5603798890258602</v>
      </c>
      <c r="AV6" s="21">
        <v>3.3905815549897397E-2</v>
      </c>
      <c r="AW6" s="21">
        <v>7.1899100467894801</v>
      </c>
      <c r="AX6" s="21">
        <v>0.34052728810925598</v>
      </c>
      <c r="AY6" s="21">
        <v>3002.0436421529398</v>
      </c>
      <c r="AZ6" s="21">
        <v>405.96583046953998</v>
      </c>
      <c r="BA6" s="21">
        <v>9.7467162633922193</v>
      </c>
      <c r="BB6" s="21">
        <v>0.50600666447970399</v>
      </c>
      <c r="BC6" s="21">
        <v>0.22176487853726801</v>
      </c>
      <c r="BD6" s="21">
        <v>0.79587700063882305</v>
      </c>
      <c r="BE6" s="21">
        <v>38.732351764998903</v>
      </c>
      <c r="BF6" s="21">
        <v>0.78799703033546897</v>
      </c>
      <c r="BG6" s="21">
        <v>7.6548282946874102E-2</v>
      </c>
      <c r="BH6" s="21">
        <v>2.3077055888395901E-2</v>
      </c>
      <c r="BI6" s="21">
        <v>0.38330426975603898</v>
      </c>
      <c r="BJ6" s="21">
        <v>0.309007406895837</v>
      </c>
      <c r="BK6" s="21">
        <v>5.1833318945423796</v>
      </c>
      <c r="BL6" s="21">
        <v>118.711236517557</v>
      </c>
      <c r="BM6" s="21">
        <v>0.168293651478789</v>
      </c>
      <c r="BN6" s="21">
        <v>0.64334328976674304</v>
      </c>
      <c r="BO6" s="21">
        <v>4.2214126625114402E-2</v>
      </c>
      <c r="BP6" s="21">
        <v>1.3395949515703001</v>
      </c>
      <c r="BQ6" s="21">
        <v>0.83696541722060103</v>
      </c>
      <c r="BR6" s="21">
        <v>3.77112864517688E-2</v>
      </c>
      <c r="BS6" s="21">
        <v>539.23096636077196</v>
      </c>
      <c r="BT6" s="21">
        <v>9.59018889926712E-2</v>
      </c>
      <c r="BU6" s="21">
        <v>0.23471054403563599</v>
      </c>
      <c r="BV6" s="21">
        <v>5.62855021668192E-4</v>
      </c>
      <c r="BW6" s="21">
        <v>0.249907629620677</v>
      </c>
      <c r="BX6" s="21">
        <v>0.114822424420311</v>
      </c>
      <c r="BY6" s="21">
        <v>0.13564806022203399</v>
      </c>
      <c r="BZ6" s="24">
        <v>0</v>
      </c>
      <c r="CA6" s="25">
        <v>769160</v>
      </c>
      <c r="CB6" s="25">
        <v>24817.685294067</v>
      </c>
    </row>
    <row r="7" spans="1:80" ht="15" customHeight="1" x14ac:dyDescent="0.3">
      <c r="A7" s="19" t="s">
        <v>25</v>
      </c>
      <c r="B7" s="11" t="s">
        <v>93</v>
      </c>
      <c r="C7" s="26">
        <v>309970.73214834201</v>
      </c>
      <c r="D7" s="27">
        <v>25288.4040775057</v>
      </c>
      <c r="E7" s="27">
        <v>2182.3848379105302</v>
      </c>
      <c r="F7" s="27">
        <v>58.3144713273919</v>
      </c>
      <c r="G7" s="27">
        <v>75.061713383165497</v>
      </c>
      <c r="H7" s="27">
        <v>4744.8909612968</v>
      </c>
      <c r="I7" s="27">
        <v>3159.76057498009</v>
      </c>
      <c r="J7" s="27">
        <v>8038.0277209874503</v>
      </c>
      <c r="K7" s="28">
        <v>274461.91551193898</v>
      </c>
      <c r="L7" s="29">
        <v>35121.784592220101</v>
      </c>
      <c r="M7" s="27">
        <v>222563.46666037</v>
      </c>
      <c r="N7" s="27">
        <v>3692.2260705414501</v>
      </c>
      <c r="O7" s="27">
        <v>323.911582318836</v>
      </c>
      <c r="P7" s="27">
        <v>2.2572119606579499</v>
      </c>
      <c r="Q7" s="27">
        <v>29.150193390212301</v>
      </c>
      <c r="R7" s="27">
        <v>0</v>
      </c>
      <c r="S7" s="27">
        <v>2452.7867527006401</v>
      </c>
      <c r="T7" s="27">
        <v>66.624610223194097</v>
      </c>
      <c r="U7" s="27">
        <v>787.12555061263095</v>
      </c>
      <c r="V7" s="27">
        <v>279.75752062562202</v>
      </c>
      <c r="W7" s="27">
        <v>120.631963058444</v>
      </c>
      <c r="X7" s="27">
        <v>836.81392535389398</v>
      </c>
      <c r="Y7" s="27">
        <v>1.2322371783955699</v>
      </c>
      <c r="Z7" s="27">
        <v>0.77647318716842195</v>
      </c>
      <c r="AA7" s="27">
        <v>21.927140730623101</v>
      </c>
      <c r="AB7" s="27">
        <v>0.81340172863106897</v>
      </c>
      <c r="AC7" s="27">
        <v>0.46091956007527801</v>
      </c>
      <c r="AD7" s="27">
        <v>0.108413473989537</v>
      </c>
      <c r="AE7" s="27">
        <v>20.188335078650201</v>
      </c>
      <c r="AF7" s="27">
        <v>7.87077965459296</v>
      </c>
      <c r="AG7" s="27">
        <v>1.3074814947561799</v>
      </c>
      <c r="AH7" s="27">
        <v>0.45142951673132298</v>
      </c>
      <c r="AI7" s="27">
        <v>0.410354113568902</v>
      </c>
      <c r="AJ7" s="27">
        <v>1.4826291967774701</v>
      </c>
      <c r="AK7" s="27">
        <v>15.2118363847305</v>
      </c>
      <c r="AL7" s="27">
        <v>1.05781680178753</v>
      </c>
      <c r="AM7" s="27">
        <v>1.1949804216983599</v>
      </c>
      <c r="AN7" s="27">
        <v>0.82259023249982599</v>
      </c>
      <c r="AO7" s="27">
        <v>4.9013277162934403E-2</v>
      </c>
      <c r="AP7" s="27">
        <v>0.46189333379374597</v>
      </c>
      <c r="AQ7" s="27">
        <v>7.5954350040573895E-2</v>
      </c>
      <c r="AR7" s="27">
        <v>4.6741138486507003E-2</v>
      </c>
      <c r="AS7" s="27">
        <v>0.34990935616982299</v>
      </c>
      <c r="AT7" s="27">
        <v>2.95378027935565E-2</v>
      </c>
      <c r="AU7" s="27">
        <v>2.1935903644188901</v>
      </c>
      <c r="AV7" s="27">
        <v>2.0014963701237499E-2</v>
      </c>
      <c r="AW7" s="27">
        <v>4.14632849324056</v>
      </c>
      <c r="AX7" s="27">
        <v>0.196377699891227</v>
      </c>
      <c r="AY7" s="27">
        <v>5497.2756128988003</v>
      </c>
      <c r="AZ7" s="27">
        <v>96.790488976541297</v>
      </c>
      <c r="BA7" s="27">
        <v>17.5805529878516</v>
      </c>
      <c r="BB7" s="27">
        <v>0.29180752430117901</v>
      </c>
      <c r="BC7" s="27">
        <v>0.12788894835891501</v>
      </c>
      <c r="BD7" s="27">
        <v>0.45897201263833998</v>
      </c>
      <c r="BE7" s="27">
        <v>130.52953178291699</v>
      </c>
      <c r="BF7" s="27">
        <v>0.45442773528548502</v>
      </c>
      <c r="BG7" s="27">
        <v>4.4144408570590002E-2</v>
      </c>
      <c r="BH7" s="27">
        <v>1.3308240819074901E-2</v>
      </c>
      <c r="BI7" s="27">
        <v>0.22104663409243899</v>
      </c>
      <c r="BJ7" s="27">
        <v>0.17820059047980799</v>
      </c>
      <c r="BK7" s="27">
        <v>2.98916072446002</v>
      </c>
      <c r="BL7" s="27">
        <v>68.4614644822922</v>
      </c>
      <c r="BM7" s="27">
        <v>9.7052780607399997E-2</v>
      </c>
      <c r="BN7" s="27">
        <v>0.37100778673664903</v>
      </c>
      <c r="BO7" s="27">
        <v>2.4344342961722401E-2</v>
      </c>
      <c r="BP7" s="27">
        <v>0.77252714998532401</v>
      </c>
      <c r="BQ7" s="27">
        <v>0.48266717312108298</v>
      </c>
      <c r="BR7" s="27">
        <v>2.1747613045805299E-2</v>
      </c>
      <c r="BS7" s="27">
        <v>63.846503405948098</v>
      </c>
      <c r="BT7" s="27">
        <v>0.120488140185639</v>
      </c>
      <c r="BU7" s="27">
        <v>0.13535454686717699</v>
      </c>
      <c r="BV7" s="27">
        <v>3.2459123948963201E-4</v>
      </c>
      <c r="BW7" s="27">
        <v>0.14411851033339701</v>
      </c>
      <c r="BX7" s="27">
        <v>6.6216612855884899E-2</v>
      </c>
      <c r="BY7" s="27">
        <v>7.8226488717001302E-2</v>
      </c>
      <c r="BZ7" s="30">
        <v>0</v>
      </c>
      <c r="CA7" s="31">
        <v>272241</v>
      </c>
      <c r="CB7" s="31">
        <v>2220.91551193847</v>
      </c>
    </row>
    <row r="8" spans="1:80" ht="15" customHeight="1" x14ac:dyDescent="0.3">
      <c r="A8" s="19" t="s">
        <v>26</v>
      </c>
      <c r="B8" s="11" t="s">
        <v>94</v>
      </c>
      <c r="C8" s="26">
        <v>73945.687459902707</v>
      </c>
      <c r="D8" s="27">
        <v>8002.1650194049498</v>
      </c>
      <c r="E8" s="27">
        <v>879.16786703999401</v>
      </c>
      <c r="F8" s="27">
        <v>89.6093819597574</v>
      </c>
      <c r="G8" s="27">
        <v>0.95910901884167399</v>
      </c>
      <c r="H8" s="27">
        <v>3658.1609478690498</v>
      </c>
      <c r="I8" s="27">
        <v>740.55635268438903</v>
      </c>
      <c r="J8" s="27">
        <v>4489.2857915320301</v>
      </c>
      <c r="K8" s="28">
        <v>60575.0687819257</v>
      </c>
      <c r="L8" s="29">
        <v>2537.2216876177299</v>
      </c>
      <c r="M8" s="27">
        <v>3692.2260705414501</v>
      </c>
      <c r="N8" s="27">
        <v>47465.894141302</v>
      </c>
      <c r="O8" s="27">
        <v>25.694111925244702</v>
      </c>
      <c r="P8" s="27">
        <v>3.8783309465945798E-2</v>
      </c>
      <c r="Q8" s="27">
        <v>2.1300456321143</v>
      </c>
      <c r="R8" s="27">
        <v>0</v>
      </c>
      <c r="S8" s="27">
        <v>23.495001617074401</v>
      </c>
      <c r="T8" s="27">
        <v>4.4642044349087397</v>
      </c>
      <c r="U8" s="27">
        <v>320.11333448077801</v>
      </c>
      <c r="V8" s="27">
        <v>7.6584261689928299</v>
      </c>
      <c r="W8" s="27">
        <v>0.98101925472621798</v>
      </c>
      <c r="X8" s="27">
        <v>4.8539117358789596</v>
      </c>
      <c r="Y8" s="27">
        <v>1.15864919582767E-2</v>
      </c>
      <c r="Z8" s="27">
        <v>7.5975122725176801E-3</v>
      </c>
      <c r="AA8" s="27">
        <v>5.93738056716328</v>
      </c>
      <c r="AB8" s="27">
        <v>0.11143830933773199</v>
      </c>
      <c r="AC8" s="27">
        <v>5.8840794903226898E-2</v>
      </c>
      <c r="AD8" s="27">
        <v>1.38400179561111E-2</v>
      </c>
      <c r="AE8" s="27">
        <v>4.5697123474814498</v>
      </c>
      <c r="AF8" s="27">
        <v>0.67014335540356895</v>
      </c>
      <c r="AG8" s="27">
        <v>0.18555401838229801</v>
      </c>
      <c r="AH8" s="27">
        <v>9.1351719396051898E-3</v>
      </c>
      <c r="AI8" s="27">
        <v>3.9795125060874202E-2</v>
      </c>
      <c r="AJ8" s="27">
        <v>0.139390153913558</v>
      </c>
      <c r="AK8" s="27">
        <v>1.2313329171623599</v>
      </c>
      <c r="AL8" s="27">
        <v>0.12978536243355299</v>
      </c>
      <c r="AM8" s="27">
        <v>0.14846340741672301</v>
      </c>
      <c r="AN8" s="27">
        <v>0.111756090446803</v>
      </c>
      <c r="AO8" s="27">
        <v>6.2570141059065196E-3</v>
      </c>
      <c r="AP8" s="27">
        <v>5.89651064417549E-2</v>
      </c>
      <c r="AQ8" s="27">
        <v>9.6963000051796498E-3</v>
      </c>
      <c r="AR8" s="27">
        <v>5.96695384934132E-3</v>
      </c>
      <c r="AS8" s="27">
        <v>4.4669279511041299E-2</v>
      </c>
      <c r="AT8" s="27">
        <v>3.7707833353476401E-3</v>
      </c>
      <c r="AU8" s="27">
        <v>4.7524772849247103E-2</v>
      </c>
      <c r="AV8" s="27">
        <v>2.8688027446416801E-3</v>
      </c>
      <c r="AW8" s="27">
        <v>0.52931853105198601</v>
      </c>
      <c r="AX8" s="27">
        <v>2.5069493603135401E-2</v>
      </c>
      <c r="AY8" s="27">
        <v>397.80954648481003</v>
      </c>
      <c r="AZ8" s="27">
        <v>20.745128512548501</v>
      </c>
      <c r="BA8" s="27">
        <v>198.904449929805</v>
      </c>
      <c r="BB8" s="27">
        <v>3.7252024378873899E-2</v>
      </c>
      <c r="BC8" s="27">
        <v>1.632624872667E-2</v>
      </c>
      <c r="BD8" s="27">
        <v>5.8592171826170998E-2</v>
      </c>
      <c r="BE8" s="27">
        <v>15.470528716842299</v>
      </c>
      <c r="BF8" s="27">
        <v>5.8012051313040602E-2</v>
      </c>
      <c r="BG8" s="27">
        <v>5.6354564132667997E-3</v>
      </c>
      <c r="BH8" s="27">
        <v>1.6989243598819E-3</v>
      </c>
      <c r="BI8" s="27">
        <v>2.82187192458433E-2</v>
      </c>
      <c r="BJ8" s="27">
        <v>2.2749011550613801E-2</v>
      </c>
      <c r="BK8" s="27">
        <v>0.38159498610127901</v>
      </c>
      <c r="BL8" s="27">
        <v>8.7395757998035801</v>
      </c>
      <c r="BM8" s="27">
        <v>1.23897166732851E-2</v>
      </c>
      <c r="BN8" s="27">
        <v>4.73626961791467E-2</v>
      </c>
      <c r="BO8" s="27">
        <v>3.1077884631985999E-3</v>
      </c>
      <c r="BP8" s="27">
        <v>9.8620487232169096E-2</v>
      </c>
      <c r="BQ8" s="27">
        <v>6.1617085930351E-2</v>
      </c>
      <c r="BR8" s="27">
        <v>2.77629102712409E-3</v>
      </c>
      <c r="BS8" s="27">
        <v>1.54539896938402</v>
      </c>
      <c r="BT8" s="27">
        <v>1.4662832635691399E-2</v>
      </c>
      <c r="BU8" s="27">
        <v>1.72793038553842E-2</v>
      </c>
      <c r="BV8" s="27">
        <v>4.1437179509314697E-5</v>
      </c>
      <c r="BW8" s="27">
        <v>1.8398107702135701E-2</v>
      </c>
      <c r="BX8" s="27">
        <v>8.4531846199001996E-3</v>
      </c>
      <c r="BY8" s="27">
        <v>9.9863602617448494E-3</v>
      </c>
      <c r="BZ8" s="30">
        <v>0</v>
      </c>
      <c r="CA8" s="31">
        <v>54743</v>
      </c>
      <c r="CB8" s="31">
        <v>5832.0687819257</v>
      </c>
    </row>
    <row r="9" spans="1:80" ht="15" customHeight="1" x14ac:dyDescent="0.3">
      <c r="A9" s="19" t="s">
        <v>27</v>
      </c>
      <c r="B9" s="11" t="s">
        <v>95</v>
      </c>
      <c r="C9" s="26">
        <v>62551.127918019898</v>
      </c>
      <c r="D9" s="27">
        <v>4643.3001427828704</v>
      </c>
      <c r="E9" s="27">
        <v>3771.6965677819599</v>
      </c>
      <c r="F9" s="27">
        <v>51.112909067285401</v>
      </c>
      <c r="G9" s="27">
        <v>6.1642404344157899</v>
      </c>
      <c r="H9" s="27">
        <v>1764.5799485948</v>
      </c>
      <c r="I9" s="27">
        <v>555.17427528981602</v>
      </c>
      <c r="J9" s="27">
        <v>2377.03137338632</v>
      </c>
      <c r="K9" s="28">
        <v>51759.0998340687</v>
      </c>
      <c r="L9" s="29">
        <v>61.518419896956999</v>
      </c>
      <c r="M9" s="27">
        <v>323.911582318836</v>
      </c>
      <c r="N9" s="27">
        <v>25.694111925244702</v>
      </c>
      <c r="O9" s="27">
        <v>26274.2165574754</v>
      </c>
      <c r="P9" s="27">
        <v>20.825160815080199</v>
      </c>
      <c r="Q9" s="27">
        <v>1.45248740025603</v>
      </c>
      <c r="R9" s="27">
        <v>117.678625785726</v>
      </c>
      <c r="S9" s="27">
        <v>5.7206928224498004</v>
      </c>
      <c r="T9" s="27">
        <v>0.186584253481724</v>
      </c>
      <c r="U9" s="27">
        <v>284.598707634199</v>
      </c>
      <c r="V9" s="27">
        <v>0.461350404252374</v>
      </c>
      <c r="W9" s="27">
        <v>2.6445887073324001E-2</v>
      </c>
      <c r="X9" s="27">
        <v>0.954017713412465</v>
      </c>
      <c r="Y9" s="27">
        <v>4.4688675155624698E-2</v>
      </c>
      <c r="Z9" s="27">
        <v>9.0109130533151602E-2</v>
      </c>
      <c r="AA9" s="27">
        <v>0.19662950913528801</v>
      </c>
      <c r="AB9" s="27">
        <v>0.72468214179261603</v>
      </c>
      <c r="AC9" s="27">
        <v>0.25718787603854798</v>
      </c>
      <c r="AD9" s="27">
        <v>0.38102284628578298</v>
      </c>
      <c r="AE9" s="27">
        <v>0.11566898557824799</v>
      </c>
      <c r="AF9" s="27">
        <v>335.79293570747501</v>
      </c>
      <c r="AG9" s="27">
        <v>36.385555419910297</v>
      </c>
      <c r="AH9" s="27">
        <v>1.5487598986170601</v>
      </c>
      <c r="AI9" s="27">
        <v>1.54024414148706</v>
      </c>
      <c r="AJ9" s="27">
        <v>8.5813057734019704</v>
      </c>
      <c r="AK9" s="27">
        <v>1819.21104618205</v>
      </c>
      <c r="AL9" s="27">
        <v>11.6522917923254</v>
      </c>
      <c r="AM9" s="27">
        <v>308.04369113747902</v>
      </c>
      <c r="AN9" s="27">
        <v>6.5708509712998904</v>
      </c>
      <c r="AO9" s="27">
        <v>0.97964062162764398</v>
      </c>
      <c r="AP9" s="27">
        <v>3.7152265965853499</v>
      </c>
      <c r="AQ9" s="27">
        <v>14.759995953079301</v>
      </c>
      <c r="AR9" s="27">
        <v>0.48281005595551701</v>
      </c>
      <c r="AS9" s="27">
        <v>4.0674004198917997</v>
      </c>
      <c r="AT9" s="27">
        <v>0.36878286038512997</v>
      </c>
      <c r="AU9" s="27">
        <v>3.7061277401428399</v>
      </c>
      <c r="AV9" s="27">
        <v>9.9478128458264301</v>
      </c>
      <c r="AW9" s="27">
        <v>2.30041773314076</v>
      </c>
      <c r="AX9" s="27">
        <v>0.11254060893309301</v>
      </c>
      <c r="AY9" s="27">
        <v>0.58900984575949999</v>
      </c>
      <c r="AZ9" s="27">
        <v>320.97699006720597</v>
      </c>
      <c r="BA9" s="27">
        <v>0.49062923699598299</v>
      </c>
      <c r="BB9" s="27">
        <v>0.155216768245308</v>
      </c>
      <c r="BC9" s="27">
        <v>6.8742441463308504E-2</v>
      </c>
      <c r="BD9" s="27">
        <v>0.25014690980981602</v>
      </c>
      <c r="BE9" s="27">
        <v>2.17477408178041E-2</v>
      </c>
      <c r="BF9" s="27">
        <v>0.23852562137945801</v>
      </c>
      <c r="BG9" s="27">
        <v>2.9054175577545801E-2</v>
      </c>
      <c r="BH9" s="27">
        <v>7.3610716912771903E-3</v>
      </c>
      <c r="BI9" s="27">
        <v>0.24624158416900499</v>
      </c>
      <c r="BJ9" s="27">
        <v>0.78649970560719695</v>
      </c>
      <c r="BK9" s="27">
        <v>1.6186209319767699</v>
      </c>
      <c r="BL9" s="27">
        <v>36.4139574232981</v>
      </c>
      <c r="BM9" s="27">
        <v>5.2524753161130797E-2</v>
      </c>
      <c r="BN9" s="27">
        <v>1.5483023750823799</v>
      </c>
      <c r="BO9" s="27">
        <v>1.32856119022319E-2</v>
      </c>
      <c r="BP9" s="27">
        <v>0.75490389485274401</v>
      </c>
      <c r="BQ9" s="27">
        <v>0.269135389405805</v>
      </c>
      <c r="BR9" s="27">
        <v>1.3174363448216399E-2</v>
      </c>
      <c r="BS9" s="27">
        <v>23.526481642111399</v>
      </c>
      <c r="BT9" s="27">
        <v>3.2339422561957698</v>
      </c>
      <c r="BU9" s="27">
        <v>0.26529905246845498</v>
      </c>
      <c r="BV9" s="27">
        <v>0.44019421327618702</v>
      </c>
      <c r="BW9" s="27">
        <v>8.2664325670920302E-2</v>
      </c>
      <c r="BX9" s="27">
        <v>3.6003135421663203E-2</v>
      </c>
      <c r="BY9" s="27">
        <v>4.9175506487905099E-2</v>
      </c>
      <c r="BZ9" s="30">
        <v>0</v>
      </c>
      <c r="CA9" s="31">
        <v>30081</v>
      </c>
      <c r="CB9" s="31">
        <v>21678.0998340687</v>
      </c>
    </row>
    <row r="10" spans="1:80" ht="15" customHeight="1" x14ac:dyDescent="0.3">
      <c r="A10" s="19" t="s">
        <v>28</v>
      </c>
      <c r="B10" s="11" t="s">
        <v>96</v>
      </c>
      <c r="C10" s="26">
        <v>464886.056090447</v>
      </c>
      <c r="D10" s="27">
        <v>529.94494288877695</v>
      </c>
      <c r="E10" s="27">
        <v>1316.0514708574401</v>
      </c>
      <c r="F10" s="27">
        <v>19.668928178870001</v>
      </c>
      <c r="G10" s="27">
        <v>7.7416885295506903</v>
      </c>
      <c r="H10" s="27">
        <v>169.484892467164</v>
      </c>
      <c r="I10" s="27">
        <v>6317.3710600907898</v>
      </c>
      <c r="J10" s="27">
        <v>6514.2665692663704</v>
      </c>
      <c r="K10" s="28">
        <v>456525.79310743499</v>
      </c>
      <c r="L10" s="29">
        <v>1.16106991137341</v>
      </c>
      <c r="M10" s="27">
        <v>2.2572119606579499</v>
      </c>
      <c r="N10" s="27">
        <v>3.8783309465945798E-2</v>
      </c>
      <c r="O10" s="27">
        <v>20.825160815080199</v>
      </c>
      <c r="P10" s="27">
        <v>366005.049834134</v>
      </c>
      <c r="Q10" s="27">
        <v>168.34829106693201</v>
      </c>
      <c r="R10" s="27">
        <v>1.6420658858776499E-2</v>
      </c>
      <c r="S10" s="27">
        <v>0.90561325759926004</v>
      </c>
      <c r="T10" s="27">
        <v>2.2256717962561798</v>
      </c>
      <c r="U10" s="27">
        <v>2.7632161263340902</v>
      </c>
      <c r="V10" s="27">
        <v>3.0186012974887699</v>
      </c>
      <c r="W10" s="27">
        <v>0.15200345171670801</v>
      </c>
      <c r="X10" s="27">
        <v>1.1058342746521901</v>
      </c>
      <c r="Y10" s="27">
        <v>0.410829934055221</v>
      </c>
      <c r="Z10" s="27">
        <v>0.50743298489050304</v>
      </c>
      <c r="AA10" s="27">
        <v>2.1807082200437602</v>
      </c>
      <c r="AB10" s="27">
        <v>9.12124240116046</v>
      </c>
      <c r="AC10" s="27">
        <v>3.0016379719162001</v>
      </c>
      <c r="AD10" s="27">
        <v>3874.9963612604702</v>
      </c>
      <c r="AE10" s="27">
        <v>0.49229215883655503</v>
      </c>
      <c r="AF10" s="27">
        <v>122.333291203242</v>
      </c>
      <c r="AG10" s="27">
        <v>11.5818798758998</v>
      </c>
      <c r="AH10" s="27">
        <v>2.4940660893033999</v>
      </c>
      <c r="AI10" s="27">
        <v>2.51137138981951</v>
      </c>
      <c r="AJ10" s="27">
        <v>8.7751739075338602</v>
      </c>
      <c r="AK10" s="27">
        <v>5.5627848925556496</v>
      </c>
      <c r="AL10" s="27">
        <v>9.5539988779714005</v>
      </c>
      <c r="AM10" s="27">
        <v>8.3210204127249501</v>
      </c>
      <c r="AN10" s="27">
        <v>110.03566268919199</v>
      </c>
      <c r="AO10" s="27">
        <v>19.112274506856799</v>
      </c>
      <c r="AP10" s="27">
        <v>10.7706482699997</v>
      </c>
      <c r="AQ10" s="27">
        <v>334.57366154902797</v>
      </c>
      <c r="AR10" s="27">
        <v>4.9437444669396404</v>
      </c>
      <c r="AS10" s="27">
        <v>11.4573539955973</v>
      </c>
      <c r="AT10" s="27">
        <v>3.37946530925338</v>
      </c>
      <c r="AU10" s="27">
        <v>3.3463293508280998</v>
      </c>
      <c r="AV10" s="27">
        <v>34.527074781037697</v>
      </c>
      <c r="AW10" s="27">
        <v>25.455257545539499</v>
      </c>
      <c r="AX10" s="27">
        <v>1.2255611714102601</v>
      </c>
      <c r="AY10" s="27">
        <v>34998.191748106299</v>
      </c>
      <c r="AZ10" s="27">
        <v>361.868880126519</v>
      </c>
      <c r="BA10" s="27">
        <v>5.3493395949515703</v>
      </c>
      <c r="BB10" s="27">
        <v>1.7570538165368901</v>
      </c>
      <c r="BC10" s="27">
        <v>0.77005473160793503</v>
      </c>
      <c r="BD10" s="27">
        <v>2.9214303180889001</v>
      </c>
      <c r="BE10" s="27">
        <v>0.23844334328976699</v>
      </c>
      <c r="BF10" s="27">
        <v>2.73623508693175</v>
      </c>
      <c r="BG10" s="27">
        <v>0.29413954078674098</v>
      </c>
      <c r="BH10" s="27">
        <v>8.01325989744298E-2</v>
      </c>
      <c r="BI10" s="27">
        <v>1.9272256099848399</v>
      </c>
      <c r="BJ10" s="27">
        <v>4.7921978634092204</v>
      </c>
      <c r="BK10" s="27">
        <v>18.151319901624699</v>
      </c>
      <c r="BL10" s="27">
        <v>412.205998031734</v>
      </c>
      <c r="BM10" s="27">
        <v>0.584381636423281</v>
      </c>
      <c r="BN10" s="27">
        <v>10.003603726440399</v>
      </c>
      <c r="BO10" s="27">
        <v>0.146584022514201</v>
      </c>
      <c r="BP10" s="27">
        <v>5.9112465842241999</v>
      </c>
      <c r="BQ10" s="27">
        <v>2.9641721526786502</v>
      </c>
      <c r="BR10" s="27">
        <v>0.130948393446019</v>
      </c>
      <c r="BS10" s="27">
        <v>18.1292781312602</v>
      </c>
      <c r="BT10" s="27">
        <v>17.354680724452798</v>
      </c>
      <c r="BU10" s="27">
        <v>1.8337937373994699</v>
      </c>
      <c r="BV10" s="27">
        <v>2.3487360982285299</v>
      </c>
      <c r="BW10" s="27">
        <v>0.89980697903707196</v>
      </c>
      <c r="BX10" s="27">
        <v>0.39870854123862598</v>
      </c>
      <c r="BY10" s="27">
        <v>0.47102332567896499</v>
      </c>
      <c r="BZ10" s="30">
        <v>0</v>
      </c>
      <c r="CA10" s="31">
        <v>406701</v>
      </c>
      <c r="CB10" s="31">
        <v>49824.793107434598</v>
      </c>
    </row>
    <row r="11" spans="1:80" ht="15" customHeight="1" x14ac:dyDescent="0.3">
      <c r="A11" s="19" t="s">
        <v>29</v>
      </c>
      <c r="B11" s="11" t="s">
        <v>97</v>
      </c>
      <c r="C11" s="26">
        <v>311419.15166777198</v>
      </c>
      <c r="D11" s="27">
        <v>27293.2553212616</v>
      </c>
      <c r="E11" s="27">
        <v>3515.4321791756502</v>
      </c>
      <c r="F11" s="27">
        <v>13.671903181605099</v>
      </c>
      <c r="G11" s="27">
        <v>2.3427918730024202</v>
      </c>
      <c r="H11" s="27">
        <v>8.8802528036762798</v>
      </c>
      <c r="I11" s="27">
        <v>885.34166125953004</v>
      </c>
      <c r="J11" s="27">
        <v>910.23660911781406</v>
      </c>
      <c r="K11" s="28">
        <v>279700.22755821701</v>
      </c>
      <c r="L11" s="29">
        <v>15.9850255705471</v>
      </c>
      <c r="M11" s="27">
        <v>29.150193390212301</v>
      </c>
      <c r="N11" s="27">
        <v>2.1300456321143</v>
      </c>
      <c r="O11" s="27">
        <v>1.45248740025603</v>
      </c>
      <c r="P11" s="27">
        <v>168.34829106693201</v>
      </c>
      <c r="Q11" s="27">
        <v>275440.29234457301</v>
      </c>
      <c r="R11" s="27">
        <v>245.422517294535</v>
      </c>
      <c r="S11" s="27">
        <v>1.0239194433874399</v>
      </c>
      <c r="T11" s="27">
        <v>1.21067506496553</v>
      </c>
      <c r="U11" s="27">
        <v>1.30469201317999</v>
      </c>
      <c r="V11" s="27">
        <v>0.22171540535450701</v>
      </c>
      <c r="W11" s="27">
        <v>0.34215122115904401</v>
      </c>
      <c r="X11" s="27">
        <v>0.32964650947938401</v>
      </c>
      <c r="Y11" s="27">
        <v>0.36683666199221898</v>
      </c>
      <c r="Z11" s="27">
        <v>1.4591713127343999</v>
      </c>
      <c r="AA11" s="27">
        <v>0.28865406332536903</v>
      </c>
      <c r="AB11" s="27">
        <v>2.4453104990608701</v>
      </c>
      <c r="AC11" s="27">
        <v>0.172498839737422</v>
      </c>
      <c r="AD11" s="27">
        <v>1.73736695865329E-2</v>
      </c>
      <c r="AE11" s="27">
        <v>0.12802160209850599</v>
      </c>
      <c r="AF11" s="27">
        <v>33.162111897106797</v>
      </c>
      <c r="AG11" s="27">
        <v>5.3191102115296802</v>
      </c>
      <c r="AH11" s="27">
        <v>2.0658010021969</v>
      </c>
      <c r="AI11" s="27">
        <v>5.0950621792227597</v>
      </c>
      <c r="AJ11" s="27">
        <v>4.5524631381301202</v>
      </c>
      <c r="AK11" s="27">
        <v>3.60734038748675</v>
      </c>
      <c r="AL11" s="27">
        <v>1028.4021466367201</v>
      </c>
      <c r="AM11" s="27">
        <v>161.10516085636201</v>
      </c>
      <c r="AN11" s="27">
        <v>5.2117809348470203</v>
      </c>
      <c r="AO11" s="27">
        <v>11.560930883083</v>
      </c>
      <c r="AP11" s="27">
        <v>7.4797449026658001</v>
      </c>
      <c r="AQ11" s="27">
        <v>140.58944007837201</v>
      </c>
      <c r="AR11" s="27">
        <v>7.2975350242678001</v>
      </c>
      <c r="AS11" s="27">
        <v>7.6610010259820003</v>
      </c>
      <c r="AT11" s="27">
        <v>4.81737112928203</v>
      </c>
      <c r="AU11" s="27">
        <v>1.75932275647221</v>
      </c>
      <c r="AV11" s="27">
        <v>1.2050461139427</v>
      </c>
      <c r="AW11" s="27">
        <v>2.0229243071362801</v>
      </c>
      <c r="AX11" s="27">
        <v>0.16034689603977501</v>
      </c>
      <c r="AY11" s="27">
        <v>1597.3060090839299</v>
      </c>
      <c r="AZ11" s="27">
        <v>5.8871313817796702</v>
      </c>
      <c r="BA11" s="27">
        <v>9.4511300264162004E-2</v>
      </c>
      <c r="BB11" s="27">
        <v>3.1043353649061599E-2</v>
      </c>
      <c r="BC11" s="27">
        <v>1.3605207272225001E-2</v>
      </c>
      <c r="BD11" s="27">
        <v>0.113070344042653</v>
      </c>
      <c r="BE11" s="27">
        <v>4.2127799167803303E-3</v>
      </c>
      <c r="BF11" s="27">
        <v>4.8343376094200502E-2</v>
      </c>
      <c r="BG11" s="27">
        <v>9.6338498864048203E-2</v>
      </c>
      <c r="BH11" s="27">
        <v>1.4157702999015899E-3</v>
      </c>
      <c r="BI11" s="27">
        <v>1.9519880354663901</v>
      </c>
      <c r="BJ11" s="27">
        <v>11.480303159514801</v>
      </c>
      <c r="BK11" s="27">
        <v>0.81206727232082299</v>
      </c>
      <c r="BL11" s="27">
        <v>7.2827914846596098</v>
      </c>
      <c r="BM11" s="27">
        <v>1.03247638944043E-2</v>
      </c>
      <c r="BN11" s="27">
        <v>23.206741647847601</v>
      </c>
      <c r="BO11" s="27">
        <v>2.58982371933217E-3</v>
      </c>
      <c r="BP11" s="27">
        <v>0.40093951392127403</v>
      </c>
      <c r="BQ11" s="27">
        <v>0.23861658916329201</v>
      </c>
      <c r="BR11" s="27">
        <v>2.3135758559367399E-3</v>
      </c>
      <c r="BS11" s="27">
        <v>38.4946593958447</v>
      </c>
      <c r="BT11" s="27">
        <v>55.320534724699897</v>
      </c>
      <c r="BU11" s="27">
        <v>3.3095372394051998</v>
      </c>
      <c r="BV11" s="27">
        <v>7.5904064127199096</v>
      </c>
      <c r="BW11" s="27">
        <v>0.118927383150815</v>
      </c>
      <c r="BX11" s="27">
        <v>7.0443205165834997E-3</v>
      </c>
      <c r="BY11" s="27">
        <v>8.3219668847873702E-3</v>
      </c>
      <c r="BZ11" s="30">
        <v>0</v>
      </c>
      <c r="CA11" s="31">
        <v>279099</v>
      </c>
      <c r="CB11" s="31">
        <v>601.22755821663804</v>
      </c>
    </row>
    <row r="12" spans="1:80" ht="15" customHeight="1" x14ac:dyDescent="0.3">
      <c r="A12" s="19" t="s">
        <v>30</v>
      </c>
      <c r="B12" s="11" t="s">
        <v>98</v>
      </c>
      <c r="C12" s="26">
        <v>42086.820974582697</v>
      </c>
      <c r="D12" s="27">
        <v>3573.7623046101398</v>
      </c>
      <c r="E12" s="27">
        <v>1371.65937104157</v>
      </c>
      <c r="F12" s="27">
        <v>18.603937958708698</v>
      </c>
      <c r="G12" s="27">
        <v>3.44277102375364</v>
      </c>
      <c r="H12" s="27">
        <v>33.122103346495699</v>
      </c>
      <c r="I12" s="27">
        <v>598.88181723189098</v>
      </c>
      <c r="J12" s="27">
        <v>654.05062956084896</v>
      </c>
      <c r="K12" s="28">
        <v>36487.348669370098</v>
      </c>
      <c r="L12" s="29">
        <v>0</v>
      </c>
      <c r="M12" s="27">
        <v>0</v>
      </c>
      <c r="N12" s="27">
        <v>0</v>
      </c>
      <c r="O12" s="27">
        <v>117.678625785726</v>
      </c>
      <c r="P12" s="27">
        <v>1.6420658858776499E-2</v>
      </c>
      <c r="Q12" s="27">
        <v>245.422517294535</v>
      </c>
      <c r="R12" s="27">
        <v>28652.189343153201</v>
      </c>
      <c r="S12" s="27">
        <v>6.7053179216684397E-2</v>
      </c>
      <c r="T12" s="27">
        <v>3.5156296927643702E-2</v>
      </c>
      <c r="U12" s="27">
        <v>0.13907912985576901</v>
      </c>
      <c r="V12" s="27">
        <v>1.96111522156465E-2</v>
      </c>
      <c r="W12" s="27">
        <v>1.7999922178308401E-2</v>
      </c>
      <c r="X12" s="27">
        <v>0.66114995622797901</v>
      </c>
      <c r="Y12" s="27">
        <v>1.8761829244844399E-2</v>
      </c>
      <c r="Z12" s="27">
        <v>7.7861005867690306E-2</v>
      </c>
      <c r="AA12" s="27">
        <v>1.27638048448549E-2</v>
      </c>
      <c r="AB12" s="27">
        <v>0.60696307803295102</v>
      </c>
      <c r="AC12" s="27">
        <v>3.47309527548608E-3</v>
      </c>
      <c r="AD12" s="27">
        <v>2.1857425999813499E-2</v>
      </c>
      <c r="AE12" s="27">
        <v>1.9667847501874699E-3</v>
      </c>
      <c r="AF12" s="27">
        <v>47.5136709625218</v>
      </c>
      <c r="AG12" s="27">
        <v>1.4876058414132001</v>
      </c>
      <c r="AH12" s="27">
        <v>0.29377770870994102</v>
      </c>
      <c r="AI12" s="27">
        <v>0.28066948613353898</v>
      </c>
      <c r="AJ12" s="27">
        <v>6.1199924089561204</v>
      </c>
      <c r="AK12" s="27">
        <v>25.211260071840702</v>
      </c>
      <c r="AL12" s="27">
        <v>40.399050447494297</v>
      </c>
      <c r="AM12" s="27">
        <v>1516.9202122399099</v>
      </c>
      <c r="AN12" s="27">
        <v>19.213349479906899</v>
      </c>
      <c r="AO12" s="27">
        <v>0.58873139868258395</v>
      </c>
      <c r="AP12" s="27">
        <v>11.8163990723403</v>
      </c>
      <c r="AQ12" s="27">
        <v>4.7968444417084797</v>
      </c>
      <c r="AR12" s="27">
        <v>0.33848637644005097</v>
      </c>
      <c r="AS12" s="27">
        <v>2.6072646952712302</v>
      </c>
      <c r="AT12" s="27">
        <v>0.22417207513579199</v>
      </c>
      <c r="AU12" s="27">
        <v>0.82598323213557001</v>
      </c>
      <c r="AV12" s="27">
        <v>0.34575783174222702</v>
      </c>
      <c r="AW12" s="27">
        <v>8.5196181432694904E-2</v>
      </c>
      <c r="AX12" s="27">
        <v>7.4106867878041298E-3</v>
      </c>
      <c r="AY12" s="27">
        <v>7.1989528795811499E-3</v>
      </c>
      <c r="AZ12" s="27">
        <v>8.1398956665460798</v>
      </c>
      <c r="BA12" s="27">
        <v>3.5360529909912999E-3</v>
      </c>
      <c r="BB12" s="27">
        <v>0</v>
      </c>
      <c r="BC12" s="27">
        <v>2.5284885959417803E-4</v>
      </c>
      <c r="BD12" s="27">
        <v>6.9921744869640601E-4</v>
      </c>
      <c r="BE12" s="27">
        <v>2.4135572961262399E-4</v>
      </c>
      <c r="BF12" s="27">
        <v>-1.1263267381922499E-3</v>
      </c>
      <c r="BG12" s="27">
        <v>4.9618249289808498E-3</v>
      </c>
      <c r="BH12" s="27">
        <v>9.9607126506797195E-5</v>
      </c>
      <c r="BI12" s="27">
        <v>0.108432652910365</v>
      </c>
      <c r="BJ12" s="27">
        <v>0.61420438865419902</v>
      </c>
      <c r="BK12" s="27">
        <v>2.62550046196489E-2</v>
      </c>
      <c r="BL12" s="27">
        <v>0</v>
      </c>
      <c r="BM12" s="27">
        <v>3.1797659615631402E-4</v>
      </c>
      <c r="BN12" s="27">
        <v>1.21917889014837</v>
      </c>
      <c r="BO12" s="27">
        <v>1.1876234314271999E-4</v>
      </c>
      <c r="BP12" s="27">
        <v>2.1152860317740999E-2</v>
      </c>
      <c r="BQ12" s="27">
        <v>1.049550183894E-2</v>
      </c>
      <c r="BR12" s="27">
        <v>5.6699441242330701E-4</v>
      </c>
      <c r="BS12" s="27">
        <v>2.2494016625182298</v>
      </c>
      <c r="BT12" s="27">
        <v>2.9399652040327102</v>
      </c>
      <c r="BU12" s="27">
        <v>0.175908461199109</v>
      </c>
      <c r="BV12" s="27">
        <v>0.40335309516476697</v>
      </c>
      <c r="BW12" s="27">
        <v>5.50508161379735E-3</v>
      </c>
      <c r="BX12" s="27">
        <v>2.7583511955728502E-4</v>
      </c>
      <c r="BY12" s="27">
        <v>2.6702371990475998E-3</v>
      </c>
      <c r="BZ12" s="30">
        <v>0</v>
      </c>
      <c r="CA12" s="31">
        <v>30712</v>
      </c>
      <c r="CB12" s="31">
        <v>5775.3486693700997</v>
      </c>
    </row>
    <row r="13" spans="1:80" ht="15" customHeight="1" x14ac:dyDescent="0.3">
      <c r="A13" s="19" t="s">
        <v>31</v>
      </c>
      <c r="B13" s="11" t="s">
        <v>99</v>
      </c>
      <c r="C13" s="26">
        <v>654849.14960156695</v>
      </c>
      <c r="D13" s="27">
        <v>95816.846539057806</v>
      </c>
      <c r="E13" s="27">
        <v>4490.6635375426104</v>
      </c>
      <c r="F13" s="27">
        <v>359.85617553397498</v>
      </c>
      <c r="G13" s="27">
        <v>505.35171903272101</v>
      </c>
      <c r="H13" s="27">
        <v>42792.968727981701</v>
      </c>
      <c r="I13" s="27">
        <v>4855.2984880168897</v>
      </c>
      <c r="J13" s="27">
        <v>48513.475110565298</v>
      </c>
      <c r="K13" s="28">
        <v>506028.16441440099</v>
      </c>
      <c r="L13" s="29">
        <v>396.34287075850898</v>
      </c>
      <c r="M13" s="27">
        <v>2452.7867527006401</v>
      </c>
      <c r="N13" s="27">
        <v>23.495001617074401</v>
      </c>
      <c r="O13" s="27">
        <v>5.7206928224498004</v>
      </c>
      <c r="P13" s="27">
        <v>0.90561325759926004</v>
      </c>
      <c r="Q13" s="27">
        <v>1.0239194433874399</v>
      </c>
      <c r="R13" s="27">
        <v>6.7053179216684397E-2</v>
      </c>
      <c r="S13" s="27">
        <v>457232.93621621397</v>
      </c>
      <c r="T13" s="27">
        <v>4.3279008660002001</v>
      </c>
      <c r="U13" s="27">
        <v>16429.664916868998</v>
      </c>
      <c r="V13" s="27">
        <v>320.63103780360802</v>
      </c>
      <c r="W13" s="27">
        <v>0.66902053768582803</v>
      </c>
      <c r="X13" s="27">
        <v>1.47601233050131</v>
      </c>
      <c r="Y13" s="27">
        <v>1.3037725049136899</v>
      </c>
      <c r="Z13" s="27">
        <v>305.33544345690598</v>
      </c>
      <c r="AA13" s="27">
        <v>1.81905445400776</v>
      </c>
      <c r="AB13" s="27">
        <v>4.1576186635920003</v>
      </c>
      <c r="AC13" s="27">
        <v>2.11770378736189</v>
      </c>
      <c r="AD13" s="27">
        <v>1.69657629993037</v>
      </c>
      <c r="AE13" s="27">
        <v>186.94720791605201</v>
      </c>
      <c r="AF13" s="27">
        <v>380.75901886184897</v>
      </c>
      <c r="AG13" s="27">
        <v>180.94169048359001</v>
      </c>
      <c r="AH13" s="27">
        <v>190.96496132786299</v>
      </c>
      <c r="AI13" s="27">
        <v>140.28027439385801</v>
      </c>
      <c r="AJ13" s="27">
        <v>10.5566799936978</v>
      </c>
      <c r="AK13" s="27">
        <v>8.4608850224345904</v>
      </c>
      <c r="AL13" s="27">
        <v>12.4048628317859</v>
      </c>
      <c r="AM13" s="27">
        <v>8.0618273164062693</v>
      </c>
      <c r="AN13" s="27">
        <v>104.11553347806399</v>
      </c>
      <c r="AO13" s="27">
        <v>11.1307835522041</v>
      </c>
      <c r="AP13" s="27">
        <v>7.34286358181265</v>
      </c>
      <c r="AQ13" s="27">
        <v>16.1299422547009</v>
      </c>
      <c r="AR13" s="27">
        <v>9.4046501193034207</v>
      </c>
      <c r="AS13" s="27">
        <v>9.4120331066172191</v>
      </c>
      <c r="AT13" s="27">
        <v>5.7443048903329696</v>
      </c>
      <c r="AU13" s="27">
        <v>34.901644275383298</v>
      </c>
      <c r="AV13" s="27">
        <v>1.29307425853289</v>
      </c>
      <c r="AW13" s="27">
        <v>15.273635992866801</v>
      </c>
      <c r="AX13" s="27">
        <v>0.77629189152860101</v>
      </c>
      <c r="AY13" s="27">
        <v>3.5362832834155702</v>
      </c>
      <c r="AZ13" s="27">
        <v>16450.863151272399</v>
      </c>
      <c r="BA13" s="27">
        <v>5.20281055077528</v>
      </c>
      <c r="BB13" s="27">
        <v>0.90025725582278704</v>
      </c>
      <c r="BC13" s="27">
        <v>0.51642416121891899</v>
      </c>
      <c r="BD13" s="27">
        <v>1.56383877874091</v>
      </c>
      <c r="BE13" s="27">
        <v>0.23850407925991399</v>
      </c>
      <c r="BF13" s="27">
        <v>0.859068418923153</v>
      </c>
      <c r="BG13" s="27">
        <v>0.292514943312772</v>
      </c>
      <c r="BH13" s="27">
        <v>8.9067973673422299E-2</v>
      </c>
      <c r="BI13" s="27">
        <v>5.9085329693870596</v>
      </c>
      <c r="BJ13" s="27">
        <v>18.7927048632767</v>
      </c>
      <c r="BK13" s="27">
        <v>9.8257439370328399</v>
      </c>
      <c r="BL13" s="27">
        <v>211.20095305512899</v>
      </c>
      <c r="BM13" s="27">
        <v>0.45268287228506698</v>
      </c>
      <c r="BN13" s="27">
        <v>29.625399874390801</v>
      </c>
      <c r="BO13" s="27">
        <v>0.132348337255424</v>
      </c>
      <c r="BP13" s="27">
        <v>4.8087928945788301</v>
      </c>
      <c r="BQ13" s="27">
        <v>1.980175860925</v>
      </c>
      <c r="BR13" s="27">
        <v>0.34038500661019999</v>
      </c>
      <c r="BS13" s="27">
        <v>51.195608409433298</v>
      </c>
      <c r="BT13" s="27">
        <v>67.747666443839194</v>
      </c>
      <c r="BU13" s="27">
        <v>4.8327520503919397</v>
      </c>
      <c r="BV13" s="27">
        <v>9.2781225872944599</v>
      </c>
      <c r="BW13" s="27">
        <v>0.57123781325228595</v>
      </c>
      <c r="BX13" s="27">
        <v>0.33723782260753299</v>
      </c>
      <c r="BY13" s="27">
        <v>1.5283913695997799</v>
      </c>
      <c r="BZ13" s="30">
        <v>0</v>
      </c>
      <c r="CA13" s="31">
        <v>495404</v>
      </c>
      <c r="CB13" s="31">
        <v>10624.164414401501</v>
      </c>
    </row>
    <row r="14" spans="1:80" ht="15" customHeight="1" x14ac:dyDescent="0.3">
      <c r="A14" s="19" t="s">
        <v>32</v>
      </c>
      <c r="B14" s="11" t="s">
        <v>100</v>
      </c>
      <c r="C14" s="26">
        <v>118140.266645196</v>
      </c>
      <c r="D14" s="27">
        <v>12665.0145387381</v>
      </c>
      <c r="E14" s="27">
        <v>2382.5848346356502</v>
      </c>
      <c r="F14" s="27">
        <v>40.420133381804597</v>
      </c>
      <c r="G14" s="27">
        <v>97.313982932695794</v>
      </c>
      <c r="H14" s="27">
        <v>5475.5958739033204</v>
      </c>
      <c r="I14" s="27">
        <v>1969.6406119804601</v>
      </c>
      <c r="J14" s="27">
        <v>7582.9706021982802</v>
      </c>
      <c r="K14" s="28">
        <v>95509.696669623605</v>
      </c>
      <c r="L14" s="29">
        <v>171.41342903240201</v>
      </c>
      <c r="M14" s="27">
        <v>66.624610223194097</v>
      </c>
      <c r="N14" s="27">
        <v>4.4642044349087397</v>
      </c>
      <c r="O14" s="27">
        <v>0.186584253481724</v>
      </c>
      <c r="P14" s="27">
        <v>2.2256717962561798</v>
      </c>
      <c r="Q14" s="27">
        <v>1.21067506496553</v>
      </c>
      <c r="R14" s="27">
        <v>3.5156296927643702E-2</v>
      </c>
      <c r="S14" s="27">
        <v>4.3279008660002001</v>
      </c>
      <c r="T14" s="27">
        <v>57815.616421849001</v>
      </c>
      <c r="U14" s="27">
        <v>3719.7620837115301</v>
      </c>
      <c r="V14" s="27">
        <v>27.511335268050299</v>
      </c>
      <c r="W14" s="27">
        <v>0.32702646591467699</v>
      </c>
      <c r="X14" s="27">
        <v>0.78820896330497403</v>
      </c>
      <c r="Y14" s="27">
        <v>0.54442848470709704</v>
      </c>
      <c r="Z14" s="27">
        <v>1.06933482890307</v>
      </c>
      <c r="AA14" s="27">
        <v>1.08995941172197</v>
      </c>
      <c r="AB14" s="27">
        <v>9.8749337259751098</v>
      </c>
      <c r="AC14" s="27">
        <v>1.5200073738492501</v>
      </c>
      <c r="AD14" s="27">
        <v>0.28480346486175201</v>
      </c>
      <c r="AE14" s="27">
        <v>30376.765072205799</v>
      </c>
      <c r="AF14" s="27">
        <v>228.96101106090299</v>
      </c>
      <c r="AG14" s="27">
        <v>25.949758417991401</v>
      </c>
      <c r="AH14" s="27">
        <v>273.94282223650703</v>
      </c>
      <c r="AI14" s="27">
        <v>7.2682037087729601</v>
      </c>
      <c r="AJ14" s="27">
        <v>8.1107015933300897</v>
      </c>
      <c r="AK14" s="27">
        <v>4.4184180414026502</v>
      </c>
      <c r="AL14" s="27">
        <v>4.5307005374560996</v>
      </c>
      <c r="AM14" s="27">
        <v>4.8965820185103102</v>
      </c>
      <c r="AN14" s="27">
        <v>10.159067354381101</v>
      </c>
      <c r="AO14" s="27">
        <v>28.649733962297098</v>
      </c>
      <c r="AP14" s="27">
        <v>13.066153021203901</v>
      </c>
      <c r="AQ14" s="27">
        <v>475.61472951014298</v>
      </c>
      <c r="AR14" s="27">
        <v>8.4071718423779096</v>
      </c>
      <c r="AS14" s="27">
        <v>14.9084607832093</v>
      </c>
      <c r="AT14" s="27">
        <v>5.2670455809158501</v>
      </c>
      <c r="AU14" s="27">
        <v>4.2846892377322501</v>
      </c>
      <c r="AV14" s="27">
        <v>3.6059452270960399</v>
      </c>
      <c r="AW14" s="27">
        <v>10.944493643762501</v>
      </c>
      <c r="AX14" s="27">
        <v>0.55540866830722002</v>
      </c>
      <c r="AY14" s="27">
        <v>2.66933984082663</v>
      </c>
      <c r="AZ14" s="27">
        <v>986.11947170438395</v>
      </c>
      <c r="BA14" s="27">
        <v>48.248311088948398</v>
      </c>
      <c r="BB14" s="27">
        <v>0.68916245100916795</v>
      </c>
      <c r="BC14" s="27">
        <v>0.327109780019818</v>
      </c>
      <c r="BD14" s="27">
        <v>1.33842401534699</v>
      </c>
      <c r="BE14" s="27">
        <v>0.117458157339109</v>
      </c>
      <c r="BF14" s="27">
        <v>0.96152888108718704</v>
      </c>
      <c r="BG14" s="27">
        <v>0.17358325084790499</v>
      </c>
      <c r="BH14" s="27">
        <v>4.1307807369739297E-2</v>
      </c>
      <c r="BI14" s="27">
        <v>2.37944494479015</v>
      </c>
      <c r="BJ14" s="27">
        <v>9.0742406031902103</v>
      </c>
      <c r="BK14" s="27">
        <v>7.3841145727165998</v>
      </c>
      <c r="BL14" s="27">
        <v>161.677970959443</v>
      </c>
      <c r="BM14" s="27">
        <v>0.26074243757460902</v>
      </c>
      <c r="BN14" s="27">
        <v>16.927350073527101</v>
      </c>
      <c r="BO14" s="27">
        <v>6.9271352264160604E-2</v>
      </c>
      <c r="BP14" s="27">
        <v>2.4518060738384699</v>
      </c>
      <c r="BQ14" s="27">
        <v>1.31690021404512</v>
      </c>
      <c r="BR14" s="27">
        <v>0.10758832990044</v>
      </c>
      <c r="BS14" s="27">
        <v>28.444448749676301</v>
      </c>
      <c r="BT14" s="27">
        <v>36.443721325054803</v>
      </c>
      <c r="BU14" s="27">
        <v>2.5643700645818099</v>
      </c>
      <c r="BV14" s="27">
        <v>4.9876775825853201</v>
      </c>
      <c r="BW14" s="27">
        <v>0.40842781971464198</v>
      </c>
      <c r="BX14" s="27">
        <v>0.18373756482425099</v>
      </c>
      <c r="BY14" s="27">
        <v>0.449546187081167</v>
      </c>
      <c r="BZ14" s="30">
        <v>0</v>
      </c>
      <c r="CA14" s="31">
        <v>94655</v>
      </c>
      <c r="CB14" s="31">
        <v>854.69666962363101</v>
      </c>
    </row>
    <row r="15" spans="1:80" ht="15" customHeight="1" x14ac:dyDescent="0.3">
      <c r="A15" s="19" t="s">
        <v>33</v>
      </c>
      <c r="B15" s="11" t="s">
        <v>101</v>
      </c>
      <c r="C15" s="26">
        <v>725169.66751858604</v>
      </c>
      <c r="D15" s="27">
        <v>122243.985626696</v>
      </c>
      <c r="E15" s="27">
        <v>8325.4945011563905</v>
      </c>
      <c r="F15" s="27">
        <v>1604.3252931356201</v>
      </c>
      <c r="G15" s="27">
        <v>983.33624275576005</v>
      </c>
      <c r="H15" s="27">
        <v>43704.451743982798</v>
      </c>
      <c r="I15" s="27">
        <v>9572.4776180769604</v>
      </c>
      <c r="J15" s="27">
        <v>55864.5908979511</v>
      </c>
      <c r="K15" s="28">
        <v>538735.596492782</v>
      </c>
      <c r="L15" s="29">
        <v>2528.5603867126802</v>
      </c>
      <c r="M15" s="27">
        <v>787.12555061263095</v>
      </c>
      <c r="N15" s="27">
        <v>320.11333448077801</v>
      </c>
      <c r="O15" s="27">
        <v>284.598707634199</v>
      </c>
      <c r="P15" s="27">
        <v>2.7632161263340902</v>
      </c>
      <c r="Q15" s="27">
        <v>1.30469201317999</v>
      </c>
      <c r="R15" s="27">
        <v>0.13907912985576901</v>
      </c>
      <c r="S15" s="27">
        <v>16429.664916868998</v>
      </c>
      <c r="T15" s="27">
        <v>3719.7620837115301</v>
      </c>
      <c r="U15" s="27">
        <v>408482.569270504</v>
      </c>
      <c r="V15" s="27">
        <v>4011.35762315697</v>
      </c>
      <c r="W15" s="27">
        <v>1.6191540482436999</v>
      </c>
      <c r="X15" s="27">
        <v>6.2740592301850704</v>
      </c>
      <c r="Y15" s="27">
        <v>4.7001180797106397</v>
      </c>
      <c r="Z15" s="27">
        <v>56.007045383990203</v>
      </c>
      <c r="AA15" s="27">
        <v>20.894830936749798</v>
      </c>
      <c r="AB15" s="27">
        <v>89.463413355611195</v>
      </c>
      <c r="AC15" s="27">
        <v>9.7130277630971609</v>
      </c>
      <c r="AD15" s="27">
        <v>28.646818667109301</v>
      </c>
      <c r="AE15" s="27">
        <v>13453.735761661201</v>
      </c>
      <c r="AF15" s="27">
        <v>3722.2274703578</v>
      </c>
      <c r="AG15" s="27">
        <v>2870.1749081282601</v>
      </c>
      <c r="AH15" s="27">
        <v>529.15378882807204</v>
      </c>
      <c r="AI15" s="27">
        <v>1362.0272222588201</v>
      </c>
      <c r="AJ15" s="27">
        <v>112.704912007632</v>
      </c>
      <c r="AK15" s="27">
        <v>46.594828819882103</v>
      </c>
      <c r="AL15" s="27">
        <v>464.161505874836</v>
      </c>
      <c r="AM15" s="27">
        <v>38.619320080741502</v>
      </c>
      <c r="AN15" s="27">
        <v>482.446360943917</v>
      </c>
      <c r="AO15" s="27">
        <v>37.440562771480401</v>
      </c>
      <c r="AP15" s="27">
        <v>20.177169547070001</v>
      </c>
      <c r="AQ15" s="27">
        <v>66.574505284045699</v>
      </c>
      <c r="AR15" s="27">
        <v>16.3818765330495</v>
      </c>
      <c r="AS15" s="27">
        <v>29.0513770915001</v>
      </c>
      <c r="AT15" s="27">
        <v>10.113854048385001</v>
      </c>
      <c r="AU15" s="27">
        <v>335.10110225051301</v>
      </c>
      <c r="AV15" s="27">
        <v>4.7859019998177397</v>
      </c>
      <c r="AW15" s="27">
        <v>50.275357464312201</v>
      </c>
      <c r="AX15" s="27">
        <v>2.3795149768646899</v>
      </c>
      <c r="AY15" s="27">
        <v>12.288970236823801</v>
      </c>
      <c r="AZ15" s="27">
        <v>52202.798079024498</v>
      </c>
      <c r="BA15" s="27">
        <v>69.142129433150501</v>
      </c>
      <c r="BB15" s="27">
        <v>3.2285087795024099</v>
      </c>
      <c r="BC15" s="27">
        <v>1.87162873821508</v>
      </c>
      <c r="BD15" s="27">
        <v>5.6400949786761201</v>
      </c>
      <c r="BE15" s="27">
        <v>0.87405778498048903</v>
      </c>
      <c r="BF15" s="27">
        <v>2.99337730349863</v>
      </c>
      <c r="BG15" s="27">
        <v>0.79038820917195596</v>
      </c>
      <c r="BH15" s="27">
        <v>0.32714718284879202</v>
      </c>
      <c r="BI15" s="27">
        <v>16.058631249920602</v>
      </c>
      <c r="BJ15" s="27">
        <v>35.101381863516202</v>
      </c>
      <c r="BK15" s="27">
        <v>33.804318772859297</v>
      </c>
      <c r="BL15" s="27">
        <v>757.41031440459903</v>
      </c>
      <c r="BM15" s="27">
        <v>1.64809417377571</v>
      </c>
      <c r="BN15" s="27">
        <v>40.097251487341403</v>
      </c>
      <c r="BO15" s="27">
        <v>0.48384625225015498</v>
      </c>
      <c r="BP15" s="27">
        <v>16.652538827898599</v>
      </c>
      <c r="BQ15" s="27">
        <v>6.60045398064283</v>
      </c>
      <c r="BR15" s="27">
        <v>1.2646982969226499</v>
      </c>
      <c r="BS15" s="27">
        <v>79.207314105461606</v>
      </c>
      <c r="BT15" s="27">
        <v>82.546373060899995</v>
      </c>
      <c r="BU15" s="27">
        <v>7.8376270848713503</v>
      </c>
      <c r="BV15" s="27">
        <v>11.260809423640801</v>
      </c>
      <c r="BW15" s="27">
        <v>1.74814449073987</v>
      </c>
      <c r="BX15" s="27">
        <v>1.2308135321650699</v>
      </c>
      <c r="BY15" s="27">
        <v>5.6883779770310303</v>
      </c>
      <c r="BZ15" s="30">
        <v>0</v>
      </c>
      <c r="CA15" s="31">
        <v>513838</v>
      </c>
      <c r="CB15" s="31">
        <v>24897.596492782301</v>
      </c>
    </row>
    <row r="16" spans="1:80" ht="15" customHeight="1" x14ac:dyDescent="0.3">
      <c r="A16" s="19" t="s">
        <v>34</v>
      </c>
      <c r="B16" s="11" t="s">
        <v>102</v>
      </c>
      <c r="C16" s="26">
        <v>182780.12108615399</v>
      </c>
      <c r="D16" s="27">
        <v>24932.467048771701</v>
      </c>
      <c r="E16" s="27">
        <v>2719.13916097625</v>
      </c>
      <c r="F16" s="27">
        <v>739.34075517742201</v>
      </c>
      <c r="G16" s="27">
        <v>6351.4380216743803</v>
      </c>
      <c r="H16" s="27">
        <v>18688.4679399206</v>
      </c>
      <c r="I16" s="27">
        <v>7196.2156972030798</v>
      </c>
      <c r="J16" s="27">
        <v>32975.462413975503</v>
      </c>
      <c r="K16" s="28">
        <v>122153.05246243</v>
      </c>
      <c r="L16" s="29">
        <v>225.27517221391801</v>
      </c>
      <c r="M16" s="27">
        <v>279.75752062562202</v>
      </c>
      <c r="N16" s="27">
        <v>7.6584261689928299</v>
      </c>
      <c r="O16" s="27">
        <v>0.461350404252374</v>
      </c>
      <c r="P16" s="27">
        <v>3.0186012974887699</v>
      </c>
      <c r="Q16" s="27">
        <v>0.22171540535450701</v>
      </c>
      <c r="R16" s="27">
        <v>1.96111522156465E-2</v>
      </c>
      <c r="S16" s="27">
        <v>320.63103780360802</v>
      </c>
      <c r="T16" s="27">
        <v>27.511335268050299</v>
      </c>
      <c r="U16" s="27">
        <v>4011.35762315697</v>
      </c>
      <c r="V16" s="27">
        <v>97187.747198851706</v>
      </c>
      <c r="W16" s="27">
        <v>0.366377124957806</v>
      </c>
      <c r="X16" s="27">
        <v>2.98067551202629</v>
      </c>
      <c r="Y16" s="27">
        <v>1.23296406576532</v>
      </c>
      <c r="Z16" s="27">
        <v>0.717365826208056</v>
      </c>
      <c r="AA16" s="27">
        <v>5.6104836744105597</v>
      </c>
      <c r="AB16" s="27">
        <v>12.5705691339687</v>
      </c>
      <c r="AC16" s="27">
        <v>7.2950621049641304</v>
      </c>
      <c r="AD16" s="27">
        <v>3.52110867378968</v>
      </c>
      <c r="AE16" s="27">
        <v>281.57623686113197</v>
      </c>
      <c r="AF16" s="27">
        <v>44.656587907794702</v>
      </c>
      <c r="AG16" s="27">
        <v>234.511642055137</v>
      </c>
      <c r="AH16" s="27">
        <v>7.44532557275698</v>
      </c>
      <c r="AI16" s="27">
        <v>30.831766829405101</v>
      </c>
      <c r="AJ16" s="27">
        <v>27.151138542104</v>
      </c>
      <c r="AK16" s="27">
        <v>24.073850827437699</v>
      </c>
      <c r="AL16" s="27">
        <v>35.798713098326303</v>
      </c>
      <c r="AM16" s="27">
        <v>23.594035929091401</v>
      </c>
      <c r="AN16" s="27">
        <v>344.37990678150902</v>
      </c>
      <c r="AO16" s="27">
        <v>12.701531359918</v>
      </c>
      <c r="AP16" s="27">
        <v>12.2670386576829</v>
      </c>
      <c r="AQ16" s="27">
        <v>114.231921642236</v>
      </c>
      <c r="AR16" s="27">
        <v>3.8198498897867399</v>
      </c>
      <c r="AS16" s="27">
        <v>13.0176649118072</v>
      </c>
      <c r="AT16" s="27">
        <v>1.92234750009238</v>
      </c>
      <c r="AU16" s="27">
        <v>6.6414814559041204</v>
      </c>
      <c r="AV16" s="27">
        <v>2.43883081179822</v>
      </c>
      <c r="AW16" s="27">
        <v>59.684217740143602</v>
      </c>
      <c r="AX16" s="27">
        <v>2.7985490026737998</v>
      </c>
      <c r="AY16" s="27">
        <v>15.5453588777033</v>
      </c>
      <c r="AZ16" s="27">
        <v>5586.6514640318601</v>
      </c>
      <c r="BA16" s="27">
        <v>14.7809539526042</v>
      </c>
      <c r="BB16" s="27">
        <v>4.15049638287954</v>
      </c>
      <c r="BC16" s="27">
        <v>1.9630557793119701</v>
      </c>
      <c r="BD16" s="27">
        <v>6.7493329726941296</v>
      </c>
      <c r="BE16" s="27">
        <v>0.70074098884285496</v>
      </c>
      <c r="BF16" s="27">
        <v>5.8218785852710901</v>
      </c>
      <c r="BG16" s="27">
        <v>0.68380352390919996</v>
      </c>
      <c r="BH16" s="27">
        <v>0.24603134883021399</v>
      </c>
      <c r="BI16" s="27">
        <v>6.6100430495788798</v>
      </c>
      <c r="BJ16" s="27">
        <v>8.1564419471712597</v>
      </c>
      <c r="BK16" s="27">
        <v>42.5351359169318</v>
      </c>
      <c r="BL16" s="27">
        <v>973.70922149899002</v>
      </c>
      <c r="BM16" s="27">
        <v>1.5615616002922299</v>
      </c>
      <c r="BN16" s="27">
        <v>7.2780063506687398</v>
      </c>
      <c r="BO16" s="27">
        <v>0.41391437941834702</v>
      </c>
      <c r="BP16" s="27">
        <v>13.4164607662309</v>
      </c>
      <c r="BQ16" s="27">
        <v>7.1823110848785703</v>
      </c>
      <c r="BR16" s="27">
        <v>0.63232290888255305</v>
      </c>
      <c r="BS16" s="27">
        <v>16.374896053574499</v>
      </c>
      <c r="BT16" s="27">
        <v>2.7442978359188102</v>
      </c>
      <c r="BU16" s="27">
        <v>2.5108584726460399</v>
      </c>
      <c r="BV16" s="27">
        <v>0.29796449799137198</v>
      </c>
      <c r="BW16" s="27">
        <v>2.05385952886542</v>
      </c>
      <c r="BX16" s="27">
        <v>1.0989597261750099</v>
      </c>
      <c r="BY16" s="27">
        <v>2.63379209688686</v>
      </c>
      <c r="BZ16" s="30">
        <v>0</v>
      </c>
      <c r="CA16" s="31">
        <v>110108</v>
      </c>
      <c r="CB16" s="31">
        <v>12045.0524624301</v>
      </c>
    </row>
    <row r="17" spans="1:80" ht="15" customHeight="1" x14ac:dyDescent="0.3">
      <c r="A17" s="19" t="s">
        <v>35</v>
      </c>
      <c r="B17" s="11" t="s">
        <v>103</v>
      </c>
      <c r="C17" s="26">
        <v>50280.0537012926</v>
      </c>
      <c r="D17" s="27">
        <v>5127.9994282326797</v>
      </c>
      <c r="E17" s="27">
        <v>41.063639357531102</v>
      </c>
      <c r="F17" s="27">
        <v>28.187698847034799</v>
      </c>
      <c r="G17" s="27">
        <v>7023.6991752697904</v>
      </c>
      <c r="H17" s="27">
        <v>7214.5668351734703</v>
      </c>
      <c r="I17" s="27">
        <v>968.00170360836796</v>
      </c>
      <c r="J17" s="27">
        <v>15234.4554128987</v>
      </c>
      <c r="K17" s="28">
        <v>29876.5352208037</v>
      </c>
      <c r="L17" s="29">
        <v>219.68727954635401</v>
      </c>
      <c r="M17" s="27">
        <v>120.631963058444</v>
      </c>
      <c r="N17" s="27">
        <v>0.98101925472621798</v>
      </c>
      <c r="O17" s="27">
        <v>2.6445887073324001E-2</v>
      </c>
      <c r="P17" s="27">
        <v>0.15200345171670801</v>
      </c>
      <c r="Q17" s="27">
        <v>0.34215122115904401</v>
      </c>
      <c r="R17" s="27">
        <v>1.7999922178308401E-2</v>
      </c>
      <c r="S17" s="27">
        <v>0.66902053768582803</v>
      </c>
      <c r="T17" s="27">
        <v>0.32702646591467699</v>
      </c>
      <c r="U17" s="27">
        <v>1.6191540482436999</v>
      </c>
      <c r="V17" s="27">
        <v>0.366377124957806</v>
      </c>
      <c r="W17" s="27">
        <v>18018.108052487602</v>
      </c>
      <c r="X17" s="27">
        <v>0.12512737913470201</v>
      </c>
      <c r="Y17" s="27">
        <v>0.168621888391603</v>
      </c>
      <c r="Z17" s="27">
        <v>13.342624189637901</v>
      </c>
      <c r="AA17" s="27">
        <v>0.12981353634236201</v>
      </c>
      <c r="AB17" s="27">
        <v>26.688810120844298</v>
      </c>
      <c r="AC17" s="27">
        <v>0.2139638129293</v>
      </c>
      <c r="AD17" s="27">
        <v>1.05367081245736E-2</v>
      </c>
      <c r="AE17" s="27">
        <v>4.0445022493451999E-2</v>
      </c>
      <c r="AF17" s="27">
        <v>11.0210971706389</v>
      </c>
      <c r="AG17" s="27">
        <v>2.19894014705199</v>
      </c>
      <c r="AH17" s="27">
        <v>0.93479955783027802</v>
      </c>
      <c r="AI17" s="27">
        <v>2.0985110178765898</v>
      </c>
      <c r="AJ17" s="27">
        <v>1.5503061898810999</v>
      </c>
      <c r="AK17" s="27">
        <v>1.4101590311455201</v>
      </c>
      <c r="AL17" s="27">
        <v>0.70255560941457496</v>
      </c>
      <c r="AM17" s="27">
        <v>0.39707130245329503</v>
      </c>
      <c r="AN17" s="27">
        <v>0.64533828905178603</v>
      </c>
      <c r="AO17" s="27">
        <v>2.57144153542162</v>
      </c>
      <c r="AP17" s="27">
        <v>1.6474582508834199</v>
      </c>
      <c r="AQ17" s="27">
        <v>13.080163405293501</v>
      </c>
      <c r="AR17" s="27">
        <v>2.6201829397946601</v>
      </c>
      <c r="AS17" s="27">
        <v>2.0520461847628502</v>
      </c>
      <c r="AT17" s="27">
        <v>1.70935310229458</v>
      </c>
      <c r="AU17" s="27">
        <v>0.50885125493951699</v>
      </c>
      <c r="AV17" s="27">
        <v>0.206645489614844</v>
      </c>
      <c r="AW17" s="27">
        <v>0.96231442377777798</v>
      </c>
      <c r="AX17" s="27">
        <v>6.9867172777581005E-2</v>
      </c>
      <c r="AY17" s="27">
        <v>0.13502682343250799</v>
      </c>
      <c r="AZ17" s="27">
        <v>140.17949962839501</v>
      </c>
      <c r="BA17" s="27">
        <v>0.14984449763837401</v>
      </c>
      <c r="BB17" s="27">
        <v>2.17303475543431E-2</v>
      </c>
      <c r="BC17" s="27">
        <v>1.5507734767619699E-2</v>
      </c>
      <c r="BD17" s="27">
        <v>4.6496886242027198E-2</v>
      </c>
      <c r="BE17" s="27">
        <v>8.6610315425783308E-3</v>
      </c>
      <c r="BF17" s="27">
        <v>7.1839637953905501E-3</v>
      </c>
      <c r="BG17" s="27">
        <v>4.1766123175931098E-2</v>
      </c>
      <c r="BH17" s="27">
        <v>3.3484078705919799E-3</v>
      </c>
      <c r="BI17" s="27">
        <v>0.92129497191576104</v>
      </c>
      <c r="BJ17" s="27">
        <v>4.7403921961006601</v>
      </c>
      <c r="BK17" s="27">
        <v>0.41831620057222002</v>
      </c>
      <c r="BL17" s="27">
        <v>5.0979540392617304</v>
      </c>
      <c r="BM17" s="27">
        <v>1.4752780835115701E-2</v>
      </c>
      <c r="BN17" s="27">
        <v>9.1363666406378208</v>
      </c>
      <c r="BO17" s="27">
        <v>4.6235853912435501E-3</v>
      </c>
      <c r="BP17" s="27">
        <v>0.28353384895247302</v>
      </c>
      <c r="BQ17" s="27">
        <v>0.12300202176074899</v>
      </c>
      <c r="BR17" s="27">
        <v>1.5038370859840699E-2</v>
      </c>
      <c r="BS17" s="27">
        <v>15.210371981889599</v>
      </c>
      <c r="BT17" s="27">
        <v>21.916221626474599</v>
      </c>
      <c r="BU17" s="27">
        <v>1.33444017490928</v>
      </c>
      <c r="BV17" s="27">
        <v>3.0068381538254001</v>
      </c>
      <c r="BW17" s="27">
        <v>5.1770110613947297E-2</v>
      </c>
      <c r="BX17" s="27">
        <v>1.14591221911309E-2</v>
      </c>
      <c r="BY17" s="27">
        <v>6.9020990530144405E-2</v>
      </c>
      <c r="BZ17" s="30">
        <v>0</v>
      </c>
      <c r="CA17" s="31">
        <v>18653</v>
      </c>
      <c r="CB17" s="31">
        <v>11223.5352208037</v>
      </c>
    </row>
    <row r="18" spans="1:80" ht="15" customHeight="1" x14ac:dyDescent="0.3">
      <c r="A18" s="19" t="s">
        <v>36</v>
      </c>
      <c r="B18" s="11" t="s">
        <v>104</v>
      </c>
      <c r="C18" s="26">
        <v>149672.615956605</v>
      </c>
      <c r="D18" s="27">
        <v>29999.1059645026</v>
      </c>
      <c r="E18" s="27">
        <v>1293.39668466578</v>
      </c>
      <c r="F18" s="27">
        <v>3585.0981678060298</v>
      </c>
      <c r="G18" s="27">
        <v>494.87625807464002</v>
      </c>
      <c r="H18" s="27">
        <v>9451.8752146575807</v>
      </c>
      <c r="I18" s="27">
        <v>2330.1493976828201</v>
      </c>
      <c r="J18" s="27">
        <v>15861.9990382211</v>
      </c>
      <c r="K18" s="28">
        <v>102518.11426921601</v>
      </c>
      <c r="L18" s="29">
        <v>1795.17262598142</v>
      </c>
      <c r="M18" s="27">
        <v>836.813925353895</v>
      </c>
      <c r="N18" s="27">
        <v>4.8539117358789596</v>
      </c>
      <c r="O18" s="27">
        <v>0.954017713412465</v>
      </c>
      <c r="P18" s="27">
        <v>1.1058342746521901</v>
      </c>
      <c r="Q18" s="27">
        <v>0.32964650947938401</v>
      </c>
      <c r="R18" s="27">
        <v>0.66114995622797901</v>
      </c>
      <c r="S18" s="27">
        <v>1.47601233050131</v>
      </c>
      <c r="T18" s="27">
        <v>0.78820896330497403</v>
      </c>
      <c r="U18" s="27">
        <v>6.2740592301850704</v>
      </c>
      <c r="V18" s="27">
        <v>2.98067551202629</v>
      </c>
      <c r="W18" s="27">
        <v>0.12512737913470201</v>
      </c>
      <c r="X18" s="27">
        <v>72695.895637618596</v>
      </c>
      <c r="Y18" s="27">
        <v>1431.2685778950899</v>
      </c>
      <c r="Z18" s="27">
        <v>107.143273660831</v>
      </c>
      <c r="AA18" s="27">
        <v>34.654414079249499</v>
      </c>
      <c r="AB18" s="27">
        <v>71.620132371504198</v>
      </c>
      <c r="AC18" s="27">
        <v>38.404550803428101</v>
      </c>
      <c r="AD18" s="27">
        <v>0.55978967924765599</v>
      </c>
      <c r="AE18" s="27">
        <v>0.237688490125469</v>
      </c>
      <c r="AF18" s="27">
        <v>495.477586261022</v>
      </c>
      <c r="AG18" s="27">
        <v>29.9273841616093</v>
      </c>
      <c r="AH18" s="27">
        <v>103.85757014934801</v>
      </c>
      <c r="AI18" s="27">
        <v>12.350986793752501</v>
      </c>
      <c r="AJ18" s="27">
        <v>1914.4939830108799</v>
      </c>
      <c r="AK18" s="27">
        <v>375.91160610212398</v>
      </c>
      <c r="AL18" s="27">
        <v>30.528932066128199</v>
      </c>
      <c r="AM18" s="27">
        <v>48.444300956162301</v>
      </c>
      <c r="AN18" s="27">
        <v>130.97687365394901</v>
      </c>
      <c r="AO18" s="27">
        <v>18.465009007699599</v>
      </c>
      <c r="AP18" s="27">
        <v>183.67512450680599</v>
      </c>
      <c r="AQ18" s="27">
        <v>280.29098511717302</v>
      </c>
      <c r="AR18" s="27">
        <v>73.142418211376807</v>
      </c>
      <c r="AS18" s="27">
        <v>137.21214991298001</v>
      </c>
      <c r="AT18" s="27">
        <v>9.7238517625489997</v>
      </c>
      <c r="AU18" s="27">
        <v>1009.18867762166</v>
      </c>
      <c r="AV18" s="27">
        <v>2.7931398520571999</v>
      </c>
      <c r="AW18" s="27">
        <v>20.8391124071</v>
      </c>
      <c r="AX18" s="27">
        <v>0.99892847173553201</v>
      </c>
      <c r="AY18" s="27">
        <v>5.4122678209476298</v>
      </c>
      <c r="AZ18" s="27">
        <v>363.88794955076702</v>
      </c>
      <c r="BA18" s="27">
        <v>4.6772279136990802</v>
      </c>
      <c r="BB18" s="27">
        <v>1.43730727395155</v>
      </c>
      <c r="BC18" s="27">
        <v>0.64260568116032601</v>
      </c>
      <c r="BD18" s="27">
        <v>2.2948994807466998</v>
      </c>
      <c r="BE18" s="27">
        <v>0.20715972258249599</v>
      </c>
      <c r="BF18" s="27">
        <v>2.1817942551288398</v>
      </c>
      <c r="BG18" s="27">
        <v>0.64589528107471705</v>
      </c>
      <c r="BH18" s="27">
        <v>7.0547122398534501E-2</v>
      </c>
      <c r="BI18" s="27">
        <v>1.82530227985121</v>
      </c>
      <c r="BJ18" s="27">
        <v>3.9366081673314701</v>
      </c>
      <c r="BK18" s="27">
        <v>14.835387021358301</v>
      </c>
      <c r="BL18" s="27">
        <v>337.19324573974001</v>
      </c>
      <c r="BM18" s="27">
        <v>0.49398839421809199</v>
      </c>
      <c r="BN18" s="27">
        <v>7.4066893536788596</v>
      </c>
      <c r="BO18" s="27">
        <v>0.12586674908607301</v>
      </c>
      <c r="BP18" s="27">
        <v>145.53880849213601</v>
      </c>
      <c r="BQ18" s="27">
        <v>2.44720365960639</v>
      </c>
      <c r="BR18" s="27">
        <v>0.13556278181977399</v>
      </c>
      <c r="BS18" s="27">
        <v>13.446032931006799</v>
      </c>
      <c r="BT18" s="27">
        <v>12.7668938686624</v>
      </c>
      <c r="BU18" s="27">
        <v>1.4552245708465701</v>
      </c>
      <c r="BV18" s="27">
        <v>1.7250165547588601</v>
      </c>
      <c r="BW18" s="27">
        <v>0.73338203452393202</v>
      </c>
      <c r="BX18" s="27">
        <v>0.33998976841560702</v>
      </c>
      <c r="BY18" s="27">
        <v>0.51926396625120996</v>
      </c>
      <c r="BZ18" s="30">
        <v>0</v>
      </c>
      <c r="CA18" s="31">
        <v>82836</v>
      </c>
      <c r="CB18" s="31">
        <v>19682.114269215799</v>
      </c>
    </row>
    <row r="19" spans="1:80" ht="15" customHeight="1" x14ac:dyDescent="0.3">
      <c r="A19" s="19" t="s">
        <v>37</v>
      </c>
      <c r="B19" s="11" t="s">
        <v>105</v>
      </c>
      <c r="C19" s="26">
        <v>178853.127733203</v>
      </c>
      <c r="D19" s="27">
        <v>60036.858698479198</v>
      </c>
      <c r="E19" s="27">
        <v>2011.9401576676801</v>
      </c>
      <c r="F19" s="27">
        <v>2191.0468677384501</v>
      </c>
      <c r="G19" s="27">
        <v>15.777968415762</v>
      </c>
      <c r="H19" s="27">
        <v>22101.263046255099</v>
      </c>
      <c r="I19" s="27">
        <v>1847.74011917757</v>
      </c>
      <c r="J19" s="27">
        <v>26155.828001586899</v>
      </c>
      <c r="K19" s="28">
        <v>90648.500875468701</v>
      </c>
      <c r="L19" s="29">
        <v>2.6284723027370398</v>
      </c>
      <c r="M19" s="27">
        <v>1.2322371783955699</v>
      </c>
      <c r="N19" s="27">
        <v>1.15864919582767E-2</v>
      </c>
      <c r="O19" s="27">
        <v>4.4688675155624698E-2</v>
      </c>
      <c r="P19" s="27">
        <v>0.410829934055221</v>
      </c>
      <c r="Q19" s="27">
        <v>0.36683666199221898</v>
      </c>
      <c r="R19" s="27">
        <v>1.8761829244844399E-2</v>
      </c>
      <c r="S19" s="27">
        <v>1.3037725049136899</v>
      </c>
      <c r="T19" s="27">
        <v>0.54442848470709704</v>
      </c>
      <c r="U19" s="27">
        <v>4.7001180797106397</v>
      </c>
      <c r="V19" s="27">
        <v>1.23296406576532</v>
      </c>
      <c r="W19" s="27">
        <v>0.168621888391603</v>
      </c>
      <c r="X19" s="27">
        <v>1431.2685778950899</v>
      </c>
      <c r="Y19" s="27">
        <v>76255.396998701894</v>
      </c>
      <c r="Z19" s="27">
        <v>411.08207228663503</v>
      </c>
      <c r="AA19" s="27">
        <v>0.57367828807909904</v>
      </c>
      <c r="AB19" s="27">
        <v>24.6430364285557</v>
      </c>
      <c r="AC19" s="27">
        <v>1.9573293254614099</v>
      </c>
      <c r="AD19" s="27">
        <v>0.13575690587092101</v>
      </c>
      <c r="AE19" s="27">
        <v>0.119412861290509</v>
      </c>
      <c r="AF19" s="27">
        <v>5.2725945979896203</v>
      </c>
      <c r="AG19" s="27">
        <v>3.5271906749727999</v>
      </c>
      <c r="AH19" s="27">
        <v>3.35405366864661</v>
      </c>
      <c r="AI19" s="27">
        <v>2.8404321713552201</v>
      </c>
      <c r="AJ19" s="27">
        <v>57.876538399174002</v>
      </c>
      <c r="AK19" s="27">
        <v>9.6890781046900898</v>
      </c>
      <c r="AL19" s="27">
        <v>1.9717878941912299</v>
      </c>
      <c r="AM19" s="27">
        <v>1.8770282167560299</v>
      </c>
      <c r="AN19" s="27">
        <v>3.7787981676011899</v>
      </c>
      <c r="AO19" s="27">
        <v>5.2647126384980902</v>
      </c>
      <c r="AP19" s="27">
        <v>2.7529345610399201</v>
      </c>
      <c r="AQ19" s="27">
        <v>30.486576743183701</v>
      </c>
      <c r="AR19" s="27">
        <v>3.31451635464951</v>
      </c>
      <c r="AS19" s="27">
        <v>3.5309514838850098</v>
      </c>
      <c r="AT19" s="27">
        <v>3.0600715085023902</v>
      </c>
      <c r="AU19" s="27">
        <v>534.13061808930604</v>
      </c>
      <c r="AV19" s="27">
        <v>0.49822458787769802</v>
      </c>
      <c r="AW19" s="27">
        <v>5.6692514944451</v>
      </c>
      <c r="AX19" s="27">
        <v>0.29131436627194401</v>
      </c>
      <c r="AY19" s="27">
        <v>1.36707848178296</v>
      </c>
      <c r="AZ19" s="27">
        <v>1674.9752910633899</v>
      </c>
      <c r="BA19" s="27">
        <v>1.2533796226876299</v>
      </c>
      <c r="BB19" s="27">
        <v>0.35078989623439599</v>
      </c>
      <c r="BC19" s="27">
        <v>0.166676275492045</v>
      </c>
      <c r="BD19" s="27">
        <v>0.57952218280012502</v>
      </c>
      <c r="BE19" s="27">
        <v>5.9953781224796998E-2</v>
      </c>
      <c r="BF19" s="27">
        <v>0.48864976509362901</v>
      </c>
      <c r="BG19" s="27">
        <v>9.4074476755729594E-2</v>
      </c>
      <c r="BH19" s="27">
        <v>2.1094769028485699E-2</v>
      </c>
      <c r="BI19" s="27">
        <v>1.33427996184127</v>
      </c>
      <c r="BJ19" s="27">
        <v>5.1975865026129204</v>
      </c>
      <c r="BK19" s="27">
        <v>3.78907191113352</v>
      </c>
      <c r="BL19" s="27">
        <v>82.295543776653602</v>
      </c>
      <c r="BM19" s="27">
        <v>0.13293963451009899</v>
      </c>
      <c r="BN19" s="27">
        <v>9.6109371216421504</v>
      </c>
      <c r="BO19" s="27">
        <v>3.5341681252589401E-2</v>
      </c>
      <c r="BP19" s="27">
        <v>2.1415415177882702</v>
      </c>
      <c r="BQ19" s="27">
        <v>0.68224650500483797</v>
      </c>
      <c r="BR19" s="27">
        <v>5.5154621274411002E-2</v>
      </c>
      <c r="BS19" s="27">
        <v>16.322956918212501</v>
      </c>
      <c r="BT19" s="27">
        <v>21.963966060982901</v>
      </c>
      <c r="BU19" s="27">
        <v>1.5091983008463301</v>
      </c>
      <c r="BV19" s="27">
        <v>3.0072041822443998</v>
      </c>
      <c r="BW19" s="27">
        <v>0.21428672864948001</v>
      </c>
      <c r="BX19" s="27">
        <v>9.3714385454741297E-2</v>
      </c>
      <c r="BY19" s="27">
        <v>0.2306653624827</v>
      </c>
      <c r="BZ19" s="30">
        <v>0</v>
      </c>
      <c r="CA19" s="31">
        <v>80645</v>
      </c>
      <c r="CB19" s="31">
        <v>10003.500875468701</v>
      </c>
    </row>
    <row r="20" spans="1:80" ht="15" customHeight="1" x14ac:dyDescent="0.3">
      <c r="A20" s="19" t="s">
        <v>38</v>
      </c>
      <c r="B20" s="11" t="s">
        <v>106</v>
      </c>
      <c r="C20" s="26">
        <v>97528.428645020394</v>
      </c>
      <c r="D20" s="27">
        <v>27945.096648857601</v>
      </c>
      <c r="E20" s="27">
        <v>1113.4427926614601</v>
      </c>
      <c r="F20" s="27">
        <v>1210.4972143908701</v>
      </c>
      <c r="G20" s="27">
        <v>307.27810222225798</v>
      </c>
      <c r="H20" s="27">
        <v>10728.837818886401</v>
      </c>
      <c r="I20" s="27">
        <v>1171.93552609161</v>
      </c>
      <c r="J20" s="27">
        <v>13418.5486615912</v>
      </c>
      <c r="K20" s="28">
        <v>55051.340541910198</v>
      </c>
      <c r="L20" s="29">
        <v>0.35085064961112999</v>
      </c>
      <c r="M20" s="27">
        <v>0.77647318716842195</v>
      </c>
      <c r="N20" s="27">
        <v>7.5975122725176697E-3</v>
      </c>
      <c r="O20" s="27">
        <v>9.0109130533151602E-2</v>
      </c>
      <c r="P20" s="27">
        <v>0.50743298489050304</v>
      </c>
      <c r="Q20" s="27">
        <v>1.4591713127343999</v>
      </c>
      <c r="R20" s="27">
        <v>7.7861005867690306E-2</v>
      </c>
      <c r="S20" s="27">
        <v>305.33544345690501</v>
      </c>
      <c r="T20" s="27">
        <v>1.06933482890307</v>
      </c>
      <c r="U20" s="27">
        <v>56.007045383990203</v>
      </c>
      <c r="V20" s="27">
        <v>0.717365826208056</v>
      </c>
      <c r="W20" s="27">
        <v>13.342624189637901</v>
      </c>
      <c r="X20" s="27">
        <v>107.143273660831</v>
      </c>
      <c r="Y20" s="27">
        <v>411.08207228663503</v>
      </c>
      <c r="Z20" s="27">
        <v>48445.680314562902</v>
      </c>
      <c r="AA20" s="27">
        <v>0.581976878886314</v>
      </c>
      <c r="AB20" s="27">
        <v>9.9028296528980793</v>
      </c>
      <c r="AC20" s="27">
        <v>8.1996885032143005</v>
      </c>
      <c r="AD20" s="27">
        <v>0.157553970806841</v>
      </c>
      <c r="AE20" s="27">
        <v>0.59252238128694401</v>
      </c>
      <c r="AF20" s="27">
        <v>35.162855825925597</v>
      </c>
      <c r="AG20" s="27">
        <v>87.245236674281401</v>
      </c>
      <c r="AH20" s="27">
        <v>46.252383550719301</v>
      </c>
      <c r="AI20" s="27">
        <v>9.2077640466985091</v>
      </c>
      <c r="AJ20" s="27">
        <v>347.758017180455</v>
      </c>
      <c r="AK20" s="27">
        <v>6.9135029275716002</v>
      </c>
      <c r="AL20" s="27">
        <v>5.3835325448431304</v>
      </c>
      <c r="AM20" s="27">
        <v>1.8527247278010901</v>
      </c>
      <c r="AN20" s="27">
        <v>41.0199695130989</v>
      </c>
      <c r="AO20" s="27">
        <v>9.0808923629462903</v>
      </c>
      <c r="AP20" s="27">
        <v>7.3551656848594904</v>
      </c>
      <c r="AQ20" s="27">
        <v>18.339978540253</v>
      </c>
      <c r="AR20" s="27">
        <v>13.4702537392078</v>
      </c>
      <c r="AS20" s="27">
        <v>152.285870656822</v>
      </c>
      <c r="AT20" s="27">
        <v>7.6603483998439899</v>
      </c>
      <c r="AU20" s="27">
        <v>48.647530941525901</v>
      </c>
      <c r="AV20" s="27">
        <v>0.59208675129963195</v>
      </c>
      <c r="AW20" s="27">
        <v>3.6562551474542402</v>
      </c>
      <c r="AX20" s="27">
        <v>0.28491972766805901</v>
      </c>
      <c r="AY20" s="27">
        <v>0.45905934348285099</v>
      </c>
      <c r="AZ20" s="27">
        <v>266.96712929678199</v>
      </c>
      <c r="BA20" s="27">
        <v>0.33447425035007899</v>
      </c>
      <c r="BB20" s="27">
        <v>5.89823719332171E-2</v>
      </c>
      <c r="BC20" s="27">
        <v>3.3983198800840199E-2</v>
      </c>
      <c r="BD20" s="27">
        <v>0.10528221350731</v>
      </c>
      <c r="BE20" s="27">
        <v>1.5767891144422001E-2</v>
      </c>
      <c r="BF20" s="27">
        <v>5.5622237833797099E-2</v>
      </c>
      <c r="BG20" s="27">
        <v>0.31958924886307499</v>
      </c>
      <c r="BH20" s="27">
        <v>5.89399280578166E-3</v>
      </c>
      <c r="BI20" s="27">
        <v>3.6273122757010601</v>
      </c>
      <c r="BJ20" s="27">
        <v>20.339125528942901</v>
      </c>
      <c r="BK20" s="27">
        <v>1.4729940323772299</v>
      </c>
      <c r="BL20" s="27">
        <v>13.8373038208533</v>
      </c>
      <c r="BM20" s="27">
        <v>2.9845298575729502E-2</v>
      </c>
      <c r="BN20" s="27">
        <v>40.465468213007199</v>
      </c>
      <c r="BO20" s="27">
        <v>8.7408537711552697E-3</v>
      </c>
      <c r="BP20" s="27">
        <v>1.10337540690762</v>
      </c>
      <c r="BQ20" s="27">
        <v>0.44436328785858498</v>
      </c>
      <c r="BR20" s="27">
        <v>2.2634114392562899E-2</v>
      </c>
      <c r="BS20" s="27">
        <v>67.232122487013399</v>
      </c>
      <c r="BT20" s="27">
        <v>97.279868123463302</v>
      </c>
      <c r="BU20" s="27">
        <v>5.8475862249503097</v>
      </c>
      <c r="BV20" s="27">
        <v>13.3473862125017</v>
      </c>
      <c r="BW20" s="27">
        <v>0.211298492415252</v>
      </c>
      <c r="BX20" s="27">
        <v>2.2256905327268001E-2</v>
      </c>
      <c r="BY20" s="27">
        <v>0.101704366983794</v>
      </c>
      <c r="BZ20" s="30">
        <v>0</v>
      </c>
      <c r="CA20" s="31">
        <v>50739</v>
      </c>
      <c r="CB20" s="31">
        <v>4312.3405419102</v>
      </c>
    </row>
    <row r="21" spans="1:80" ht="15" customHeight="1" x14ac:dyDescent="0.3">
      <c r="A21" s="19" t="s">
        <v>39</v>
      </c>
      <c r="B21" s="11" t="s">
        <v>107</v>
      </c>
      <c r="C21" s="26">
        <v>76382.120948495503</v>
      </c>
      <c r="D21" s="27">
        <v>8550.0078013486891</v>
      </c>
      <c r="E21" s="27">
        <v>865.53767997774503</v>
      </c>
      <c r="F21" s="27">
        <v>81.365105558853301</v>
      </c>
      <c r="G21" s="27">
        <v>402.32623746667298</v>
      </c>
      <c r="H21" s="27">
        <v>3333.56670265292</v>
      </c>
      <c r="I21" s="27">
        <v>705.20658281555995</v>
      </c>
      <c r="J21" s="27">
        <v>4522.464628494</v>
      </c>
      <c r="K21" s="28">
        <v>62444.110838674998</v>
      </c>
      <c r="L21" s="29">
        <v>30.030950913378</v>
      </c>
      <c r="M21" s="27">
        <v>21.927140730623101</v>
      </c>
      <c r="N21" s="27">
        <v>5.93738056716328</v>
      </c>
      <c r="O21" s="27">
        <v>0.19662950913528801</v>
      </c>
      <c r="P21" s="27">
        <v>2.1807082200437602</v>
      </c>
      <c r="Q21" s="27">
        <v>0.28865406332536903</v>
      </c>
      <c r="R21" s="27">
        <v>1.27638048448549E-2</v>
      </c>
      <c r="S21" s="27">
        <v>1.81905445400776</v>
      </c>
      <c r="T21" s="27">
        <v>1.08995941172197</v>
      </c>
      <c r="U21" s="27">
        <v>20.894830936749798</v>
      </c>
      <c r="V21" s="27">
        <v>5.6104836744105597</v>
      </c>
      <c r="W21" s="27">
        <v>0.12981353634236201</v>
      </c>
      <c r="X21" s="27">
        <v>34.654414079249499</v>
      </c>
      <c r="Y21" s="27">
        <v>0.57367828807909904</v>
      </c>
      <c r="Z21" s="27">
        <v>0.581976878886314</v>
      </c>
      <c r="AA21" s="27">
        <v>58742.404490101399</v>
      </c>
      <c r="AB21" s="27">
        <v>150.23451751490299</v>
      </c>
      <c r="AC21" s="27">
        <v>5.2929286806679103</v>
      </c>
      <c r="AD21" s="27">
        <v>1.1999212854965999</v>
      </c>
      <c r="AE21" s="27">
        <v>0.36474585183324698</v>
      </c>
      <c r="AF21" s="27">
        <v>27.208326217488299</v>
      </c>
      <c r="AG21" s="27">
        <v>33.6408278337463</v>
      </c>
      <c r="AH21" s="27">
        <v>0.99155998965708503</v>
      </c>
      <c r="AI21" s="27">
        <v>3.2179237203270601</v>
      </c>
      <c r="AJ21" s="27">
        <v>269.85021539073898</v>
      </c>
      <c r="AK21" s="27">
        <v>6.9512347983319502</v>
      </c>
      <c r="AL21" s="27">
        <v>54.335462733217803</v>
      </c>
      <c r="AM21" s="27">
        <v>14.765640380138001</v>
      </c>
      <c r="AN21" s="27">
        <v>263.05276191933899</v>
      </c>
      <c r="AO21" s="27">
        <v>3.1981442910176798</v>
      </c>
      <c r="AP21" s="27">
        <v>8.0259683267333202</v>
      </c>
      <c r="AQ21" s="27">
        <v>24.983664033988202</v>
      </c>
      <c r="AR21" s="27">
        <v>2.52525078929397</v>
      </c>
      <c r="AS21" s="27">
        <v>6.7041230740150404</v>
      </c>
      <c r="AT21" s="27">
        <v>1.89430084552147</v>
      </c>
      <c r="AU21" s="27">
        <v>334.04331808606702</v>
      </c>
      <c r="AV21" s="27">
        <v>13.5554789899957</v>
      </c>
      <c r="AW21" s="27">
        <v>46.248177212543098</v>
      </c>
      <c r="AX21" s="27">
        <v>2.2069120282080199</v>
      </c>
      <c r="AY21" s="27">
        <v>12.102111413674001</v>
      </c>
      <c r="AZ21" s="27">
        <v>466.78133849814299</v>
      </c>
      <c r="BA21" s="27">
        <v>9.9092198361248993</v>
      </c>
      <c r="BB21" s="27">
        <v>3.2223001087726</v>
      </c>
      <c r="BC21" s="27">
        <v>1.41812032158082</v>
      </c>
      <c r="BD21" s="27">
        <v>5.0840091833989103</v>
      </c>
      <c r="BE21" s="27">
        <v>0.44291818905275998</v>
      </c>
      <c r="BF21" s="27">
        <v>4.9917614813535298</v>
      </c>
      <c r="BG21" s="27">
        <v>0.51484719616355801</v>
      </c>
      <c r="BH21" s="27">
        <v>0.14928112341494301</v>
      </c>
      <c r="BI21" s="27">
        <v>3.1108614876323801</v>
      </c>
      <c r="BJ21" s="27">
        <v>5.3221124849850803</v>
      </c>
      <c r="BK21" s="27">
        <v>33.144014958062499</v>
      </c>
      <c r="BL21" s="27">
        <v>755.95375610766803</v>
      </c>
      <c r="BM21" s="27">
        <v>1.0791299461494801</v>
      </c>
      <c r="BN21" s="27">
        <v>10.6662612416772</v>
      </c>
      <c r="BO21" s="27">
        <v>0.27159482340667601</v>
      </c>
      <c r="BP21" s="27">
        <v>8.9735086617509197</v>
      </c>
      <c r="BQ21" s="27">
        <v>5.3941382874536199</v>
      </c>
      <c r="BR21" s="27">
        <v>0.25337904346944401</v>
      </c>
      <c r="BS21" s="27">
        <v>20.898014227283898</v>
      </c>
      <c r="BT21" s="27">
        <v>15.6947878433364</v>
      </c>
      <c r="BU21" s="27">
        <v>2.4207886866778301</v>
      </c>
      <c r="BV21" s="27">
        <v>2.0936867182449901</v>
      </c>
      <c r="BW21" s="27">
        <v>1.6199626482335101</v>
      </c>
      <c r="BX21" s="27">
        <v>0.737636622411038</v>
      </c>
      <c r="BY21" s="27">
        <v>0.92612569728537397</v>
      </c>
      <c r="BZ21" s="30">
        <v>0</v>
      </c>
      <c r="CA21" s="31">
        <v>61516</v>
      </c>
      <c r="CB21" s="31">
        <v>928.11083867504396</v>
      </c>
    </row>
    <row r="22" spans="1:80" ht="15" customHeight="1" x14ac:dyDescent="0.3">
      <c r="A22" s="19" t="s">
        <v>40</v>
      </c>
      <c r="B22" s="11" t="s">
        <v>108</v>
      </c>
      <c r="C22" s="26">
        <v>213263.286861759</v>
      </c>
      <c r="D22" s="27">
        <v>31340.7310959405</v>
      </c>
      <c r="E22" s="27">
        <v>2444.3653666636801</v>
      </c>
      <c r="F22" s="27">
        <v>589.34454865716305</v>
      </c>
      <c r="G22" s="27">
        <v>2186.6223983752802</v>
      </c>
      <c r="H22" s="27">
        <v>8933.7609969253299</v>
      </c>
      <c r="I22" s="27">
        <v>2739.9932777673498</v>
      </c>
      <c r="J22" s="27">
        <v>14449.7212217251</v>
      </c>
      <c r="K22" s="28">
        <v>165028.46917743</v>
      </c>
      <c r="L22" s="29">
        <v>1.39195548044008</v>
      </c>
      <c r="M22" s="27">
        <v>0.81340172863106897</v>
      </c>
      <c r="N22" s="27">
        <v>0.11143830933773199</v>
      </c>
      <c r="O22" s="27">
        <v>0.72468214179261603</v>
      </c>
      <c r="P22" s="27">
        <v>9.12124240116046</v>
      </c>
      <c r="Q22" s="27">
        <v>2.4453104990608701</v>
      </c>
      <c r="R22" s="27">
        <v>0.60696307803295102</v>
      </c>
      <c r="S22" s="27">
        <v>4.1576186635920003</v>
      </c>
      <c r="T22" s="27">
        <v>9.8749337259751009</v>
      </c>
      <c r="U22" s="27">
        <v>89.463413355611195</v>
      </c>
      <c r="V22" s="27">
        <v>12.5705691339687</v>
      </c>
      <c r="W22" s="27">
        <v>26.688810120844298</v>
      </c>
      <c r="X22" s="27">
        <v>71.620132371504198</v>
      </c>
      <c r="Y22" s="27">
        <v>24.6430364285557</v>
      </c>
      <c r="Z22" s="27">
        <v>9.9028296528980793</v>
      </c>
      <c r="AA22" s="27">
        <v>150.23451751490299</v>
      </c>
      <c r="AB22" s="27">
        <v>147791.65475265199</v>
      </c>
      <c r="AC22" s="27">
        <v>840.24810455215697</v>
      </c>
      <c r="AD22" s="27">
        <v>2.8249690011694</v>
      </c>
      <c r="AE22" s="27">
        <v>6.8089340241212497</v>
      </c>
      <c r="AF22" s="27">
        <v>84.390131945357396</v>
      </c>
      <c r="AG22" s="27">
        <v>45.561424668442598</v>
      </c>
      <c r="AH22" s="27">
        <v>1024.55327205044</v>
      </c>
      <c r="AI22" s="27">
        <v>72.150381890266303</v>
      </c>
      <c r="AJ22" s="27">
        <v>1675.65614909531</v>
      </c>
      <c r="AK22" s="27">
        <v>110.94045605824</v>
      </c>
      <c r="AL22" s="27">
        <v>36.218618269324601</v>
      </c>
      <c r="AM22" s="27">
        <v>103.37730686082</v>
      </c>
      <c r="AN22" s="27">
        <v>76.480498429175498</v>
      </c>
      <c r="AO22" s="27">
        <v>148.885696396231</v>
      </c>
      <c r="AP22" s="27">
        <v>59.017354503731703</v>
      </c>
      <c r="AQ22" s="27">
        <v>1303.5510857930899</v>
      </c>
      <c r="AR22" s="27">
        <v>16.190483397705801</v>
      </c>
      <c r="AS22" s="27">
        <v>49.145823933278997</v>
      </c>
      <c r="AT22" s="27">
        <v>11.3297174169897</v>
      </c>
      <c r="AU22" s="27">
        <v>183.98082632105999</v>
      </c>
      <c r="AV22" s="27">
        <v>131.572280501873</v>
      </c>
      <c r="AW22" s="27">
        <v>104.358197960992</v>
      </c>
      <c r="AX22" s="27">
        <v>4.98367883939558</v>
      </c>
      <c r="AY22" s="27">
        <v>27.309718557574001</v>
      </c>
      <c r="AZ22" s="27">
        <v>562.58984189850696</v>
      </c>
      <c r="BA22" s="27">
        <v>22.387859496234601</v>
      </c>
      <c r="BB22" s="27">
        <v>7.2703534246102297</v>
      </c>
      <c r="BC22" s="27">
        <v>3.1910593885341898</v>
      </c>
      <c r="BD22" s="27">
        <v>12.0393050039734</v>
      </c>
      <c r="BE22" s="27">
        <v>0.99113836346272299</v>
      </c>
      <c r="BF22" s="27">
        <v>11.3009939154822</v>
      </c>
      <c r="BG22" s="27">
        <v>7.0603812789272098</v>
      </c>
      <c r="BH22" s="27">
        <v>0.33343273726507899</v>
      </c>
      <c r="BI22" s="27">
        <v>6.8761836924931998</v>
      </c>
      <c r="BJ22" s="27">
        <v>12.9226330738035</v>
      </c>
      <c r="BK22" s="27">
        <v>74.796841965340803</v>
      </c>
      <c r="BL22" s="27">
        <v>1705.6297657072801</v>
      </c>
      <c r="BM22" s="27">
        <v>2.4239952671977298</v>
      </c>
      <c r="BN22" s="27">
        <v>27.052561858476999</v>
      </c>
      <c r="BO22" s="27">
        <v>0.608753612139592</v>
      </c>
      <c r="BP22" s="27">
        <v>24.064564152194698</v>
      </c>
      <c r="BQ22" s="27">
        <v>12.1578880575565</v>
      </c>
      <c r="BR22" s="27">
        <v>0.55242336115895296</v>
      </c>
      <c r="BS22" s="27">
        <v>51.262824591963899</v>
      </c>
      <c r="BT22" s="27">
        <v>37.119749411374897</v>
      </c>
      <c r="BU22" s="27">
        <v>5.5363647513960297</v>
      </c>
      <c r="BV22" s="27">
        <v>4.9583296877684999</v>
      </c>
      <c r="BW22" s="27">
        <v>3.6582597184604002</v>
      </c>
      <c r="BX22" s="27">
        <v>1.65492878721559</v>
      </c>
      <c r="BY22" s="27">
        <v>1.9988490721327601</v>
      </c>
      <c r="BZ22" s="30">
        <v>0</v>
      </c>
      <c r="CA22" s="31">
        <v>156926</v>
      </c>
      <c r="CB22" s="31">
        <v>8102.4691774294697</v>
      </c>
    </row>
    <row r="23" spans="1:80" ht="15" customHeight="1" x14ac:dyDescent="0.3">
      <c r="A23" s="19" t="s">
        <v>41</v>
      </c>
      <c r="B23" s="11" t="s">
        <v>109</v>
      </c>
      <c r="C23" s="26">
        <v>40692.245344648298</v>
      </c>
      <c r="D23" s="27">
        <v>13857.671660071401</v>
      </c>
      <c r="E23" s="27">
        <v>543.15768001186598</v>
      </c>
      <c r="F23" s="27">
        <v>52.139142819510703</v>
      </c>
      <c r="G23" s="27">
        <v>95.103095707145698</v>
      </c>
      <c r="H23" s="27">
        <v>2502.0962881775099</v>
      </c>
      <c r="I23" s="27">
        <v>594.14485172861998</v>
      </c>
      <c r="J23" s="27">
        <v>3243.4833784327898</v>
      </c>
      <c r="K23" s="28">
        <v>23047.932626132198</v>
      </c>
      <c r="L23" s="29">
        <v>0.79925413076883201</v>
      </c>
      <c r="M23" s="27">
        <v>0.46091956007527801</v>
      </c>
      <c r="N23" s="27">
        <v>5.8840794903226898E-2</v>
      </c>
      <c r="O23" s="27">
        <v>0.25718787603854798</v>
      </c>
      <c r="P23" s="27">
        <v>3.0016379719162001</v>
      </c>
      <c r="Q23" s="27">
        <v>0.172498839737422</v>
      </c>
      <c r="R23" s="27">
        <v>3.47309527548608E-3</v>
      </c>
      <c r="S23" s="27">
        <v>2.11770378736189</v>
      </c>
      <c r="T23" s="27">
        <v>1.5200073738492501</v>
      </c>
      <c r="U23" s="27">
        <v>9.7130277630971609</v>
      </c>
      <c r="V23" s="27">
        <v>7.2950621049641304</v>
      </c>
      <c r="W23" s="27">
        <v>0.2139638129293</v>
      </c>
      <c r="X23" s="27">
        <v>38.404550803428101</v>
      </c>
      <c r="Y23" s="27">
        <v>1.9573293254614099</v>
      </c>
      <c r="Z23" s="27">
        <v>8.1996885032143005</v>
      </c>
      <c r="AA23" s="27">
        <v>5.2929286806679103</v>
      </c>
      <c r="AB23" s="27">
        <v>840.24810455215697</v>
      </c>
      <c r="AC23" s="27">
        <v>18017.002801557399</v>
      </c>
      <c r="AD23" s="27">
        <v>1.7552915905744699</v>
      </c>
      <c r="AE23" s="27">
        <v>0.54275102483924997</v>
      </c>
      <c r="AF23" s="27">
        <v>33.049344104171198</v>
      </c>
      <c r="AG23" s="27">
        <v>169.656119132909</v>
      </c>
      <c r="AH23" s="27">
        <v>218.66024096709199</v>
      </c>
      <c r="AI23" s="27">
        <v>3.34683743016399</v>
      </c>
      <c r="AJ23" s="27">
        <v>482.85101031755698</v>
      </c>
      <c r="AK23" s="27">
        <v>12.310153692428001</v>
      </c>
      <c r="AL23" s="27">
        <v>18.171260699637799</v>
      </c>
      <c r="AM23" s="27">
        <v>17.623469924656899</v>
      </c>
      <c r="AN23" s="27">
        <v>17.250371653097901</v>
      </c>
      <c r="AO23" s="27">
        <v>25.816082687667102</v>
      </c>
      <c r="AP23" s="27">
        <v>15.440453141089799</v>
      </c>
      <c r="AQ23" s="27">
        <v>72.279705579647697</v>
      </c>
      <c r="AR23" s="27">
        <v>1.94205961377214</v>
      </c>
      <c r="AS23" s="27">
        <v>8.5382928603159503</v>
      </c>
      <c r="AT23" s="27">
        <v>2.2924569121111098</v>
      </c>
      <c r="AU23" s="27">
        <v>262.07684051399002</v>
      </c>
      <c r="AV23" s="27">
        <v>0.97380718813992095</v>
      </c>
      <c r="AW23" s="27">
        <v>62.755623818361698</v>
      </c>
      <c r="AX23" s="27">
        <v>2.9726200322277099</v>
      </c>
      <c r="AY23" s="27">
        <v>16.5107330227112</v>
      </c>
      <c r="AZ23" s="27">
        <v>420.07524851801202</v>
      </c>
      <c r="BA23" s="27">
        <v>13.689202426698101</v>
      </c>
      <c r="BB23" s="27">
        <v>4.4081562181667504</v>
      </c>
      <c r="BC23" s="27">
        <v>1.9432333483844899</v>
      </c>
      <c r="BD23" s="27">
        <v>6.9766678512560896</v>
      </c>
      <c r="BE23" s="27">
        <v>0.60899530410550395</v>
      </c>
      <c r="BF23" s="27">
        <v>6.8144501444038896</v>
      </c>
      <c r="BG23" s="27">
        <v>352.84061338331998</v>
      </c>
      <c r="BH23" s="27">
        <v>0.20548850090332901</v>
      </c>
      <c r="BI23" s="27">
        <v>3.6889821178409599</v>
      </c>
      <c r="BJ23" s="27">
        <v>3.6260320671829702</v>
      </c>
      <c r="BK23" s="27">
        <v>45.176888056067497</v>
      </c>
      <c r="BL23" s="27">
        <v>1034.1563908216599</v>
      </c>
      <c r="BM23" s="27">
        <v>1.4803194276337199</v>
      </c>
      <c r="BN23" s="27">
        <v>6.9404667457748301</v>
      </c>
      <c r="BO23" s="27">
        <v>0.37305968613887602</v>
      </c>
      <c r="BP23" s="27">
        <v>11.926135818623001</v>
      </c>
      <c r="BQ23" s="27">
        <v>7.3237963304327902</v>
      </c>
      <c r="BR23" s="27">
        <v>0.35385352196459102</v>
      </c>
      <c r="BS23" s="27">
        <v>15.7650153100577</v>
      </c>
      <c r="BT23" s="27">
        <v>3.0384411113166498</v>
      </c>
      <c r="BU23" s="27">
        <v>2.2239196710146398</v>
      </c>
      <c r="BV23" s="27">
        <v>0.33491956834644199</v>
      </c>
      <c r="BW23" s="27">
        <v>2.1816135691034102</v>
      </c>
      <c r="BX23" s="27">
        <v>1.0126141486950799</v>
      </c>
      <c r="BY23" s="27">
        <v>1.3009898925306</v>
      </c>
      <c r="BZ23" s="30">
        <v>0</v>
      </c>
      <c r="CA23" s="31">
        <v>22332</v>
      </c>
      <c r="CB23" s="31">
        <v>715.93262613223101</v>
      </c>
    </row>
    <row r="24" spans="1:80" ht="15" customHeight="1" x14ac:dyDescent="0.3">
      <c r="A24" s="19" t="s">
        <v>42</v>
      </c>
      <c r="B24" s="11" t="s">
        <v>110</v>
      </c>
      <c r="C24" s="26">
        <v>1000915.54629287</v>
      </c>
      <c r="D24" s="27">
        <v>83571.933278166805</v>
      </c>
      <c r="E24" s="27">
        <v>7881.2738608822601</v>
      </c>
      <c r="F24" s="27">
        <v>68.137969846621004</v>
      </c>
      <c r="G24" s="27">
        <v>152.68827944738101</v>
      </c>
      <c r="H24" s="27">
        <v>79524.495050369602</v>
      </c>
      <c r="I24" s="27">
        <v>61730.955292792503</v>
      </c>
      <c r="J24" s="27">
        <v>141476.27659245601</v>
      </c>
      <c r="K24" s="28">
        <v>767986.06256136601</v>
      </c>
      <c r="L24" s="29">
        <v>0.187993577237176</v>
      </c>
      <c r="M24" s="27">
        <v>0.108413473989537</v>
      </c>
      <c r="N24" s="27">
        <v>1.38400179561111E-2</v>
      </c>
      <c r="O24" s="27">
        <v>0.38102284628578298</v>
      </c>
      <c r="P24" s="27">
        <v>3874.9963612604702</v>
      </c>
      <c r="Q24" s="27">
        <v>1.73736695865329E-2</v>
      </c>
      <c r="R24" s="27">
        <v>2.1857425999813499E-2</v>
      </c>
      <c r="S24" s="27">
        <v>1.69657629993037</v>
      </c>
      <c r="T24" s="27">
        <v>0.28480346486175201</v>
      </c>
      <c r="U24" s="27">
        <v>28.646818667109301</v>
      </c>
      <c r="V24" s="27">
        <v>3.52110867378968</v>
      </c>
      <c r="W24" s="27">
        <v>1.05367081245736E-2</v>
      </c>
      <c r="X24" s="27">
        <v>0.55978967924765599</v>
      </c>
      <c r="Y24" s="27">
        <v>0.13575690587092101</v>
      </c>
      <c r="Z24" s="27">
        <v>0.157553970806841</v>
      </c>
      <c r="AA24" s="27">
        <v>1.1999212854965999</v>
      </c>
      <c r="AB24" s="27">
        <v>2.8249690011694</v>
      </c>
      <c r="AC24" s="27">
        <v>1.7552915905744699</v>
      </c>
      <c r="AD24" s="27">
        <v>665390.34648079297</v>
      </c>
      <c r="AE24" s="27">
        <v>0.156192306708024</v>
      </c>
      <c r="AF24" s="27">
        <v>3834.22641061882</v>
      </c>
      <c r="AG24" s="27">
        <v>666.77017341404098</v>
      </c>
      <c r="AH24" s="27">
        <v>107.587540217504</v>
      </c>
      <c r="AI24" s="27">
        <v>1.74742873028946</v>
      </c>
      <c r="AJ24" s="27">
        <v>4.2423350004941804</v>
      </c>
      <c r="AK24" s="27">
        <v>34.471706482625599</v>
      </c>
      <c r="AL24" s="27">
        <v>84.894766997149503</v>
      </c>
      <c r="AM24" s="27">
        <v>9.5467359769094493</v>
      </c>
      <c r="AN24" s="27">
        <v>3.3912072038991199</v>
      </c>
      <c r="AO24" s="27">
        <v>1.4801179624812399</v>
      </c>
      <c r="AP24" s="27">
        <v>1.8549360748985699</v>
      </c>
      <c r="AQ24" s="27">
        <v>4.9292014853069004</v>
      </c>
      <c r="AR24" s="27">
        <v>0.213033245588374</v>
      </c>
      <c r="AS24" s="27">
        <v>14.6083372480115</v>
      </c>
      <c r="AT24" s="27">
        <v>0.12906925857165599</v>
      </c>
      <c r="AU24" s="27">
        <v>15.2469852787804</v>
      </c>
      <c r="AV24" s="27">
        <v>0.12870546164433799</v>
      </c>
      <c r="AW24" s="27">
        <v>14.736871120463601</v>
      </c>
      <c r="AX24" s="27">
        <v>0.69776757195393602</v>
      </c>
      <c r="AY24" s="27">
        <v>3.8821250366891702</v>
      </c>
      <c r="AZ24" s="27">
        <v>3929.5462412145198</v>
      </c>
      <c r="BA24" s="27">
        <v>3.16964295645665</v>
      </c>
      <c r="BB24" s="27">
        <v>1.03684801187866</v>
      </c>
      <c r="BC24" s="27">
        <v>0.45534103537749399</v>
      </c>
      <c r="BD24" s="27">
        <v>1.6339079998414501</v>
      </c>
      <c r="BE24" s="27">
        <v>0.14159182022904299</v>
      </c>
      <c r="BF24" s="27">
        <v>1.61053889683959</v>
      </c>
      <c r="BG24" s="27">
        <v>0.157190668648718</v>
      </c>
      <c r="BH24" s="27">
        <v>4.7651954147237899E-2</v>
      </c>
      <c r="BI24" s="27">
        <v>0.80725030388760299</v>
      </c>
      <c r="BJ24" s="27">
        <v>0.66865905181156304</v>
      </c>
      <c r="BK24" s="27">
        <v>10.6210604464856</v>
      </c>
      <c r="BL24" s="27">
        <v>243.24523558763099</v>
      </c>
      <c r="BM24" s="27">
        <v>0.34601302825900898</v>
      </c>
      <c r="BN24" s="27">
        <v>1.3290679659335001</v>
      </c>
      <c r="BO24" s="27">
        <v>8.6935574150551101E-2</v>
      </c>
      <c r="BP24" s="27">
        <v>2.76038876938168</v>
      </c>
      <c r="BQ24" s="27">
        <v>1.71700358828712</v>
      </c>
      <c r="BR24" s="27">
        <v>7.9352413100505906E-2</v>
      </c>
      <c r="BS24" s="27">
        <v>6.0570652786358101</v>
      </c>
      <c r="BT24" s="27">
        <v>0.15373663934416601</v>
      </c>
      <c r="BU24" s="27">
        <v>0.483890527336793</v>
      </c>
      <c r="BV24" s="27">
        <v>1.15333482967593E-3</v>
      </c>
      <c r="BW24" s="27">
        <v>0.51208066437611099</v>
      </c>
      <c r="BX24" s="27">
        <v>0.23629170069226599</v>
      </c>
      <c r="BY24" s="27">
        <v>0.28774456368174001</v>
      </c>
      <c r="BZ24" s="30">
        <v>0</v>
      </c>
      <c r="CA24" s="31">
        <v>678319</v>
      </c>
      <c r="CB24" s="31">
        <v>89667.062561366198</v>
      </c>
    </row>
    <row r="25" spans="1:80" ht="15" customHeight="1" x14ac:dyDescent="0.3">
      <c r="A25" s="19" t="s">
        <v>43</v>
      </c>
      <c r="B25" s="11" t="s">
        <v>111</v>
      </c>
      <c r="C25" s="26">
        <v>135491.484787897</v>
      </c>
      <c r="D25" s="27">
        <v>11058.465974869699</v>
      </c>
      <c r="E25" s="27">
        <v>1586.2742109400799</v>
      </c>
      <c r="F25" s="27">
        <v>49.204232701934302</v>
      </c>
      <c r="G25" s="27">
        <v>60.599835318368697</v>
      </c>
      <c r="H25" s="27">
        <v>10688.864952706799</v>
      </c>
      <c r="I25" s="27">
        <v>4903.8050758796498</v>
      </c>
      <c r="J25" s="27">
        <v>15702.4740966067</v>
      </c>
      <c r="K25" s="28">
        <v>107144.27050548</v>
      </c>
      <c r="L25" s="29">
        <v>73.608822291605307</v>
      </c>
      <c r="M25" s="27">
        <v>20.188335078650201</v>
      </c>
      <c r="N25" s="27">
        <v>4.5697123474814498</v>
      </c>
      <c r="O25" s="27">
        <v>0.11566898557824799</v>
      </c>
      <c r="P25" s="27">
        <v>0.49229215883655503</v>
      </c>
      <c r="Q25" s="27">
        <v>0.12802160209850599</v>
      </c>
      <c r="R25" s="27">
        <v>1.9667847501874699E-3</v>
      </c>
      <c r="S25" s="27">
        <v>186.94720791605201</v>
      </c>
      <c r="T25" s="27">
        <v>30376.765072205799</v>
      </c>
      <c r="U25" s="27">
        <v>13453.735761661201</v>
      </c>
      <c r="V25" s="27">
        <v>281.57623686113197</v>
      </c>
      <c r="W25" s="27">
        <v>4.0445022493451999E-2</v>
      </c>
      <c r="X25" s="27">
        <v>0.237688490125469</v>
      </c>
      <c r="Y25" s="27">
        <v>0.119412861290509</v>
      </c>
      <c r="Z25" s="27">
        <v>0.59252238128694401</v>
      </c>
      <c r="AA25" s="27">
        <v>0.36474585183324698</v>
      </c>
      <c r="AB25" s="27">
        <v>6.8089340241212497</v>
      </c>
      <c r="AC25" s="27">
        <v>0.54275102483924997</v>
      </c>
      <c r="AD25" s="27">
        <v>0.156192306708024</v>
      </c>
      <c r="AE25" s="27">
        <v>57941.7494829977</v>
      </c>
      <c r="AF25" s="27">
        <v>522.51280138930895</v>
      </c>
      <c r="AG25" s="27">
        <v>33.622851095016898</v>
      </c>
      <c r="AH25" s="27">
        <v>727.06908196968504</v>
      </c>
      <c r="AI25" s="27">
        <v>9.2963087069205095</v>
      </c>
      <c r="AJ25" s="27">
        <v>1.7898220175422399</v>
      </c>
      <c r="AK25" s="27">
        <v>0.858631687491899</v>
      </c>
      <c r="AL25" s="27">
        <v>1.2701819666598699</v>
      </c>
      <c r="AM25" s="27">
        <v>1.5130467135210699</v>
      </c>
      <c r="AN25" s="27">
        <v>3.3564231389928101</v>
      </c>
      <c r="AO25" s="27">
        <v>5.3829713226140097</v>
      </c>
      <c r="AP25" s="27">
        <v>2.4570849406967898</v>
      </c>
      <c r="AQ25" s="27">
        <v>90.2963081864781</v>
      </c>
      <c r="AR25" s="27">
        <v>0.96127586751030902</v>
      </c>
      <c r="AS25" s="27">
        <v>2.5995484718902802</v>
      </c>
      <c r="AT25" s="27">
        <v>0.76613031634376605</v>
      </c>
      <c r="AU25" s="27">
        <v>2.0928073499692901</v>
      </c>
      <c r="AV25" s="27">
        <v>37.925777577166201</v>
      </c>
      <c r="AW25" s="27">
        <v>3.9408358608595999</v>
      </c>
      <c r="AX25" s="27">
        <v>0.18384295308966001</v>
      </c>
      <c r="AY25" s="27">
        <v>1.0228353390079199</v>
      </c>
      <c r="AZ25" s="27">
        <v>1738.56345643537</v>
      </c>
      <c r="BA25" s="27">
        <v>117.01249182356401</v>
      </c>
      <c r="BB25" s="27">
        <v>0.27318151211174202</v>
      </c>
      <c r="BC25" s="27">
        <v>0.13287396469447699</v>
      </c>
      <c r="BD25" s="27">
        <v>0.487846310479153</v>
      </c>
      <c r="BE25" s="27">
        <v>4.9622961207523401E-2</v>
      </c>
      <c r="BF25" s="27">
        <v>0.36685271924296797</v>
      </c>
      <c r="BG25" s="27">
        <v>4.6107822436282801E-2</v>
      </c>
      <c r="BH25" s="27">
        <v>1.7638349217487401E-2</v>
      </c>
      <c r="BI25" s="27">
        <v>0.51651622365264305</v>
      </c>
      <c r="BJ25" s="27">
        <v>0.68818766852180702</v>
      </c>
      <c r="BK25" s="27">
        <v>2.7983632314093798</v>
      </c>
      <c r="BL25" s="27">
        <v>64.088565065004602</v>
      </c>
      <c r="BM25" s="27">
        <v>0.107392705270886</v>
      </c>
      <c r="BN25" s="27">
        <v>0.56043061332086797</v>
      </c>
      <c r="BO25" s="27">
        <v>2.89660905735445E-2</v>
      </c>
      <c r="BP25" s="27">
        <v>2.29068860945653</v>
      </c>
      <c r="BQ25" s="27">
        <v>0.48014705408383801</v>
      </c>
      <c r="BR25" s="27">
        <v>4.9843176978255299E-2</v>
      </c>
      <c r="BS25" s="27">
        <v>1.14859998910613</v>
      </c>
      <c r="BT25" s="27">
        <v>4.0195643080879702E-2</v>
      </c>
      <c r="BU25" s="27">
        <v>0.168549888072339</v>
      </c>
      <c r="BV25" s="27">
        <v>3.0387264973497498E-4</v>
      </c>
      <c r="BW25" s="27">
        <v>0.134919456482329</v>
      </c>
      <c r="BX25" s="27">
        <v>7.6333446762913607E-2</v>
      </c>
      <c r="BY25" s="27">
        <v>0.21208564293660401</v>
      </c>
      <c r="BZ25" s="30">
        <v>0</v>
      </c>
      <c r="CA25" s="31">
        <v>105728</v>
      </c>
      <c r="CB25" s="31">
        <v>1416.2705054804701</v>
      </c>
    </row>
    <row r="26" spans="1:80" ht="15" customHeight="1" x14ac:dyDescent="0.3">
      <c r="A26" s="19" t="s">
        <v>44</v>
      </c>
      <c r="B26" s="32" t="s">
        <v>112</v>
      </c>
      <c r="C26" s="26">
        <v>654650.065576019</v>
      </c>
      <c r="D26" s="27">
        <v>57246.619679199997</v>
      </c>
      <c r="E26" s="27">
        <v>5647.1070066766797</v>
      </c>
      <c r="F26" s="27">
        <v>6330.0963224105299</v>
      </c>
      <c r="G26" s="27">
        <v>367.00708103218898</v>
      </c>
      <c r="H26" s="27">
        <v>11247.745476288201</v>
      </c>
      <c r="I26" s="27">
        <v>17246.041325804501</v>
      </c>
      <c r="J26" s="27">
        <v>35190.890205535397</v>
      </c>
      <c r="K26" s="28">
        <v>556565.44868460705</v>
      </c>
      <c r="L26" s="29">
        <v>11.5457333739958</v>
      </c>
      <c r="M26" s="27">
        <v>7.87077965459296</v>
      </c>
      <c r="N26" s="27">
        <v>0.67014335540356895</v>
      </c>
      <c r="O26" s="27">
        <v>335.79293570747501</v>
      </c>
      <c r="P26" s="27">
        <v>122.333291203242</v>
      </c>
      <c r="Q26" s="27">
        <v>33.162111897106797</v>
      </c>
      <c r="R26" s="27">
        <v>47.5136709625218</v>
      </c>
      <c r="S26" s="27">
        <v>380.75901886184897</v>
      </c>
      <c r="T26" s="27">
        <v>228.96101106090299</v>
      </c>
      <c r="U26" s="27">
        <v>3722.2274703578</v>
      </c>
      <c r="V26" s="27">
        <v>44.656587907794702</v>
      </c>
      <c r="W26" s="27">
        <v>11.0210971706389</v>
      </c>
      <c r="X26" s="27">
        <v>495.477586261022</v>
      </c>
      <c r="Y26" s="27">
        <v>5.2725945979896203</v>
      </c>
      <c r="Z26" s="27">
        <v>35.162855825925597</v>
      </c>
      <c r="AA26" s="27">
        <v>27.208326217488299</v>
      </c>
      <c r="AB26" s="27">
        <v>84.390131945357396</v>
      </c>
      <c r="AC26" s="27">
        <v>33.049344104171198</v>
      </c>
      <c r="AD26" s="27">
        <v>3834.22641061882</v>
      </c>
      <c r="AE26" s="27">
        <v>522.51280138930895</v>
      </c>
      <c r="AF26" s="27">
        <v>302108.72155451</v>
      </c>
      <c r="AG26" s="27">
        <v>14644.897196353901</v>
      </c>
      <c r="AH26" s="27">
        <v>4223.14121193357</v>
      </c>
      <c r="AI26" s="27">
        <v>712.51365070002305</v>
      </c>
      <c r="AJ26" s="27">
        <v>4055.8767282978702</v>
      </c>
      <c r="AK26" s="27">
        <v>446.91902214803702</v>
      </c>
      <c r="AL26" s="27">
        <v>3393.1964071790599</v>
      </c>
      <c r="AM26" s="27">
        <v>3589.8922906964199</v>
      </c>
      <c r="AN26" s="27">
        <v>288.64542574503997</v>
      </c>
      <c r="AO26" s="27">
        <v>114.280040074124</v>
      </c>
      <c r="AP26" s="27">
        <v>136.18637708662601</v>
      </c>
      <c r="AQ26" s="27">
        <v>93.084242116089698</v>
      </c>
      <c r="AR26" s="27">
        <v>25.948953920741999</v>
      </c>
      <c r="AS26" s="27">
        <v>84.930288894143303</v>
      </c>
      <c r="AT26" s="27">
        <v>18.329631319349001</v>
      </c>
      <c r="AU26" s="27">
        <v>656.97133782864398</v>
      </c>
      <c r="AV26" s="27">
        <v>28.8799449923022</v>
      </c>
      <c r="AW26" s="27">
        <v>157.97574343111799</v>
      </c>
      <c r="AX26" s="27">
        <v>7.6998171767504502</v>
      </c>
      <c r="AY26" s="27">
        <v>40.558878125878799</v>
      </c>
      <c r="AZ26" s="27">
        <v>3661.2521666572002</v>
      </c>
      <c r="BA26" s="27">
        <v>34.466760619156901</v>
      </c>
      <c r="BB26" s="27">
        <v>10.7037483381964</v>
      </c>
      <c r="BC26" s="27">
        <v>4.7472921972462903</v>
      </c>
      <c r="BD26" s="27">
        <v>16.926964226643001</v>
      </c>
      <c r="BE26" s="27">
        <v>1.50622793918973</v>
      </c>
      <c r="BF26" s="27">
        <v>16.418376099155601</v>
      </c>
      <c r="BG26" s="27">
        <v>2.1491790317591501</v>
      </c>
      <c r="BH26" s="27">
        <v>0.51030358386607799</v>
      </c>
      <c r="BI26" s="27">
        <v>16.297934294962499</v>
      </c>
      <c r="BJ26" s="27">
        <v>49.0812932049108</v>
      </c>
      <c r="BK26" s="27">
        <v>111.404044649284</v>
      </c>
      <c r="BL26" s="27">
        <v>2511.1065039106302</v>
      </c>
      <c r="BM26" s="27">
        <v>3.63067538733601</v>
      </c>
      <c r="BN26" s="27">
        <v>95.5812124942087</v>
      </c>
      <c r="BO26" s="27">
        <v>0.91937604605112999</v>
      </c>
      <c r="BP26" s="27">
        <v>31.765708344219799</v>
      </c>
      <c r="BQ26" s="27">
        <v>18.492343913545302</v>
      </c>
      <c r="BR26" s="27">
        <v>0.92378271282243596</v>
      </c>
      <c r="BS26" s="27">
        <v>1499.0056601727699</v>
      </c>
      <c r="BT26" s="27">
        <v>201.12694595057701</v>
      </c>
      <c r="BU26" s="27">
        <v>16.875755508120101</v>
      </c>
      <c r="BV26" s="27">
        <v>27.036563658951799</v>
      </c>
      <c r="BW26" s="27">
        <v>5.6552300812047598</v>
      </c>
      <c r="BX26" s="27">
        <v>2.4902090556995602</v>
      </c>
      <c r="BY26" s="27">
        <v>3.4630969191296002</v>
      </c>
      <c r="BZ26" s="30">
        <v>0</v>
      </c>
      <c r="CA26" s="31">
        <v>353156</v>
      </c>
      <c r="CB26" s="31">
        <v>203409.44868460699</v>
      </c>
    </row>
    <row r="27" spans="1:80" ht="15" customHeight="1" x14ac:dyDescent="0.3">
      <c r="A27" s="19" t="s">
        <v>45</v>
      </c>
      <c r="B27" s="11" t="s">
        <v>113</v>
      </c>
      <c r="C27" s="26">
        <v>230056.37011693601</v>
      </c>
      <c r="D27" s="27">
        <v>18453.7554985274</v>
      </c>
      <c r="E27" s="27">
        <v>1263.9556983279899</v>
      </c>
      <c r="F27" s="27">
        <v>2582.12028394462</v>
      </c>
      <c r="G27" s="27">
        <v>982.49903082589003</v>
      </c>
      <c r="H27" s="27">
        <v>8155.1170234975798</v>
      </c>
      <c r="I27" s="27">
        <v>4938.9648473317602</v>
      </c>
      <c r="J27" s="27">
        <v>16658.701185599901</v>
      </c>
      <c r="K27" s="28">
        <v>193679.95773448001</v>
      </c>
      <c r="L27" s="29">
        <v>1.3692319492340199</v>
      </c>
      <c r="M27" s="27">
        <v>1.3074814947561799</v>
      </c>
      <c r="N27" s="27">
        <v>0.18555401838229801</v>
      </c>
      <c r="O27" s="27">
        <v>36.385555419910297</v>
      </c>
      <c r="P27" s="27">
        <v>11.5818798758998</v>
      </c>
      <c r="Q27" s="27">
        <v>5.3191102115296802</v>
      </c>
      <c r="R27" s="27">
        <v>1.4876058414132001</v>
      </c>
      <c r="S27" s="27">
        <v>180.94169048359001</v>
      </c>
      <c r="T27" s="27">
        <v>25.949758417991401</v>
      </c>
      <c r="U27" s="27">
        <v>2870.1749081282601</v>
      </c>
      <c r="V27" s="27">
        <v>234.511642055137</v>
      </c>
      <c r="W27" s="27">
        <v>2.19894014705199</v>
      </c>
      <c r="X27" s="27">
        <v>29.9273841616093</v>
      </c>
      <c r="Y27" s="27">
        <v>3.5271906749727999</v>
      </c>
      <c r="Z27" s="27">
        <v>87.245236674281401</v>
      </c>
      <c r="AA27" s="27">
        <v>33.6408278337463</v>
      </c>
      <c r="AB27" s="27">
        <v>45.561424668442598</v>
      </c>
      <c r="AC27" s="27">
        <v>169.656119132909</v>
      </c>
      <c r="AD27" s="27">
        <v>666.77017341404098</v>
      </c>
      <c r="AE27" s="27">
        <v>33.622851095016898</v>
      </c>
      <c r="AF27" s="27">
        <v>14644.897196353901</v>
      </c>
      <c r="AG27" s="27">
        <v>108314.54961500299</v>
      </c>
      <c r="AH27" s="27">
        <v>3183.99190275918</v>
      </c>
      <c r="AI27" s="27">
        <v>679.28251263229095</v>
      </c>
      <c r="AJ27" s="27">
        <v>357.68988464387002</v>
      </c>
      <c r="AK27" s="27">
        <v>1379.15517316568</v>
      </c>
      <c r="AL27" s="27">
        <v>339.075591026425</v>
      </c>
      <c r="AM27" s="27">
        <v>155.807888208506</v>
      </c>
      <c r="AN27" s="27">
        <v>108.96175968041</v>
      </c>
      <c r="AO27" s="27">
        <v>147.05008361085899</v>
      </c>
      <c r="AP27" s="27">
        <v>69.380706690611703</v>
      </c>
      <c r="AQ27" s="27">
        <v>166.47325556439199</v>
      </c>
      <c r="AR27" s="27">
        <v>43.3307746467516</v>
      </c>
      <c r="AS27" s="27">
        <v>313.31443944735997</v>
      </c>
      <c r="AT27" s="27">
        <v>27.059684285596902</v>
      </c>
      <c r="AU27" s="27">
        <v>134.71929542547201</v>
      </c>
      <c r="AV27" s="27">
        <v>3.8858811054126798</v>
      </c>
      <c r="AW27" s="27">
        <v>78.641462814651206</v>
      </c>
      <c r="AX27" s="27">
        <v>4.11442755878877</v>
      </c>
      <c r="AY27" s="27">
        <v>19.683648406474699</v>
      </c>
      <c r="AZ27" s="27">
        <v>1206.0792580289401</v>
      </c>
      <c r="BA27" s="27">
        <v>15.3955905766701</v>
      </c>
      <c r="BB27" s="27">
        <v>4.83345016315889</v>
      </c>
      <c r="BC27" s="27">
        <v>2.1602615415014701</v>
      </c>
      <c r="BD27" s="27">
        <v>7.6806802714031797</v>
      </c>
      <c r="BE27" s="27">
        <v>0.69595465820345803</v>
      </c>
      <c r="BF27" s="27">
        <v>7.8387916599064802</v>
      </c>
      <c r="BG27" s="27">
        <v>1.75236261245919</v>
      </c>
      <c r="BH27" s="27">
        <v>0.23695361750705399</v>
      </c>
      <c r="BI27" s="27">
        <v>16.564195261936401</v>
      </c>
      <c r="BJ27" s="27">
        <v>74.789485882314295</v>
      </c>
      <c r="BK27" s="27">
        <v>53.069717435160499</v>
      </c>
      <c r="BL27" s="27">
        <v>1133.9306341614999</v>
      </c>
      <c r="BM27" s="27">
        <v>1.6602968572213299</v>
      </c>
      <c r="BN27" s="27">
        <v>147.94207770719899</v>
      </c>
      <c r="BO27" s="27">
        <v>0.422930308337853</v>
      </c>
      <c r="BP27" s="27">
        <v>59.433906138309702</v>
      </c>
      <c r="BQ27" s="27">
        <v>9.2421188961103606</v>
      </c>
      <c r="BR27" s="27">
        <v>0.45425033416288202</v>
      </c>
      <c r="BS27" s="27">
        <v>322.28688779171603</v>
      </c>
      <c r="BT27" s="27">
        <v>342.55255453347002</v>
      </c>
      <c r="BU27" s="27">
        <v>22.735218663324599</v>
      </c>
      <c r="BV27" s="27">
        <v>46.904340902744799</v>
      </c>
      <c r="BW27" s="27">
        <v>3.0272453274472801</v>
      </c>
      <c r="BX27" s="27">
        <v>1.14254336175863</v>
      </c>
      <c r="BY27" s="27">
        <v>1.73854457947012</v>
      </c>
      <c r="BZ27" s="30">
        <v>0</v>
      </c>
      <c r="CA27" s="31">
        <v>138097</v>
      </c>
      <c r="CB27" s="31">
        <v>55582.957734480398</v>
      </c>
    </row>
    <row r="28" spans="1:80" ht="15" customHeight="1" x14ac:dyDescent="0.3">
      <c r="A28" s="33" t="s">
        <v>46</v>
      </c>
      <c r="B28" s="11" t="s">
        <v>114</v>
      </c>
      <c r="C28" s="26">
        <v>151419.398487725</v>
      </c>
      <c r="D28" s="27">
        <v>39389.3456481795</v>
      </c>
      <c r="E28" s="27">
        <v>1374.4978053187699</v>
      </c>
      <c r="F28" s="27">
        <v>724.09969123655299</v>
      </c>
      <c r="G28" s="27">
        <v>4158.5414996202398</v>
      </c>
      <c r="H28" s="27">
        <v>21546.7339186422</v>
      </c>
      <c r="I28" s="27">
        <v>1956.8428918934001</v>
      </c>
      <c r="J28" s="27">
        <v>28386.218001392401</v>
      </c>
      <c r="K28" s="28">
        <v>82269.337032834504</v>
      </c>
      <c r="L28" s="29">
        <v>0.28177697078652097</v>
      </c>
      <c r="M28" s="27">
        <v>0.45142951673132298</v>
      </c>
      <c r="N28" s="27">
        <v>9.1351719396051898E-3</v>
      </c>
      <c r="O28" s="27">
        <v>1.5487598986170601</v>
      </c>
      <c r="P28" s="27">
        <v>2.4940660893033999</v>
      </c>
      <c r="Q28" s="27">
        <v>2.0658010021969</v>
      </c>
      <c r="R28" s="27">
        <v>0.29377770870994102</v>
      </c>
      <c r="S28" s="27">
        <v>190.96496132786299</v>
      </c>
      <c r="T28" s="27">
        <v>273.94282223650703</v>
      </c>
      <c r="U28" s="27">
        <v>529.15378882807204</v>
      </c>
      <c r="V28" s="27">
        <v>7.44532557275698</v>
      </c>
      <c r="W28" s="27">
        <v>0.93479955783027802</v>
      </c>
      <c r="X28" s="27">
        <v>103.85757014934801</v>
      </c>
      <c r="Y28" s="27">
        <v>3.35405366864661</v>
      </c>
      <c r="Z28" s="27">
        <v>46.252383550719301</v>
      </c>
      <c r="AA28" s="27">
        <v>0.99155998965708503</v>
      </c>
      <c r="AB28" s="27">
        <v>1024.55327205044</v>
      </c>
      <c r="AC28" s="27">
        <v>218.66024096709199</v>
      </c>
      <c r="AD28" s="27">
        <v>107.587540217504</v>
      </c>
      <c r="AE28" s="27">
        <v>727.06908196968504</v>
      </c>
      <c r="AF28" s="27">
        <v>4223.14121193357</v>
      </c>
      <c r="AG28" s="27">
        <v>3183.99190275918</v>
      </c>
      <c r="AH28" s="27">
        <v>53681.789571499197</v>
      </c>
      <c r="AI28" s="27">
        <v>1181.98897971837</v>
      </c>
      <c r="AJ28" s="27">
        <v>175.83091562382401</v>
      </c>
      <c r="AK28" s="27">
        <v>82.452615122971693</v>
      </c>
      <c r="AL28" s="27">
        <v>33.258869433485302</v>
      </c>
      <c r="AM28" s="27">
        <v>37.5540061279426</v>
      </c>
      <c r="AN28" s="27">
        <v>391.57639490467199</v>
      </c>
      <c r="AO28" s="27">
        <v>30.2152627451905</v>
      </c>
      <c r="AP28" s="27">
        <v>12.275460455464501</v>
      </c>
      <c r="AQ28" s="27">
        <v>48.586201496343897</v>
      </c>
      <c r="AR28" s="27">
        <v>15.791983457539899</v>
      </c>
      <c r="AS28" s="27">
        <v>16.7028435686296</v>
      </c>
      <c r="AT28" s="27">
        <v>12.229920075956599</v>
      </c>
      <c r="AU28" s="27">
        <v>521.66407537090095</v>
      </c>
      <c r="AV28" s="27">
        <v>1.53361885019815</v>
      </c>
      <c r="AW28" s="27">
        <v>5.3026638419390002</v>
      </c>
      <c r="AX28" s="27">
        <v>0.40774357518068399</v>
      </c>
      <c r="AY28" s="27">
        <v>0.70309195573634198</v>
      </c>
      <c r="AZ28" s="27">
        <v>581.23068170209899</v>
      </c>
      <c r="BA28" s="27">
        <v>1.0582444483997</v>
      </c>
      <c r="BB28" s="27">
        <v>9.9338731676997194E-2</v>
      </c>
      <c r="BC28" s="27">
        <v>4.8972913752394799E-2</v>
      </c>
      <c r="BD28" s="27">
        <v>0.17544289945484101</v>
      </c>
      <c r="BE28" s="27">
        <v>1.8670043920368501E-2</v>
      </c>
      <c r="BF28" s="27">
        <v>0.13048277863030799</v>
      </c>
      <c r="BG28" s="27">
        <v>4.3813427007050398</v>
      </c>
      <c r="BH28" s="27">
        <v>6.6720181795812197E-3</v>
      </c>
      <c r="BI28" s="27">
        <v>4.9172926392697898</v>
      </c>
      <c r="BJ28" s="27">
        <v>28.086802963844899</v>
      </c>
      <c r="BK28" s="27">
        <v>2.2253168421072602</v>
      </c>
      <c r="BL28" s="27">
        <v>23.304932750910801</v>
      </c>
      <c r="BM28" s="27">
        <v>3.9875741279454403E-2</v>
      </c>
      <c r="BN28" s="27">
        <v>56.615363389826001</v>
      </c>
      <c r="BO28" s="27">
        <v>1.0840826279431399E-2</v>
      </c>
      <c r="BP28" s="27">
        <v>1.55648668351667</v>
      </c>
      <c r="BQ28" s="27">
        <v>0.63377711400356895</v>
      </c>
      <c r="BR28" s="27">
        <v>1.9593822606098699E-2</v>
      </c>
      <c r="BS28" s="27">
        <v>106.189599806695</v>
      </c>
      <c r="BT28" s="27">
        <v>135.253472655222</v>
      </c>
      <c r="BU28" s="27">
        <v>8.1181566408550108</v>
      </c>
      <c r="BV28" s="27">
        <v>18.5543528767247</v>
      </c>
      <c r="BW28" s="27">
        <v>0.30229537477370699</v>
      </c>
      <c r="BX28" s="27">
        <v>2.84722807235488E-2</v>
      </c>
      <c r="BY28" s="27">
        <v>8.4040393810843106E-2</v>
      </c>
      <c r="BZ28" s="30">
        <v>0</v>
      </c>
      <c r="CA28" s="31">
        <v>67872</v>
      </c>
      <c r="CB28" s="31">
        <v>14397.337032834501</v>
      </c>
    </row>
    <row r="29" spans="1:80" ht="15" customHeight="1" x14ac:dyDescent="0.3">
      <c r="A29" s="33" t="s">
        <v>47</v>
      </c>
      <c r="B29" s="11" t="s">
        <v>115</v>
      </c>
      <c r="C29" s="26">
        <v>249453.825136614</v>
      </c>
      <c r="D29" s="27">
        <v>47571.736438363398</v>
      </c>
      <c r="E29" s="27">
        <v>2096.5600368743799</v>
      </c>
      <c r="F29" s="27">
        <v>1401.4832982454</v>
      </c>
      <c r="G29" s="27">
        <v>92.819584254828797</v>
      </c>
      <c r="H29" s="27">
        <v>31102.262755097399</v>
      </c>
      <c r="I29" s="27">
        <v>1286.58887733642</v>
      </c>
      <c r="J29" s="27">
        <v>33883.154514934002</v>
      </c>
      <c r="K29" s="28">
        <v>165902.37414644199</v>
      </c>
      <c r="L29" s="29">
        <v>0.44900395382840702</v>
      </c>
      <c r="M29" s="27">
        <v>0.410354113568902</v>
      </c>
      <c r="N29" s="27">
        <v>3.9795125060874202E-2</v>
      </c>
      <c r="O29" s="27">
        <v>1.54024414148706</v>
      </c>
      <c r="P29" s="27">
        <v>2.51137138981951</v>
      </c>
      <c r="Q29" s="27">
        <v>5.0950621792227597</v>
      </c>
      <c r="R29" s="27">
        <v>0.28066948613353898</v>
      </c>
      <c r="S29" s="27">
        <v>140.28027439385801</v>
      </c>
      <c r="T29" s="27">
        <v>7.2682037087729601</v>
      </c>
      <c r="U29" s="27">
        <v>1362.0272222588201</v>
      </c>
      <c r="V29" s="27">
        <v>30.831766829405101</v>
      </c>
      <c r="W29" s="27">
        <v>2.0985110178765898</v>
      </c>
      <c r="X29" s="27">
        <v>12.350986793752501</v>
      </c>
      <c r="Y29" s="27">
        <v>2.8404321713552201</v>
      </c>
      <c r="Z29" s="27">
        <v>9.2077640466985091</v>
      </c>
      <c r="AA29" s="27">
        <v>3.2179237203270601</v>
      </c>
      <c r="AB29" s="27">
        <v>72.150381890266303</v>
      </c>
      <c r="AC29" s="27">
        <v>3.34683743016399</v>
      </c>
      <c r="AD29" s="27">
        <v>1.74742873028946</v>
      </c>
      <c r="AE29" s="27">
        <v>9.2963087069205095</v>
      </c>
      <c r="AF29" s="27">
        <v>712.51365070002305</v>
      </c>
      <c r="AG29" s="27">
        <v>679.28251263229095</v>
      </c>
      <c r="AH29" s="27">
        <v>1181.98897971837</v>
      </c>
      <c r="AI29" s="27">
        <v>79908.967666960394</v>
      </c>
      <c r="AJ29" s="27">
        <v>78.662840010817604</v>
      </c>
      <c r="AK29" s="27">
        <v>183.94932935571401</v>
      </c>
      <c r="AL29" s="27">
        <v>16.220877830042902</v>
      </c>
      <c r="AM29" s="27">
        <v>11.813175636079499</v>
      </c>
      <c r="AN29" s="27">
        <v>14.084723948675</v>
      </c>
      <c r="AO29" s="27">
        <v>50.715318751983197</v>
      </c>
      <c r="AP29" s="27">
        <v>24.193369735811199</v>
      </c>
      <c r="AQ29" s="27">
        <v>36.697225411032797</v>
      </c>
      <c r="AR29" s="27">
        <v>38.762160203297398</v>
      </c>
      <c r="AS29" s="27">
        <v>29.279846640446099</v>
      </c>
      <c r="AT29" s="27">
        <v>26.146397728668401</v>
      </c>
      <c r="AU29" s="27">
        <v>641.54935592606705</v>
      </c>
      <c r="AV29" s="27">
        <v>2.16814937339463</v>
      </c>
      <c r="AW29" s="27">
        <v>31.022843839120199</v>
      </c>
      <c r="AX29" s="27">
        <v>1.8589828894459799</v>
      </c>
      <c r="AY29" s="27">
        <v>6.4012483537896303</v>
      </c>
      <c r="AZ29" s="27">
        <v>12283.266016780701</v>
      </c>
      <c r="BA29" s="27">
        <v>5.1685019574837501</v>
      </c>
      <c r="BB29" s="27">
        <v>1.4869766397900499</v>
      </c>
      <c r="BC29" s="27">
        <v>0.68696184425296503</v>
      </c>
      <c r="BD29" s="27">
        <v>2.3818173351002598</v>
      </c>
      <c r="BE29" s="27">
        <v>0.235461282294739</v>
      </c>
      <c r="BF29" s="27">
        <v>2.1585251349343899</v>
      </c>
      <c r="BG29" s="27">
        <v>0.80179560265409699</v>
      </c>
      <c r="BH29" s="27">
        <v>8.1710591512984196E-2</v>
      </c>
      <c r="BI29" s="27">
        <v>13.8258582348407</v>
      </c>
      <c r="BJ29" s="27">
        <v>72.199497420526995</v>
      </c>
      <c r="BK29" s="27">
        <v>18.272806760551799</v>
      </c>
      <c r="BL29" s="27">
        <v>348.845712115195</v>
      </c>
      <c r="BM29" s="27">
        <v>0.53891392570577001</v>
      </c>
      <c r="BN29" s="27">
        <v>142.938111402217</v>
      </c>
      <c r="BO29" s="27">
        <v>0.14061990302442001</v>
      </c>
      <c r="BP29" s="27">
        <v>6.4862856162786304</v>
      </c>
      <c r="BQ29" s="27">
        <v>3.68800172246458</v>
      </c>
      <c r="BR29" s="27">
        <v>0.18991600403242101</v>
      </c>
      <c r="BS29" s="27">
        <v>620.35273922158694</v>
      </c>
      <c r="BT29" s="27">
        <v>340.66611186456299</v>
      </c>
      <c r="BU29" s="27">
        <v>21.082182829761798</v>
      </c>
      <c r="BV29" s="27">
        <v>46.717276146801503</v>
      </c>
      <c r="BW29" s="27">
        <v>1.3719796757142999</v>
      </c>
      <c r="BX29" s="27">
        <v>0.37590195192259102</v>
      </c>
      <c r="BY29" s="27">
        <v>0.77112030304845602</v>
      </c>
      <c r="BZ29" s="30">
        <v>0</v>
      </c>
      <c r="CA29" s="31">
        <v>99278</v>
      </c>
      <c r="CB29" s="31">
        <v>66624.374146442206</v>
      </c>
    </row>
    <row r="30" spans="1:80" ht="15" customHeight="1" x14ac:dyDescent="0.3">
      <c r="A30" s="33" t="s">
        <v>48</v>
      </c>
      <c r="B30" s="11" t="s">
        <v>116</v>
      </c>
      <c r="C30" s="26">
        <v>285016.184967215</v>
      </c>
      <c r="D30" s="27">
        <v>24163.761474989398</v>
      </c>
      <c r="E30" s="27">
        <v>3020.99595398888</v>
      </c>
      <c r="F30" s="27">
        <v>3652.41177522932</v>
      </c>
      <c r="G30" s="27">
        <v>3674.4446854119801</v>
      </c>
      <c r="H30" s="27">
        <v>9294.9831073214991</v>
      </c>
      <c r="I30" s="27">
        <v>5142.94993281183</v>
      </c>
      <c r="J30" s="27">
        <v>21764.789500774601</v>
      </c>
      <c r="K30" s="28">
        <v>236066.63803746199</v>
      </c>
      <c r="L30" s="29">
        <v>2.6162551252609001</v>
      </c>
      <c r="M30" s="27">
        <v>1.4826291967774701</v>
      </c>
      <c r="N30" s="27">
        <v>0.139390153913558</v>
      </c>
      <c r="O30" s="27">
        <v>8.5813057734019704</v>
      </c>
      <c r="P30" s="27">
        <v>8.7751739075338602</v>
      </c>
      <c r="Q30" s="27">
        <v>4.5524631381301202</v>
      </c>
      <c r="R30" s="27">
        <v>6.1199924089561204</v>
      </c>
      <c r="S30" s="27">
        <v>10.5566799936978</v>
      </c>
      <c r="T30" s="27">
        <v>8.1107015933300897</v>
      </c>
      <c r="U30" s="27">
        <v>112.704912007632</v>
      </c>
      <c r="V30" s="27">
        <v>27.151138542104</v>
      </c>
      <c r="W30" s="27">
        <v>1.5503061898810999</v>
      </c>
      <c r="X30" s="27">
        <v>1914.4939830108799</v>
      </c>
      <c r="Y30" s="27">
        <v>57.876538399174002</v>
      </c>
      <c r="Z30" s="27">
        <v>347.758017180455</v>
      </c>
      <c r="AA30" s="27">
        <v>269.85021539073898</v>
      </c>
      <c r="AB30" s="27">
        <v>1675.65614909531</v>
      </c>
      <c r="AC30" s="27">
        <v>482.85101031755698</v>
      </c>
      <c r="AD30" s="27">
        <v>4.2423350004941804</v>
      </c>
      <c r="AE30" s="27">
        <v>1.7898220175422399</v>
      </c>
      <c r="AF30" s="27">
        <v>4055.8767282978702</v>
      </c>
      <c r="AG30" s="27">
        <v>357.68988464387002</v>
      </c>
      <c r="AH30" s="27">
        <v>175.83091562382401</v>
      </c>
      <c r="AI30" s="27">
        <v>78.662840010817604</v>
      </c>
      <c r="AJ30" s="27">
        <v>170614.69386964501</v>
      </c>
      <c r="AK30" s="27">
        <v>542.37094599332602</v>
      </c>
      <c r="AL30" s="27">
        <v>2134.1814192839201</v>
      </c>
      <c r="AM30" s="27">
        <v>541.55407291927702</v>
      </c>
      <c r="AN30" s="27">
        <v>1784.7186092074301</v>
      </c>
      <c r="AO30" s="27">
        <v>334.95055891568001</v>
      </c>
      <c r="AP30" s="27">
        <v>802.79343531857899</v>
      </c>
      <c r="AQ30" s="27">
        <v>2003.39440338913</v>
      </c>
      <c r="AR30" s="27">
        <v>329.420440567252</v>
      </c>
      <c r="AS30" s="27">
        <v>1350.1747033609699</v>
      </c>
      <c r="AT30" s="27">
        <v>160.79996536451901</v>
      </c>
      <c r="AU30" s="27">
        <v>2139.8674263738999</v>
      </c>
      <c r="AV30" s="27">
        <v>57.505388715162802</v>
      </c>
      <c r="AW30" s="27">
        <v>119.44231367238</v>
      </c>
      <c r="AX30" s="27">
        <v>5.8554055485413903</v>
      </c>
      <c r="AY30" s="27">
        <v>30.553930636710898</v>
      </c>
      <c r="AZ30" s="27">
        <v>2415.3136617980399</v>
      </c>
      <c r="BA30" s="27">
        <v>65.275448169102603</v>
      </c>
      <c r="BB30" s="27">
        <v>8.0371242597420505</v>
      </c>
      <c r="BC30" s="27">
        <v>3.5613690286331599</v>
      </c>
      <c r="BD30" s="27">
        <v>13.0789331021723</v>
      </c>
      <c r="BE30" s="27">
        <v>1.1278977287697101</v>
      </c>
      <c r="BF30" s="27">
        <v>12.342458031983901</v>
      </c>
      <c r="BG30" s="27">
        <v>3.7585874260445902</v>
      </c>
      <c r="BH30" s="27">
        <v>0.38189902931431902</v>
      </c>
      <c r="BI30" s="27">
        <v>13.182712453081599</v>
      </c>
      <c r="BJ30" s="27">
        <v>43.238988872536297</v>
      </c>
      <c r="BK30" s="27">
        <v>83.911578984335307</v>
      </c>
      <c r="BL30" s="27">
        <v>1885.5147153783701</v>
      </c>
      <c r="BM30" s="27">
        <v>2.7221027641686901</v>
      </c>
      <c r="BN30" s="27">
        <v>153.22746494632901</v>
      </c>
      <c r="BO30" s="27">
        <v>0.68881455550293502</v>
      </c>
      <c r="BP30" s="27">
        <v>28.999194980192499</v>
      </c>
      <c r="BQ30" s="27">
        <v>13.977557877899001</v>
      </c>
      <c r="BR30" s="27">
        <v>0.68639642768394804</v>
      </c>
      <c r="BS30" s="27">
        <v>151.98568094883601</v>
      </c>
      <c r="BT30" s="27">
        <v>178.331258177406</v>
      </c>
      <c r="BU30" s="27">
        <v>14.4060319811136</v>
      </c>
      <c r="BV30" s="27">
        <v>24.320131170955602</v>
      </c>
      <c r="BW30" s="27">
        <v>4.3011980194583002</v>
      </c>
      <c r="BX30" s="27">
        <v>1.8662991626752199</v>
      </c>
      <c r="BY30" s="27">
        <v>2.56621879465796</v>
      </c>
      <c r="BZ30" s="30">
        <v>0</v>
      </c>
      <c r="CA30" s="31">
        <v>197694</v>
      </c>
      <c r="CB30" s="31">
        <v>38372.638037462297</v>
      </c>
    </row>
    <row r="31" spans="1:80" ht="15" customHeight="1" x14ac:dyDescent="0.3">
      <c r="A31" s="33" t="s">
        <v>49</v>
      </c>
      <c r="B31" s="11" t="s">
        <v>117</v>
      </c>
      <c r="C31" s="26">
        <v>200904.41268854699</v>
      </c>
      <c r="D31" s="27">
        <v>24635.4218188304</v>
      </c>
      <c r="E31" s="27">
        <v>3017.4090512531202</v>
      </c>
      <c r="F31" s="27">
        <v>1082.55215259079</v>
      </c>
      <c r="G31" s="27">
        <v>607.29085480991705</v>
      </c>
      <c r="H31" s="27">
        <v>11551.032043573599</v>
      </c>
      <c r="I31" s="27">
        <v>3137.3668936917002</v>
      </c>
      <c r="J31" s="27">
        <v>16378.241944666001</v>
      </c>
      <c r="K31" s="28">
        <v>156873.33987379799</v>
      </c>
      <c r="L31" s="29">
        <v>3.6771977566894498</v>
      </c>
      <c r="M31" s="27">
        <v>15.2118363847305</v>
      </c>
      <c r="N31" s="27">
        <v>1.2313329171623599</v>
      </c>
      <c r="O31" s="27">
        <v>1819.21104618205</v>
      </c>
      <c r="P31" s="27">
        <v>5.5627848925556496</v>
      </c>
      <c r="Q31" s="27">
        <v>3.60734038748675</v>
      </c>
      <c r="R31" s="27">
        <v>25.211260071840702</v>
      </c>
      <c r="S31" s="27">
        <v>8.4608850224345904</v>
      </c>
      <c r="T31" s="27">
        <v>4.4184180414026502</v>
      </c>
      <c r="U31" s="27">
        <v>46.594828819882103</v>
      </c>
      <c r="V31" s="27">
        <v>24.073850827437699</v>
      </c>
      <c r="W31" s="27">
        <v>1.4101590311455201</v>
      </c>
      <c r="X31" s="27">
        <v>375.91160610212398</v>
      </c>
      <c r="Y31" s="27">
        <v>9.6890781046900898</v>
      </c>
      <c r="Z31" s="27">
        <v>6.9135029275716002</v>
      </c>
      <c r="AA31" s="27">
        <v>6.9512347983319502</v>
      </c>
      <c r="AB31" s="27">
        <v>110.94045605824</v>
      </c>
      <c r="AC31" s="27">
        <v>12.310153692428001</v>
      </c>
      <c r="AD31" s="27">
        <v>34.471706482625599</v>
      </c>
      <c r="AE31" s="27">
        <v>0.858631687491899</v>
      </c>
      <c r="AF31" s="27">
        <v>446.91902214803702</v>
      </c>
      <c r="AG31" s="27">
        <v>1379.15517316568</v>
      </c>
      <c r="AH31" s="27">
        <v>82.452615122971693</v>
      </c>
      <c r="AI31" s="27">
        <v>183.94932935571401</v>
      </c>
      <c r="AJ31" s="27">
        <v>542.37094599332602</v>
      </c>
      <c r="AK31" s="27">
        <v>130753.70871483401</v>
      </c>
      <c r="AL31" s="27">
        <v>118.352037172099</v>
      </c>
      <c r="AM31" s="27">
        <v>102.628203448072</v>
      </c>
      <c r="AN31" s="27">
        <v>620.58750503534498</v>
      </c>
      <c r="AO31" s="27">
        <v>59.560019160884401</v>
      </c>
      <c r="AP31" s="27">
        <v>223.16427294781599</v>
      </c>
      <c r="AQ31" s="27">
        <v>543.10066631551899</v>
      </c>
      <c r="AR31" s="27">
        <v>93.736852894644102</v>
      </c>
      <c r="AS31" s="27">
        <v>696.88826502608902</v>
      </c>
      <c r="AT31" s="27">
        <v>19.443139226183298</v>
      </c>
      <c r="AU31" s="27">
        <v>673.74568870686005</v>
      </c>
      <c r="AV31" s="27">
        <v>160.656944638949</v>
      </c>
      <c r="AW31" s="27">
        <v>75.7862293271032</v>
      </c>
      <c r="AX31" s="27">
        <v>3.8341139941870401</v>
      </c>
      <c r="AY31" s="27">
        <v>18.8442290817949</v>
      </c>
      <c r="AZ31" s="27">
        <v>1835.28355563031</v>
      </c>
      <c r="BA31" s="27">
        <v>15.3987014853868</v>
      </c>
      <c r="BB31" s="27">
        <v>4.8924325350921096</v>
      </c>
      <c r="BC31" s="27">
        <v>2.1719940406580198</v>
      </c>
      <c r="BD31" s="27">
        <v>7.8085031349051599</v>
      </c>
      <c r="BE31" s="27">
        <v>0.69048324514196902</v>
      </c>
      <c r="BF31" s="27">
        <v>7.4950201312448499</v>
      </c>
      <c r="BG31" s="27">
        <v>1.10618117825274</v>
      </c>
      <c r="BH31" s="27">
        <v>0.23408218318023799</v>
      </c>
      <c r="BI31" s="27">
        <v>11.851235744599</v>
      </c>
      <c r="BJ31" s="27">
        <v>48.277248700584103</v>
      </c>
      <c r="BK31" s="27">
        <v>52.035143663804199</v>
      </c>
      <c r="BL31" s="27">
        <v>1147.7679379823501</v>
      </c>
      <c r="BM31" s="27">
        <v>1.6621602153353101</v>
      </c>
      <c r="BN31" s="27">
        <v>96.104050349721106</v>
      </c>
      <c r="BO31" s="27">
        <v>0.42122007591244898</v>
      </c>
      <c r="BP31" s="27">
        <v>15.8907326429258</v>
      </c>
      <c r="BQ31" s="27">
        <v>8.8795819026473097</v>
      </c>
      <c r="BR31" s="27">
        <v>0.42698894026219403</v>
      </c>
      <c r="BS31" s="27">
        <v>170.23056305197201</v>
      </c>
      <c r="BT31" s="27">
        <v>215.56321582123499</v>
      </c>
      <c r="BU31" s="27">
        <v>15.1563519873853</v>
      </c>
      <c r="BV31" s="27">
        <v>29.486886493133699</v>
      </c>
      <c r="BW31" s="27">
        <v>2.81865623131926</v>
      </c>
      <c r="BX31" s="27">
        <v>1.1405267765648599</v>
      </c>
      <c r="BY31" s="27">
        <v>1.60526807293773</v>
      </c>
      <c r="BZ31" s="30">
        <v>0</v>
      </c>
      <c r="CA31" s="31">
        <v>143010</v>
      </c>
      <c r="CB31" s="31">
        <v>13863.3398737978</v>
      </c>
    </row>
    <row r="32" spans="1:80" ht="15" customHeight="1" x14ac:dyDescent="0.3">
      <c r="A32" s="33" t="s">
        <v>50</v>
      </c>
      <c r="B32" s="11" t="s">
        <v>118</v>
      </c>
      <c r="C32" s="26">
        <v>394541.40019856702</v>
      </c>
      <c r="D32" s="27">
        <v>26545.8999841894</v>
      </c>
      <c r="E32" s="27">
        <v>4250.5433617425797</v>
      </c>
      <c r="F32" s="27">
        <v>2971.9110211659499</v>
      </c>
      <c r="G32" s="27">
        <v>969.13763677635802</v>
      </c>
      <c r="H32" s="27">
        <v>5421.17266189972</v>
      </c>
      <c r="I32" s="27">
        <v>6667.5710722061804</v>
      </c>
      <c r="J32" s="27">
        <v>16029.792392048201</v>
      </c>
      <c r="K32" s="28">
        <v>347715.16446058801</v>
      </c>
      <c r="L32" s="29">
        <v>1.6664218090626901</v>
      </c>
      <c r="M32" s="27">
        <v>1.05781680178753</v>
      </c>
      <c r="N32" s="27">
        <v>0.12978536243355299</v>
      </c>
      <c r="O32" s="27">
        <v>11.6522917923254</v>
      </c>
      <c r="P32" s="27">
        <v>9.5539988779714005</v>
      </c>
      <c r="Q32" s="27">
        <v>1028.4021466367201</v>
      </c>
      <c r="R32" s="27">
        <v>40.399050447494403</v>
      </c>
      <c r="S32" s="27">
        <v>12.4048628317859</v>
      </c>
      <c r="T32" s="27">
        <v>4.5307005374560996</v>
      </c>
      <c r="U32" s="27">
        <v>464.161505874836</v>
      </c>
      <c r="V32" s="27">
        <v>35.798713098326303</v>
      </c>
      <c r="W32" s="27">
        <v>0.70255560941457496</v>
      </c>
      <c r="X32" s="27">
        <v>30.528932066128199</v>
      </c>
      <c r="Y32" s="27">
        <v>1.9717878941912299</v>
      </c>
      <c r="Z32" s="27">
        <v>5.3835325448431304</v>
      </c>
      <c r="AA32" s="27">
        <v>54.335462733217803</v>
      </c>
      <c r="AB32" s="27">
        <v>36.218618269324601</v>
      </c>
      <c r="AC32" s="27">
        <v>18.171260699637799</v>
      </c>
      <c r="AD32" s="27">
        <v>84.894766997149503</v>
      </c>
      <c r="AE32" s="27">
        <v>1.2701819666598699</v>
      </c>
      <c r="AF32" s="27">
        <v>3393.1964071790599</v>
      </c>
      <c r="AG32" s="27">
        <v>339.075591026425</v>
      </c>
      <c r="AH32" s="27">
        <v>33.258869433485302</v>
      </c>
      <c r="AI32" s="27">
        <v>16.220877830042902</v>
      </c>
      <c r="AJ32" s="27">
        <v>2134.1814192839201</v>
      </c>
      <c r="AK32" s="27">
        <v>118.352037172099</v>
      </c>
      <c r="AL32" s="27">
        <v>274722.64021897397</v>
      </c>
      <c r="AM32" s="27">
        <v>1475.9299404574101</v>
      </c>
      <c r="AN32" s="27">
        <v>14531.0995576511</v>
      </c>
      <c r="AO32" s="27">
        <v>51.480642939496697</v>
      </c>
      <c r="AP32" s="27">
        <v>1251.93121499628</v>
      </c>
      <c r="AQ32" s="27">
        <v>1075.7981092851701</v>
      </c>
      <c r="AR32" s="27">
        <v>395.27890219667103</v>
      </c>
      <c r="AS32" s="27">
        <v>592.73060474561805</v>
      </c>
      <c r="AT32" s="27">
        <v>129.33478521492501</v>
      </c>
      <c r="AU32" s="27">
        <v>100.415861892377</v>
      </c>
      <c r="AV32" s="27">
        <v>194.942436985547</v>
      </c>
      <c r="AW32" s="27">
        <v>131.86181548978499</v>
      </c>
      <c r="AX32" s="27">
        <v>6.36056329208267</v>
      </c>
      <c r="AY32" s="27">
        <v>34.5526875290631</v>
      </c>
      <c r="AZ32" s="27">
        <v>298.98127305511002</v>
      </c>
      <c r="BA32" s="27">
        <v>74.291757536024406</v>
      </c>
      <c r="BB32" s="27">
        <v>9.0770766069856208</v>
      </c>
      <c r="BC32" s="27">
        <v>3.98406241312246</v>
      </c>
      <c r="BD32" s="27">
        <v>14.4061631194716</v>
      </c>
      <c r="BE32" s="27">
        <v>1.2374484813575299</v>
      </c>
      <c r="BF32" s="27">
        <v>14.1093222127197</v>
      </c>
      <c r="BG32" s="27">
        <v>1.5408941798596001</v>
      </c>
      <c r="BH32" s="27">
        <v>0.41629540197638298</v>
      </c>
      <c r="BI32" s="27">
        <v>10.4991680809981</v>
      </c>
      <c r="BJ32" s="27">
        <v>26.4685500404462</v>
      </c>
      <c r="BK32" s="27">
        <v>93.874648437079799</v>
      </c>
      <c r="BL32" s="27">
        <v>2129.4882301144698</v>
      </c>
      <c r="BM32" s="27">
        <v>3.0263804166341202</v>
      </c>
      <c r="BN32" s="27">
        <v>67.962574220344194</v>
      </c>
      <c r="BO32" s="27">
        <v>0.76003557687272305</v>
      </c>
      <c r="BP32" s="27">
        <v>26.109642301749599</v>
      </c>
      <c r="BQ32" s="27">
        <v>15.3650742472599</v>
      </c>
      <c r="BR32" s="27">
        <v>0.68971944989911305</v>
      </c>
      <c r="BS32" s="27">
        <v>116.440060688919</v>
      </c>
      <c r="BT32" s="27">
        <v>101.25586590703099</v>
      </c>
      <c r="BU32" s="27">
        <v>10.182696516478799</v>
      </c>
      <c r="BV32" s="27">
        <v>13.724102095009201</v>
      </c>
      <c r="BW32" s="27">
        <v>4.6701783516228499</v>
      </c>
      <c r="BX32" s="27">
        <v>2.0661954718386899</v>
      </c>
      <c r="BY32" s="27">
        <v>2.4956486517562699</v>
      </c>
      <c r="BZ32" s="30">
        <v>0</v>
      </c>
      <c r="CA32" s="31">
        <v>305615</v>
      </c>
      <c r="CB32" s="31">
        <v>42100.164460587599</v>
      </c>
    </row>
    <row r="33" spans="1:80" ht="15" customHeight="1" x14ac:dyDescent="0.3">
      <c r="A33" s="33" t="s">
        <v>51</v>
      </c>
      <c r="B33" s="11" t="s">
        <v>119</v>
      </c>
      <c r="C33" s="26">
        <v>192337.48156004099</v>
      </c>
      <c r="D33" s="27">
        <v>20438.0570778248</v>
      </c>
      <c r="E33" s="27">
        <v>1475.82105156325</v>
      </c>
      <c r="F33" s="27">
        <v>802.62046721662898</v>
      </c>
      <c r="G33" s="27">
        <v>329.53832720036399</v>
      </c>
      <c r="H33" s="27">
        <v>2423.29967143167</v>
      </c>
      <c r="I33" s="27">
        <v>3084.63335556728</v>
      </c>
      <c r="J33" s="27">
        <v>6640.0918214159401</v>
      </c>
      <c r="K33" s="28">
        <v>163783.511609237</v>
      </c>
      <c r="L33" s="29">
        <v>1.9415754824529201</v>
      </c>
      <c r="M33" s="27">
        <v>1.1949804216983599</v>
      </c>
      <c r="N33" s="27">
        <v>0.14846340741672301</v>
      </c>
      <c r="O33" s="27">
        <v>308.04369113747902</v>
      </c>
      <c r="P33" s="27">
        <v>8.3210204127249501</v>
      </c>
      <c r="Q33" s="27">
        <v>161.10516085636201</v>
      </c>
      <c r="R33" s="27">
        <v>1516.9202122399099</v>
      </c>
      <c r="S33" s="27">
        <v>8.0618273164062693</v>
      </c>
      <c r="T33" s="27">
        <v>4.8965820185103102</v>
      </c>
      <c r="U33" s="27">
        <v>38.619320080741502</v>
      </c>
      <c r="V33" s="27">
        <v>23.594035929091401</v>
      </c>
      <c r="W33" s="27">
        <v>0.39707130245329503</v>
      </c>
      <c r="X33" s="27">
        <v>48.444300956162301</v>
      </c>
      <c r="Y33" s="27">
        <v>1.8770282167560299</v>
      </c>
      <c r="Z33" s="27">
        <v>1.8527247278010901</v>
      </c>
      <c r="AA33" s="27">
        <v>14.765640380138001</v>
      </c>
      <c r="AB33" s="27">
        <v>103.37730686082</v>
      </c>
      <c r="AC33" s="27">
        <v>17.623469924656899</v>
      </c>
      <c r="AD33" s="27">
        <v>9.5467359769094493</v>
      </c>
      <c r="AE33" s="27">
        <v>1.5130467135210699</v>
      </c>
      <c r="AF33" s="27">
        <v>3589.8922906964199</v>
      </c>
      <c r="AG33" s="27">
        <v>155.807888208506</v>
      </c>
      <c r="AH33" s="27">
        <v>37.5540061279426</v>
      </c>
      <c r="AI33" s="27">
        <v>11.813175636079499</v>
      </c>
      <c r="AJ33" s="27">
        <v>541.55407291927702</v>
      </c>
      <c r="AK33" s="27">
        <v>102.628203448072</v>
      </c>
      <c r="AL33" s="27">
        <v>1475.9299404574101</v>
      </c>
      <c r="AM33" s="27">
        <v>101774.21001831901</v>
      </c>
      <c r="AN33" s="27">
        <v>4037.3521064086999</v>
      </c>
      <c r="AO33" s="27">
        <v>49.133424285942397</v>
      </c>
      <c r="AP33" s="27">
        <v>924.30835735939695</v>
      </c>
      <c r="AQ33" s="27">
        <v>990.91871591744405</v>
      </c>
      <c r="AR33" s="27">
        <v>18.551403548449901</v>
      </c>
      <c r="AS33" s="27">
        <v>709.11168331058195</v>
      </c>
      <c r="AT33" s="27">
        <v>42.087515023268601</v>
      </c>
      <c r="AU33" s="27">
        <v>240.83327813724301</v>
      </c>
      <c r="AV33" s="27">
        <v>29.044030014831598</v>
      </c>
      <c r="AW33" s="27">
        <v>151.99531859173001</v>
      </c>
      <c r="AX33" s="27">
        <v>7.2297597536241502</v>
      </c>
      <c r="AY33" s="27">
        <v>39.966429029994799</v>
      </c>
      <c r="AZ33" s="27">
        <v>1014.36741765797</v>
      </c>
      <c r="BA33" s="27">
        <v>32.9399507775885</v>
      </c>
      <c r="BB33" s="27">
        <v>10.619931283344</v>
      </c>
      <c r="BC33" s="27">
        <v>4.6888974186393799</v>
      </c>
      <c r="BD33" s="27">
        <v>16.904433289624698</v>
      </c>
      <c r="BE33" s="27">
        <v>1.47417729257761</v>
      </c>
      <c r="BF33" s="27">
        <v>16.384337640939702</v>
      </c>
      <c r="BG33" s="27">
        <v>1.6735946327494999</v>
      </c>
      <c r="BH33" s="27">
        <v>0.49794799355226199</v>
      </c>
      <c r="BI33" s="27">
        <v>10.0042274381327</v>
      </c>
      <c r="BJ33" s="27">
        <v>14.678350346932101</v>
      </c>
      <c r="BK33" s="27">
        <v>109.079949309059</v>
      </c>
      <c r="BL33" s="27">
        <v>2491.4429669020501</v>
      </c>
      <c r="BM33" s="27">
        <v>3.5755585297503898</v>
      </c>
      <c r="BN33" s="27">
        <v>31.851049308279102</v>
      </c>
      <c r="BO33" s="27">
        <v>0.90220954794637398</v>
      </c>
      <c r="BP33" s="27">
        <v>28.998891885206</v>
      </c>
      <c r="BQ33" s="27">
        <v>17.751627821186901</v>
      </c>
      <c r="BR33" s="27">
        <v>0.86896353668047699</v>
      </c>
      <c r="BS33" s="27">
        <v>137.10018495662601</v>
      </c>
      <c r="BT33" s="27">
        <v>34.547526429245103</v>
      </c>
      <c r="BU33" s="27">
        <v>6.99397292774895</v>
      </c>
      <c r="BV33" s="27">
        <v>4.5220340224644797</v>
      </c>
      <c r="BW33" s="27">
        <v>5.3065506924320802</v>
      </c>
      <c r="BX33" s="27">
        <v>2.4475595150627099</v>
      </c>
      <c r="BY33" s="27">
        <v>3.2118772884889299</v>
      </c>
      <c r="BZ33" s="30">
        <v>0</v>
      </c>
      <c r="CA33" s="31">
        <v>121205</v>
      </c>
      <c r="CB33" s="31">
        <v>42578.511609236702</v>
      </c>
    </row>
    <row r="34" spans="1:80" ht="15" customHeight="1" x14ac:dyDescent="0.3">
      <c r="A34" s="33" t="s">
        <v>52</v>
      </c>
      <c r="B34" s="11" t="s">
        <v>120</v>
      </c>
      <c r="C34" s="26">
        <v>270304.73602463503</v>
      </c>
      <c r="D34" s="27">
        <v>30172.254436114799</v>
      </c>
      <c r="E34" s="27">
        <v>2409.2434759656999</v>
      </c>
      <c r="F34" s="27">
        <v>2861.2194426665501</v>
      </c>
      <c r="G34" s="27">
        <v>2984.7884601470701</v>
      </c>
      <c r="H34" s="27">
        <v>8437.2960075544906</v>
      </c>
      <c r="I34" s="27">
        <v>4858.9735221091196</v>
      </c>
      <c r="J34" s="27">
        <v>19142.2774324772</v>
      </c>
      <c r="K34" s="28">
        <v>218580.96068007799</v>
      </c>
      <c r="L34" s="29">
        <v>1.4091853280088</v>
      </c>
      <c r="M34" s="27">
        <v>0.82259023249982599</v>
      </c>
      <c r="N34" s="27">
        <v>0.111756090446803</v>
      </c>
      <c r="O34" s="27">
        <v>6.5708509712998904</v>
      </c>
      <c r="P34" s="27">
        <v>110.03566268919199</v>
      </c>
      <c r="Q34" s="27">
        <v>5.2117809348470203</v>
      </c>
      <c r="R34" s="27">
        <v>19.213349479906899</v>
      </c>
      <c r="S34" s="27">
        <v>104.11553347806399</v>
      </c>
      <c r="T34" s="27">
        <v>10.159067354381101</v>
      </c>
      <c r="U34" s="27">
        <v>482.446360943917</v>
      </c>
      <c r="V34" s="27">
        <v>344.37990678150902</v>
      </c>
      <c r="W34" s="27">
        <v>0.64533828905178603</v>
      </c>
      <c r="X34" s="27">
        <v>130.97687365394901</v>
      </c>
      <c r="Y34" s="27">
        <v>3.7787981676011899</v>
      </c>
      <c r="Z34" s="27">
        <v>41.0199695130989</v>
      </c>
      <c r="AA34" s="27">
        <v>263.05276191933899</v>
      </c>
      <c r="AB34" s="27">
        <v>76.480498429175498</v>
      </c>
      <c r="AC34" s="27">
        <v>17.250371653097901</v>
      </c>
      <c r="AD34" s="27">
        <v>3.3912072038991199</v>
      </c>
      <c r="AE34" s="27">
        <v>3.3564231389928101</v>
      </c>
      <c r="AF34" s="27">
        <v>288.64542574503997</v>
      </c>
      <c r="AG34" s="27">
        <v>108.96175968041</v>
      </c>
      <c r="AH34" s="27">
        <v>391.57639490467199</v>
      </c>
      <c r="AI34" s="27">
        <v>14.084723948675</v>
      </c>
      <c r="AJ34" s="27">
        <v>1784.7186092074301</v>
      </c>
      <c r="AK34" s="27">
        <v>620.587505035346</v>
      </c>
      <c r="AL34" s="27">
        <v>14531.0995576511</v>
      </c>
      <c r="AM34" s="27">
        <v>4037.3521064086999</v>
      </c>
      <c r="AN34" s="27">
        <v>148015.26455611599</v>
      </c>
      <c r="AO34" s="27">
        <v>367.07800330004</v>
      </c>
      <c r="AP34" s="27">
        <v>2184.9476133575999</v>
      </c>
      <c r="AQ34" s="27">
        <v>5338.2489508260296</v>
      </c>
      <c r="AR34" s="27">
        <v>196.57704801635899</v>
      </c>
      <c r="AS34" s="27">
        <v>2023.75272872459</v>
      </c>
      <c r="AT34" s="27">
        <v>630.19508175329804</v>
      </c>
      <c r="AU34" s="27">
        <v>1839.70357925644</v>
      </c>
      <c r="AV34" s="27">
        <v>493.21095599827299</v>
      </c>
      <c r="AW34" s="27">
        <v>107.37900268518401</v>
      </c>
      <c r="AX34" s="27">
        <v>5.1540895169630696</v>
      </c>
      <c r="AY34" s="27">
        <v>28.324964704545799</v>
      </c>
      <c r="AZ34" s="27">
        <v>2422.5285177506198</v>
      </c>
      <c r="BA34" s="27">
        <v>24.363071949149401</v>
      </c>
      <c r="BB34" s="27">
        <v>7.4224658574906304</v>
      </c>
      <c r="BC34" s="27">
        <v>3.2771942663568399</v>
      </c>
      <c r="BD34" s="27">
        <v>12.393070564768101</v>
      </c>
      <c r="BE34" s="27">
        <v>1.0303653762351199</v>
      </c>
      <c r="BF34" s="27">
        <v>11.451149299502999</v>
      </c>
      <c r="BG34" s="27">
        <v>1.2361418252621099</v>
      </c>
      <c r="BH34" s="27">
        <v>0.34803976047562002</v>
      </c>
      <c r="BI34" s="27">
        <v>8.3907706000008702</v>
      </c>
      <c r="BJ34" s="27">
        <v>19.244085475383301</v>
      </c>
      <c r="BK34" s="27">
        <v>76.596090170701501</v>
      </c>
      <c r="BL34" s="27">
        <v>1741.3154439821101</v>
      </c>
      <c r="BM34" s="27">
        <v>2.49907080818434</v>
      </c>
      <c r="BN34" s="27">
        <v>270.07130784568898</v>
      </c>
      <c r="BO34" s="27">
        <v>0.63058844878630904</v>
      </c>
      <c r="BP34" s="27">
        <v>35.252097993625497</v>
      </c>
      <c r="BQ34" s="27">
        <v>12.542752591845</v>
      </c>
      <c r="BR34" s="27">
        <v>0.60741845260963701</v>
      </c>
      <c r="BS34" s="27">
        <v>290.69721635038098</v>
      </c>
      <c r="BT34" s="27">
        <v>64.133689210962302</v>
      </c>
      <c r="BU34" s="27">
        <v>7.2766424386915798</v>
      </c>
      <c r="BV34" s="27">
        <v>8.6620136724613293</v>
      </c>
      <c r="BW34" s="27">
        <v>3.7839319833647398</v>
      </c>
      <c r="BX34" s="27">
        <v>1.7106852619527599</v>
      </c>
      <c r="BY34" s="27">
        <v>2.2452349741948798</v>
      </c>
      <c r="BZ34" s="30">
        <v>0</v>
      </c>
      <c r="CA34" s="31">
        <v>189661</v>
      </c>
      <c r="CB34" s="31">
        <v>28919.960680077798</v>
      </c>
    </row>
    <row r="35" spans="1:80" ht="15" customHeight="1" x14ac:dyDescent="0.3">
      <c r="A35" s="33" t="s">
        <v>53</v>
      </c>
      <c r="B35" s="11" t="s">
        <v>121</v>
      </c>
      <c r="C35" s="26">
        <v>410146.86806464999</v>
      </c>
      <c r="D35" s="27">
        <v>62886.676039548802</v>
      </c>
      <c r="E35" s="27">
        <v>5523.64071643425</v>
      </c>
      <c r="F35" s="27">
        <v>6456.6439909106602</v>
      </c>
      <c r="G35" s="27">
        <v>10165.9152521044</v>
      </c>
      <c r="H35" s="27">
        <v>19810.504158249802</v>
      </c>
      <c r="I35" s="27">
        <v>10023.983064091301</v>
      </c>
      <c r="J35" s="27">
        <v>46457.046465356303</v>
      </c>
      <c r="K35" s="28">
        <v>295279.50484330999</v>
      </c>
      <c r="L35" s="29">
        <v>8.4991108271897001E-2</v>
      </c>
      <c r="M35" s="27">
        <v>4.9013277162934403E-2</v>
      </c>
      <c r="N35" s="27">
        <v>6.2570141059065196E-3</v>
      </c>
      <c r="O35" s="27">
        <v>0.97964062162764398</v>
      </c>
      <c r="P35" s="27">
        <v>19.112274506856799</v>
      </c>
      <c r="Q35" s="27">
        <v>11.560930883083</v>
      </c>
      <c r="R35" s="27">
        <v>0.58873139868258395</v>
      </c>
      <c r="S35" s="27">
        <v>11.1307835522041</v>
      </c>
      <c r="T35" s="27">
        <v>28.649733962297098</v>
      </c>
      <c r="U35" s="27">
        <v>37.440562771480401</v>
      </c>
      <c r="V35" s="27">
        <v>12.701531359918</v>
      </c>
      <c r="W35" s="27">
        <v>2.57144153542162</v>
      </c>
      <c r="X35" s="27">
        <v>18.465009007699599</v>
      </c>
      <c r="Y35" s="27">
        <v>5.2647126384980902</v>
      </c>
      <c r="Z35" s="27">
        <v>9.0808923629462903</v>
      </c>
      <c r="AA35" s="27">
        <v>3.1981442910176798</v>
      </c>
      <c r="AB35" s="27">
        <v>148.885696396231</v>
      </c>
      <c r="AC35" s="27">
        <v>25.816082687667102</v>
      </c>
      <c r="AD35" s="27">
        <v>1.4801179624812399</v>
      </c>
      <c r="AE35" s="27">
        <v>5.3829713226140097</v>
      </c>
      <c r="AF35" s="27">
        <v>114.280040074124</v>
      </c>
      <c r="AG35" s="27">
        <v>147.05008361085899</v>
      </c>
      <c r="AH35" s="27">
        <v>30.2152627451905</v>
      </c>
      <c r="AI35" s="27">
        <v>50.715318751983197</v>
      </c>
      <c r="AJ35" s="27">
        <v>334.95055891568001</v>
      </c>
      <c r="AK35" s="27">
        <v>59.560019160884401</v>
      </c>
      <c r="AL35" s="27">
        <v>51.480642939496697</v>
      </c>
      <c r="AM35" s="27">
        <v>49.133424285942397</v>
      </c>
      <c r="AN35" s="27">
        <v>367.07800330004</v>
      </c>
      <c r="AO35" s="27">
        <v>124872.081654329</v>
      </c>
      <c r="AP35" s="27">
        <v>4249.2080190534798</v>
      </c>
      <c r="AQ35" s="27">
        <v>5814.1228244174299</v>
      </c>
      <c r="AR35" s="27">
        <v>120.895891352134</v>
      </c>
      <c r="AS35" s="27">
        <v>546.01978856501398</v>
      </c>
      <c r="AT35" s="27">
        <v>71.112245054955494</v>
      </c>
      <c r="AU35" s="27">
        <v>899.66866728319997</v>
      </c>
      <c r="AV35" s="27">
        <v>560.79151794797599</v>
      </c>
      <c r="AW35" s="27">
        <v>15.698395628244199</v>
      </c>
      <c r="AX35" s="27">
        <v>1.07134784686214</v>
      </c>
      <c r="AY35" s="27">
        <v>2.5015954367528002</v>
      </c>
      <c r="AZ35" s="27">
        <v>5692.3338924296504</v>
      </c>
      <c r="BA35" s="27">
        <v>2.9300179437660798</v>
      </c>
      <c r="BB35" s="27">
        <v>0.46875464010083101</v>
      </c>
      <c r="BC35" s="27">
        <v>0.30851668157182399</v>
      </c>
      <c r="BD35" s="27">
        <v>3.2547291942429002</v>
      </c>
      <c r="BE35" s="27">
        <v>0.162005662515463</v>
      </c>
      <c r="BF35" s="27">
        <v>0.27081911208605602</v>
      </c>
      <c r="BG35" s="27">
        <v>0.97152381496793305</v>
      </c>
      <c r="BH35" s="27">
        <v>6.1984636767784998E-2</v>
      </c>
      <c r="BI35" s="27">
        <v>13.234984714039999</v>
      </c>
      <c r="BJ35" s="27">
        <v>220.596969946087</v>
      </c>
      <c r="BK35" s="27">
        <v>7.47974737964529</v>
      </c>
      <c r="BL35" s="27">
        <v>109.97015141836</v>
      </c>
      <c r="BM35" s="27">
        <v>0.28553239383856199</v>
      </c>
      <c r="BN35" s="27">
        <v>135.31825987083701</v>
      </c>
      <c r="BO35" s="27">
        <v>8.7521786716431196E-2</v>
      </c>
      <c r="BP35" s="27">
        <v>15.838163483689801</v>
      </c>
      <c r="BQ35" s="27">
        <v>2.01217467746413</v>
      </c>
      <c r="BR35" s="27">
        <v>0.26607971755588</v>
      </c>
      <c r="BS35" s="27">
        <v>220.86566424294901</v>
      </c>
      <c r="BT35" s="27">
        <v>299.90466010748997</v>
      </c>
      <c r="BU35" s="27">
        <v>18.406008953661399</v>
      </c>
      <c r="BV35" s="27">
        <v>41.142537124648399</v>
      </c>
      <c r="BW35" s="27">
        <v>0.79302784652587099</v>
      </c>
      <c r="BX35" s="27">
        <v>0.21881802353993099</v>
      </c>
      <c r="BY35" s="27">
        <v>888.73263483815595</v>
      </c>
      <c r="BZ35" s="30">
        <v>0</v>
      </c>
      <c r="CA35" s="31">
        <v>146376</v>
      </c>
      <c r="CB35" s="31">
        <v>148903.50484331101</v>
      </c>
    </row>
    <row r="36" spans="1:80" ht="15" customHeight="1" x14ac:dyDescent="0.3">
      <c r="A36" s="33" t="s">
        <v>54</v>
      </c>
      <c r="B36" s="11" t="s">
        <v>122</v>
      </c>
      <c r="C36" s="26">
        <v>266126.69347361702</v>
      </c>
      <c r="D36" s="27">
        <v>42362.173698443199</v>
      </c>
      <c r="E36" s="27">
        <v>2437.71547502161</v>
      </c>
      <c r="F36" s="27">
        <v>5615.2563703455198</v>
      </c>
      <c r="G36" s="27">
        <v>4145.8724476758898</v>
      </c>
      <c r="H36" s="27">
        <v>12752.561134953799</v>
      </c>
      <c r="I36" s="27">
        <v>4916.1556302032004</v>
      </c>
      <c r="J36" s="27">
        <v>27429.8455831785</v>
      </c>
      <c r="K36" s="28">
        <v>193896.95871697401</v>
      </c>
      <c r="L36" s="29">
        <v>0.80094269583383704</v>
      </c>
      <c r="M36" s="27">
        <v>0.46189333379374597</v>
      </c>
      <c r="N36" s="27">
        <v>5.89651064417549E-2</v>
      </c>
      <c r="O36" s="27">
        <v>3.7152265965853499</v>
      </c>
      <c r="P36" s="27">
        <v>10.7706482699997</v>
      </c>
      <c r="Q36" s="27">
        <v>7.4797449026658001</v>
      </c>
      <c r="R36" s="27">
        <v>11.8163990723403</v>
      </c>
      <c r="S36" s="27">
        <v>7.34286358181265</v>
      </c>
      <c r="T36" s="27">
        <v>13.066153021203901</v>
      </c>
      <c r="U36" s="27">
        <v>20.177169547070001</v>
      </c>
      <c r="V36" s="27">
        <v>12.2670386576829</v>
      </c>
      <c r="W36" s="27">
        <v>1.6474582508834199</v>
      </c>
      <c r="X36" s="27">
        <v>183.67512450680599</v>
      </c>
      <c r="Y36" s="27">
        <v>2.7529345610399201</v>
      </c>
      <c r="Z36" s="27">
        <v>7.3551656848594904</v>
      </c>
      <c r="AA36" s="27">
        <v>8.0259683267333202</v>
      </c>
      <c r="AB36" s="27">
        <v>59.017354503731703</v>
      </c>
      <c r="AC36" s="27">
        <v>15.440453141089799</v>
      </c>
      <c r="AD36" s="27">
        <v>1.8549360748985699</v>
      </c>
      <c r="AE36" s="27">
        <v>2.4570849406967898</v>
      </c>
      <c r="AF36" s="27">
        <v>136.18637708662601</v>
      </c>
      <c r="AG36" s="27">
        <v>69.380706690611703</v>
      </c>
      <c r="AH36" s="27">
        <v>12.275460455464501</v>
      </c>
      <c r="AI36" s="27">
        <v>24.193369735811199</v>
      </c>
      <c r="AJ36" s="27">
        <v>802.79343531857899</v>
      </c>
      <c r="AK36" s="27">
        <v>223.16427294781599</v>
      </c>
      <c r="AL36" s="27">
        <v>1251.93121499628</v>
      </c>
      <c r="AM36" s="27">
        <v>924.30835735939695</v>
      </c>
      <c r="AN36" s="27">
        <v>2184.9476133575999</v>
      </c>
      <c r="AO36" s="27">
        <v>4249.2080190534798</v>
      </c>
      <c r="AP36" s="27">
        <v>113363.295989761</v>
      </c>
      <c r="AQ36" s="27">
        <v>5703.2913235443602</v>
      </c>
      <c r="AR36" s="27">
        <v>1676.3047912024001</v>
      </c>
      <c r="AS36" s="27">
        <v>1191.6531978764499</v>
      </c>
      <c r="AT36" s="27">
        <v>296.187972775003</v>
      </c>
      <c r="AU36" s="27">
        <v>332.919944654218</v>
      </c>
      <c r="AV36" s="27">
        <v>1355.6512531117301</v>
      </c>
      <c r="AW36" s="27">
        <v>69.363902803814895</v>
      </c>
      <c r="AX36" s="27">
        <v>3.5454680954960698</v>
      </c>
      <c r="AY36" s="27">
        <v>17.1292944966855</v>
      </c>
      <c r="AZ36" s="27">
        <v>1629.87444778591</v>
      </c>
      <c r="BA36" s="27">
        <v>14.1067425729901</v>
      </c>
      <c r="BB36" s="27">
        <v>4.4174692242614704</v>
      </c>
      <c r="BC36" s="27">
        <v>1.9582716944819101</v>
      </c>
      <c r="BD36" s="27">
        <v>7.9026506160836298</v>
      </c>
      <c r="BE36" s="27">
        <v>0.62071788636375202</v>
      </c>
      <c r="BF36" s="27">
        <v>6.7801456652438201</v>
      </c>
      <c r="BG36" s="27">
        <v>1.16259136391948</v>
      </c>
      <c r="BH36" s="27">
        <v>0.21022954080859399</v>
      </c>
      <c r="BI36" s="27">
        <v>11.789020795188</v>
      </c>
      <c r="BJ36" s="27">
        <v>51.843583838240299</v>
      </c>
      <c r="BK36" s="27">
        <v>47.279601246695002</v>
      </c>
      <c r="BL36" s="27">
        <v>1036.3412282670599</v>
      </c>
      <c r="BM36" s="27">
        <v>1.4971958426354799</v>
      </c>
      <c r="BN36" s="27">
        <v>105.379177443038</v>
      </c>
      <c r="BO36" s="27">
        <v>0.378983001457527</v>
      </c>
      <c r="BP36" s="27">
        <v>23.543649393378399</v>
      </c>
      <c r="BQ36" s="27">
        <v>8.1236112149155808</v>
      </c>
      <c r="BR36" s="27">
        <v>0.37911735259304902</v>
      </c>
      <c r="BS36" s="27">
        <v>176.83979883540201</v>
      </c>
      <c r="BT36" s="27">
        <v>227.779595882173</v>
      </c>
      <c r="BU36" s="27">
        <v>15.650594291840999</v>
      </c>
      <c r="BV36" s="27">
        <v>31.173107476147599</v>
      </c>
      <c r="BW36" s="27">
        <v>2.607101608502</v>
      </c>
      <c r="BX36" s="27">
        <v>1.02668030003087</v>
      </c>
      <c r="BY36" s="27">
        <v>1.41919676122143</v>
      </c>
      <c r="BZ36" s="30">
        <v>0</v>
      </c>
      <c r="CA36" s="31">
        <v>137668</v>
      </c>
      <c r="CB36" s="31">
        <v>56228.958716973997</v>
      </c>
    </row>
    <row r="37" spans="1:80" ht="15" customHeight="1" x14ac:dyDescent="0.3">
      <c r="A37" s="33" t="s">
        <v>55</v>
      </c>
      <c r="B37" s="11" t="s">
        <v>123</v>
      </c>
      <c r="C37" s="26">
        <v>434341.41231504199</v>
      </c>
      <c r="D37" s="27">
        <v>55871.245568763297</v>
      </c>
      <c r="E37" s="27">
        <v>3992.3793113481502</v>
      </c>
      <c r="F37" s="27">
        <v>6346.8863068296496</v>
      </c>
      <c r="G37" s="27">
        <v>1942.41628653865</v>
      </c>
      <c r="H37" s="27">
        <v>7943.8352157397403</v>
      </c>
      <c r="I37" s="27">
        <v>8753.7900404847296</v>
      </c>
      <c r="J37" s="27">
        <v>24986.927849592801</v>
      </c>
      <c r="K37" s="28">
        <v>349490.85958533699</v>
      </c>
      <c r="L37" s="29">
        <v>0.13170807507035701</v>
      </c>
      <c r="M37" s="27">
        <v>7.5954350040573895E-2</v>
      </c>
      <c r="N37" s="27">
        <v>9.6963000051796498E-3</v>
      </c>
      <c r="O37" s="27">
        <v>14.759995953079301</v>
      </c>
      <c r="P37" s="27">
        <v>334.57366154902797</v>
      </c>
      <c r="Q37" s="27">
        <v>140.58944007837201</v>
      </c>
      <c r="R37" s="27">
        <v>4.7968444417084797</v>
      </c>
      <c r="S37" s="27">
        <v>16.1299422547009</v>
      </c>
      <c r="T37" s="27">
        <v>475.61472951014298</v>
      </c>
      <c r="U37" s="27">
        <v>66.574505284045699</v>
      </c>
      <c r="V37" s="27">
        <v>114.231921642236</v>
      </c>
      <c r="W37" s="27">
        <v>13.080163405293501</v>
      </c>
      <c r="X37" s="27">
        <v>280.29098511717302</v>
      </c>
      <c r="Y37" s="27">
        <v>30.486576743183701</v>
      </c>
      <c r="Z37" s="27">
        <v>18.339978540253</v>
      </c>
      <c r="AA37" s="27">
        <v>24.983664033988202</v>
      </c>
      <c r="AB37" s="27">
        <v>1303.5510857930899</v>
      </c>
      <c r="AC37" s="27">
        <v>72.279705579647697</v>
      </c>
      <c r="AD37" s="27">
        <v>4.9292014853069004</v>
      </c>
      <c r="AE37" s="27">
        <v>90.2963081864781</v>
      </c>
      <c r="AF37" s="27">
        <v>93.084242116089698</v>
      </c>
      <c r="AG37" s="27">
        <v>166.47325556439199</v>
      </c>
      <c r="AH37" s="27">
        <v>48.586201496343897</v>
      </c>
      <c r="AI37" s="27">
        <v>36.697225411032797</v>
      </c>
      <c r="AJ37" s="27">
        <v>2003.39440338913</v>
      </c>
      <c r="AK37" s="27">
        <v>543.10066631551899</v>
      </c>
      <c r="AL37" s="27">
        <v>1075.7981092851701</v>
      </c>
      <c r="AM37" s="27">
        <v>990.91871591744405</v>
      </c>
      <c r="AN37" s="27">
        <v>5338.2489508260296</v>
      </c>
      <c r="AO37" s="27">
        <v>5814.1228244174299</v>
      </c>
      <c r="AP37" s="27">
        <v>5703.2913235443602</v>
      </c>
      <c r="AQ37" s="27">
        <v>201692.98770130399</v>
      </c>
      <c r="AR37" s="27">
        <v>1325.02759109869</v>
      </c>
      <c r="AS37" s="27">
        <v>4532.9657760649998</v>
      </c>
      <c r="AT37" s="27">
        <v>920.64120417422896</v>
      </c>
      <c r="AU37" s="27">
        <v>1395.49315420317</v>
      </c>
      <c r="AV37" s="27">
        <v>3019.2645554375599</v>
      </c>
      <c r="AW37" s="27">
        <v>20.748712220886802</v>
      </c>
      <c r="AX37" s="27">
        <v>1.3801586361943099</v>
      </c>
      <c r="AY37" s="27">
        <v>49.484456618669498</v>
      </c>
      <c r="AZ37" s="27">
        <v>3494.98825217065</v>
      </c>
      <c r="BA37" s="27">
        <v>3.42423155661933</v>
      </c>
      <c r="BB37" s="27">
        <v>0.72641447538804205</v>
      </c>
      <c r="BC37" s="27">
        <v>0.38882239904364302</v>
      </c>
      <c r="BD37" s="27">
        <v>47.028164152854401</v>
      </c>
      <c r="BE37" s="27">
        <v>0.16583684670471099</v>
      </c>
      <c r="BF37" s="27">
        <v>0.81736528289471999</v>
      </c>
      <c r="BG37" s="27">
        <v>0.83114724713601096</v>
      </c>
      <c r="BH37" s="27">
        <v>6.0886210937591299E-2</v>
      </c>
      <c r="BI37" s="27">
        <v>14.534744941520399</v>
      </c>
      <c r="BJ37" s="27">
        <v>134.941119539016</v>
      </c>
      <c r="BK37" s="27">
        <v>10.5988632391382</v>
      </c>
      <c r="BL37" s="27">
        <v>170.41732074103501</v>
      </c>
      <c r="BM37" s="27">
        <v>0.33020895325795202</v>
      </c>
      <c r="BN37" s="27">
        <v>343.794560456093</v>
      </c>
      <c r="BO37" s="27">
        <v>9.3696981321477399E-2</v>
      </c>
      <c r="BP37" s="27">
        <v>75.917704481446407</v>
      </c>
      <c r="BQ37" s="27">
        <v>2.5500234002376798</v>
      </c>
      <c r="BR37" s="27">
        <v>0.212140117957548</v>
      </c>
      <c r="BS37" s="27">
        <v>477.75575308617101</v>
      </c>
      <c r="BT37" s="27">
        <v>353.651477210716</v>
      </c>
      <c r="BU37" s="27">
        <v>21.621367753307702</v>
      </c>
      <c r="BV37" s="27">
        <v>48.513184834362903</v>
      </c>
      <c r="BW37" s="27">
        <v>1.0208742797420001</v>
      </c>
      <c r="BX37" s="27">
        <v>0.24170315340468401</v>
      </c>
      <c r="BY37" s="27">
        <v>0.93884012457195698</v>
      </c>
      <c r="BZ37" s="30">
        <v>0</v>
      </c>
      <c r="CA37" s="31">
        <v>242983</v>
      </c>
      <c r="CB37" s="31">
        <v>106507.85958533701</v>
      </c>
    </row>
    <row r="38" spans="1:80" ht="15" customHeight="1" x14ac:dyDescent="0.3">
      <c r="A38" s="33" t="s">
        <v>56</v>
      </c>
      <c r="B38" s="11" t="s">
        <v>124</v>
      </c>
      <c r="C38" s="26">
        <v>403061.75020914699</v>
      </c>
      <c r="D38" s="27">
        <v>69015.321530781701</v>
      </c>
      <c r="E38" s="27">
        <v>4371.2977562564101</v>
      </c>
      <c r="F38" s="27">
        <v>1846.9960917306601</v>
      </c>
      <c r="G38" s="27">
        <v>12815.12555873</v>
      </c>
      <c r="H38" s="27">
        <v>22837.979677623702</v>
      </c>
      <c r="I38" s="27">
        <v>6945.9400215904398</v>
      </c>
      <c r="J38" s="27">
        <v>44446.041349674801</v>
      </c>
      <c r="K38" s="28">
        <v>285229.08957243402</v>
      </c>
      <c r="L38" s="29">
        <v>8.1051123120219601E-2</v>
      </c>
      <c r="M38" s="27">
        <v>4.6741138486507003E-2</v>
      </c>
      <c r="N38" s="27">
        <v>5.96695384934132E-3</v>
      </c>
      <c r="O38" s="27">
        <v>0.48281005595551701</v>
      </c>
      <c r="P38" s="27">
        <v>4.9437444669396404</v>
      </c>
      <c r="Q38" s="27">
        <v>7.2975350242678001</v>
      </c>
      <c r="R38" s="27">
        <v>0.33848637644005097</v>
      </c>
      <c r="S38" s="27">
        <v>9.4046501193034207</v>
      </c>
      <c r="T38" s="27">
        <v>8.4071718423779096</v>
      </c>
      <c r="U38" s="27">
        <v>16.3818765330495</v>
      </c>
      <c r="V38" s="27">
        <v>3.8198498897867399</v>
      </c>
      <c r="W38" s="27">
        <v>2.6201829397946601</v>
      </c>
      <c r="X38" s="27">
        <v>73.142418211376807</v>
      </c>
      <c r="Y38" s="27">
        <v>3.31451635464951</v>
      </c>
      <c r="Z38" s="27">
        <v>13.4702537392078</v>
      </c>
      <c r="AA38" s="27">
        <v>2.52525078929397</v>
      </c>
      <c r="AB38" s="27">
        <v>16.190483397705801</v>
      </c>
      <c r="AC38" s="27">
        <v>1.94205961377214</v>
      </c>
      <c r="AD38" s="27">
        <v>0.213033245588374</v>
      </c>
      <c r="AE38" s="27">
        <v>0.96127586751030902</v>
      </c>
      <c r="AF38" s="27">
        <v>25.948953920741999</v>
      </c>
      <c r="AG38" s="27">
        <v>43.3307746467516</v>
      </c>
      <c r="AH38" s="27">
        <v>15.791983457539899</v>
      </c>
      <c r="AI38" s="27">
        <v>38.762160203297398</v>
      </c>
      <c r="AJ38" s="27">
        <v>329.420440567252</v>
      </c>
      <c r="AK38" s="27">
        <v>93.736852894644102</v>
      </c>
      <c r="AL38" s="27">
        <v>395.27890219667103</v>
      </c>
      <c r="AM38" s="27">
        <v>18.551403548449901</v>
      </c>
      <c r="AN38" s="27">
        <v>196.57704801635899</v>
      </c>
      <c r="AO38" s="27">
        <v>120.895891352134</v>
      </c>
      <c r="AP38" s="27">
        <v>1676.3047912024001</v>
      </c>
      <c r="AQ38" s="27">
        <v>1325.02759109869</v>
      </c>
      <c r="AR38" s="27">
        <v>229307.27973824099</v>
      </c>
      <c r="AS38" s="27">
        <v>3959.31184025736</v>
      </c>
      <c r="AT38" s="27">
        <v>1515.11608616544</v>
      </c>
      <c r="AU38" s="27">
        <v>22.319378026669899</v>
      </c>
      <c r="AV38" s="27">
        <v>35.351444325457997</v>
      </c>
      <c r="AW38" s="27">
        <v>18.3649966611226</v>
      </c>
      <c r="AX38" s="27">
        <v>1.34506706151912</v>
      </c>
      <c r="AY38" s="27">
        <v>2.6947883439514402</v>
      </c>
      <c r="AZ38" s="27">
        <v>930.02748585350002</v>
      </c>
      <c r="BA38" s="27">
        <v>1.9265658650400901</v>
      </c>
      <c r="BB38" s="27">
        <v>0.44702429254648701</v>
      </c>
      <c r="BC38" s="27">
        <v>0.23337875741657699</v>
      </c>
      <c r="BD38" s="27">
        <v>1.12706522727745</v>
      </c>
      <c r="BE38" s="27">
        <v>9.6424904739240605E-2</v>
      </c>
      <c r="BF38" s="27">
        <v>0.52926053738100298</v>
      </c>
      <c r="BG38" s="27">
        <v>0.76745901504422098</v>
      </c>
      <c r="BH38" s="27">
        <v>3.5145548229339997E-2</v>
      </c>
      <c r="BI38" s="27">
        <v>15.660978728884601</v>
      </c>
      <c r="BJ38" s="27">
        <v>87.2965905342231</v>
      </c>
      <c r="BK38" s="27">
        <v>8.2787086659840607</v>
      </c>
      <c r="BL38" s="27">
        <v>104.872197379098</v>
      </c>
      <c r="BM38" s="27">
        <v>0.195790132409915</v>
      </c>
      <c r="BN38" s="27">
        <v>173.85554825379</v>
      </c>
      <c r="BO38" s="27">
        <v>5.48900820673629E-2</v>
      </c>
      <c r="BP38" s="27">
        <v>261.83132911497398</v>
      </c>
      <c r="BQ38" s="27">
        <v>2.2222648343031599</v>
      </c>
      <c r="BR38" s="27">
        <v>0.11732516443287599</v>
      </c>
      <c r="BS38" s="27">
        <v>288.66437656436801</v>
      </c>
      <c r="BT38" s="27">
        <v>414.26951602596301</v>
      </c>
      <c r="BU38" s="27">
        <v>25.000291855355499</v>
      </c>
      <c r="BV38" s="27">
        <v>56.836615201189502</v>
      </c>
      <c r="BW38" s="27">
        <v>0.99649333800616502</v>
      </c>
      <c r="BX38" s="27">
        <v>0.14230778565320701</v>
      </c>
      <c r="BY38" s="27">
        <v>0.51547646813315795</v>
      </c>
      <c r="BZ38" s="30">
        <v>0</v>
      </c>
      <c r="CA38" s="31">
        <v>241683</v>
      </c>
      <c r="CB38" s="31">
        <v>43546.089572433899</v>
      </c>
    </row>
    <row r="39" spans="1:80" ht="15" customHeight="1" x14ac:dyDescent="0.3">
      <c r="A39" s="33" t="s">
        <v>57</v>
      </c>
      <c r="B39" s="11" t="s">
        <v>125</v>
      </c>
      <c r="C39" s="26">
        <v>254336.92990026099</v>
      </c>
      <c r="D39" s="27">
        <v>29463.379016237399</v>
      </c>
      <c r="E39" s="27">
        <v>1522.2537482914299</v>
      </c>
      <c r="F39" s="27">
        <v>3556.9259868280701</v>
      </c>
      <c r="G39" s="27">
        <v>2254.8588202117999</v>
      </c>
      <c r="H39" s="27">
        <v>2454.8340604652699</v>
      </c>
      <c r="I39" s="27">
        <v>5539.4653028111998</v>
      </c>
      <c r="J39" s="27">
        <v>13806.084170316301</v>
      </c>
      <c r="K39" s="28">
        <v>209545.21296541599</v>
      </c>
      <c r="L39" s="29">
        <v>0.60675771335831097</v>
      </c>
      <c r="M39" s="27">
        <v>0.34990935616982299</v>
      </c>
      <c r="N39" s="27">
        <v>4.4669279511041299E-2</v>
      </c>
      <c r="O39" s="27">
        <v>4.0674004198917997</v>
      </c>
      <c r="P39" s="27">
        <v>11.4573539955973</v>
      </c>
      <c r="Q39" s="27">
        <v>7.6610010259820003</v>
      </c>
      <c r="R39" s="27">
        <v>2.6072646952712302</v>
      </c>
      <c r="S39" s="27">
        <v>9.4120331066172191</v>
      </c>
      <c r="T39" s="27">
        <v>14.9084607832093</v>
      </c>
      <c r="U39" s="27">
        <v>29.0513770915001</v>
      </c>
      <c r="V39" s="27">
        <v>13.0176649118072</v>
      </c>
      <c r="W39" s="27">
        <v>2.0520461847628502</v>
      </c>
      <c r="X39" s="27">
        <v>137.21214991298001</v>
      </c>
      <c r="Y39" s="27">
        <v>3.53095148388502</v>
      </c>
      <c r="Z39" s="27">
        <v>152.285870656822</v>
      </c>
      <c r="AA39" s="27">
        <v>6.7041230740150404</v>
      </c>
      <c r="AB39" s="27">
        <v>49.145823933278997</v>
      </c>
      <c r="AC39" s="27">
        <v>8.5382928603159503</v>
      </c>
      <c r="AD39" s="27">
        <v>14.6083372480115</v>
      </c>
      <c r="AE39" s="27">
        <v>2.5995484718902802</v>
      </c>
      <c r="AF39" s="27">
        <v>84.930288894143303</v>
      </c>
      <c r="AG39" s="27">
        <v>313.31443944735997</v>
      </c>
      <c r="AH39" s="27">
        <v>16.7028435686296</v>
      </c>
      <c r="AI39" s="27">
        <v>29.279846640446099</v>
      </c>
      <c r="AJ39" s="27">
        <v>1350.1747033609699</v>
      </c>
      <c r="AK39" s="27">
        <v>696.88826502608902</v>
      </c>
      <c r="AL39" s="27">
        <v>592.73060474561805</v>
      </c>
      <c r="AM39" s="27">
        <v>709.11168331058195</v>
      </c>
      <c r="AN39" s="27">
        <v>2023.75272872459</v>
      </c>
      <c r="AO39" s="27">
        <v>546.01978856501398</v>
      </c>
      <c r="AP39" s="27">
        <v>1191.6531978764499</v>
      </c>
      <c r="AQ39" s="27">
        <v>4532.9657760649998</v>
      </c>
      <c r="AR39" s="27">
        <v>3959.31184025736</v>
      </c>
      <c r="AS39" s="27">
        <v>124091.52166290701</v>
      </c>
      <c r="AT39" s="27">
        <v>758.92900932919895</v>
      </c>
      <c r="AU39" s="27">
        <v>97.971610990998101</v>
      </c>
      <c r="AV39" s="27">
        <v>56.544628418066701</v>
      </c>
      <c r="AW39" s="27">
        <v>55.887621179882103</v>
      </c>
      <c r="AX39" s="27">
        <v>2.9702390949664399</v>
      </c>
      <c r="AY39" s="27">
        <v>13.6613792868626</v>
      </c>
      <c r="AZ39" s="27">
        <v>2287.71322830912</v>
      </c>
      <c r="BA39" s="27">
        <v>10.996984709006799</v>
      </c>
      <c r="BB39" s="27">
        <v>3.3464735233688399</v>
      </c>
      <c r="BC39" s="27">
        <v>1.5091199523576799</v>
      </c>
      <c r="BD39" s="27">
        <v>6.3743940235166798</v>
      </c>
      <c r="BE39" s="27">
        <v>0.49468543760383998</v>
      </c>
      <c r="BF39" s="27">
        <v>5.0221930509385198</v>
      </c>
      <c r="BG39" s="27">
        <v>0.99363423404557605</v>
      </c>
      <c r="BH39" s="27">
        <v>0.16935403558253301</v>
      </c>
      <c r="BI39" s="27">
        <v>13.4663269870567</v>
      </c>
      <c r="BJ39" s="27">
        <v>63.504749440862099</v>
      </c>
      <c r="BK39" s="27">
        <v>36.824298214269099</v>
      </c>
      <c r="BL39" s="27">
        <v>785.08492204630602</v>
      </c>
      <c r="BM39" s="27">
        <v>1.1664296159710399</v>
      </c>
      <c r="BN39" s="27">
        <v>128.76395263874301</v>
      </c>
      <c r="BO39" s="27">
        <v>0.29913507059198502</v>
      </c>
      <c r="BP39" s="27">
        <v>14.792315303290099</v>
      </c>
      <c r="BQ39" s="27">
        <v>6.5910517953675001</v>
      </c>
      <c r="BR39" s="27">
        <v>0.34465853855709599</v>
      </c>
      <c r="BS39" s="27">
        <v>213.92446809568</v>
      </c>
      <c r="BT39" s="27">
        <v>285.34786463280199</v>
      </c>
      <c r="BU39" s="27">
        <v>18.656580515139598</v>
      </c>
      <c r="BV39" s="27">
        <v>39.092304207744903</v>
      </c>
      <c r="BW39" s="27">
        <v>2.18625579648198</v>
      </c>
      <c r="BX39" s="27">
        <v>0.80571805177332601</v>
      </c>
      <c r="BY39" s="27">
        <v>1.3457078796200801</v>
      </c>
      <c r="BZ39" s="30">
        <v>0</v>
      </c>
      <c r="CA39" s="31">
        <v>145523</v>
      </c>
      <c r="CB39" s="31">
        <v>64022.212965415703</v>
      </c>
    </row>
    <row r="40" spans="1:80" ht="15" customHeight="1" x14ac:dyDescent="0.3">
      <c r="A40" s="33" t="s">
        <v>58</v>
      </c>
      <c r="B40" s="11" t="s">
        <v>126</v>
      </c>
      <c r="C40" s="26">
        <v>175075.45255491399</v>
      </c>
      <c r="D40" s="27">
        <v>11139.279798810499</v>
      </c>
      <c r="E40" s="27">
        <v>778.91653075296597</v>
      </c>
      <c r="F40" s="27">
        <v>652.52687869229305</v>
      </c>
      <c r="G40" s="27">
        <v>2395.0747279652801</v>
      </c>
      <c r="H40" s="27">
        <v>3351.4352157367898</v>
      </c>
      <c r="I40" s="27">
        <v>1298.7945204913001</v>
      </c>
      <c r="J40" s="27">
        <v>7697.83134288566</v>
      </c>
      <c r="K40" s="28">
        <v>155459.42488246501</v>
      </c>
      <c r="L40" s="29">
        <v>5.12198069718054E-2</v>
      </c>
      <c r="M40" s="27">
        <v>2.95378027935565E-2</v>
      </c>
      <c r="N40" s="27">
        <v>3.7707833353476401E-3</v>
      </c>
      <c r="O40" s="27">
        <v>0.36878286038512997</v>
      </c>
      <c r="P40" s="27">
        <v>3.37946530925338</v>
      </c>
      <c r="Q40" s="27">
        <v>4.81737112928203</v>
      </c>
      <c r="R40" s="27">
        <v>0.22417207513579199</v>
      </c>
      <c r="S40" s="27">
        <v>5.7443048903329696</v>
      </c>
      <c r="T40" s="27">
        <v>5.2670455809158501</v>
      </c>
      <c r="U40" s="27">
        <v>10.113854048385001</v>
      </c>
      <c r="V40" s="27">
        <v>1.92234750009238</v>
      </c>
      <c r="W40" s="27">
        <v>1.70935310229458</v>
      </c>
      <c r="X40" s="27">
        <v>9.7238517625489997</v>
      </c>
      <c r="Y40" s="27">
        <v>3.0600715085023902</v>
      </c>
      <c r="Z40" s="27">
        <v>7.6603483998439801</v>
      </c>
      <c r="AA40" s="27">
        <v>1.89430084552147</v>
      </c>
      <c r="AB40" s="27">
        <v>11.3297174169897</v>
      </c>
      <c r="AC40" s="27">
        <v>2.2924569121111098</v>
      </c>
      <c r="AD40" s="27">
        <v>0.12906925857165599</v>
      </c>
      <c r="AE40" s="27">
        <v>0.76613031634376605</v>
      </c>
      <c r="AF40" s="27">
        <v>18.329631319349001</v>
      </c>
      <c r="AG40" s="27">
        <v>27.059684285596902</v>
      </c>
      <c r="AH40" s="27">
        <v>12.229920075956599</v>
      </c>
      <c r="AI40" s="27">
        <v>26.146397728668401</v>
      </c>
      <c r="AJ40" s="27">
        <v>160.79996536451901</v>
      </c>
      <c r="AK40" s="27">
        <v>19.443139226183298</v>
      </c>
      <c r="AL40" s="27">
        <v>129.33478521492501</v>
      </c>
      <c r="AM40" s="27">
        <v>42.087515023268601</v>
      </c>
      <c r="AN40" s="27">
        <v>630.19508175329804</v>
      </c>
      <c r="AO40" s="27">
        <v>71.112245054955494</v>
      </c>
      <c r="AP40" s="27">
        <v>296.187972775003</v>
      </c>
      <c r="AQ40" s="27">
        <v>920.64120417422805</v>
      </c>
      <c r="AR40" s="27">
        <v>1515.11608616544</v>
      </c>
      <c r="AS40" s="27">
        <v>758.92900932919895</v>
      </c>
      <c r="AT40" s="27">
        <v>43641.805272256497</v>
      </c>
      <c r="AU40" s="27">
        <v>435.35594858291699</v>
      </c>
      <c r="AV40" s="27">
        <v>645.55637918261095</v>
      </c>
      <c r="AW40" s="27">
        <v>11.961053845714799</v>
      </c>
      <c r="AX40" s="27">
        <v>0.88738858334292303</v>
      </c>
      <c r="AY40" s="27">
        <v>1.9537269198493901</v>
      </c>
      <c r="AZ40" s="27">
        <v>280.59637126227898</v>
      </c>
      <c r="BA40" s="27">
        <v>1.0075211170965299</v>
      </c>
      <c r="BB40" s="27">
        <v>0.28249451820646099</v>
      </c>
      <c r="BC40" s="27">
        <v>0.132235681497053</v>
      </c>
      <c r="BD40" s="27">
        <v>0.68878231405337398</v>
      </c>
      <c r="BE40" s="27">
        <v>4.6381488229788499E-2</v>
      </c>
      <c r="BF40" s="27">
        <v>0.40238049785081698</v>
      </c>
      <c r="BG40" s="27">
        <v>0.50401180506065002</v>
      </c>
      <c r="BH40" s="27">
        <v>1.6203747279331E-2</v>
      </c>
      <c r="BI40" s="27">
        <v>10.054802179103399</v>
      </c>
      <c r="BJ40" s="27">
        <v>57.6682956871106</v>
      </c>
      <c r="BK40" s="27">
        <v>5.3641192307834897</v>
      </c>
      <c r="BL40" s="27">
        <v>66.273402510402406</v>
      </c>
      <c r="BM40" s="27">
        <v>0.104554571310956</v>
      </c>
      <c r="BN40" s="27">
        <v>116.15755108332399</v>
      </c>
      <c r="BO40" s="27">
        <v>2.7526140617346699E-2</v>
      </c>
      <c r="BP40" s="27">
        <v>23.768104640227101</v>
      </c>
      <c r="BQ40" s="27">
        <v>1.4217415944938301</v>
      </c>
      <c r="BR40" s="27">
        <v>3.9953354036467902E-2</v>
      </c>
      <c r="BS40" s="27">
        <v>192.72116533276201</v>
      </c>
      <c r="BT40" s="27">
        <v>276.62157556759001</v>
      </c>
      <c r="BU40" s="27">
        <v>16.633541121822201</v>
      </c>
      <c r="BV40" s="27">
        <v>37.952173640629603</v>
      </c>
      <c r="BW40" s="27">
        <v>0.65749711706970404</v>
      </c>
      <c r="BX40" s="27">
        <v>7.3297820686152704E-2</v>
      </c>
      <c r="BY40" s="27">
        <v>0.16473780528648499</v>
      </c>
      <c r="BZ40" s="30">
        <v>0</v>
      </c>
      <c r="CA40" s="31">
        <v>50525</v>
      </c>
      <c r="CB40" s="31">
        <v>104934.424882465</v>
      </c>
    </row>
    <row r="41" spans="1:80" ht="15" customHeight="1" x14ac:dyDescent="0.3">
      <c r="A41" s="33" t="s">
        <v>59</v>
      </c>
      <c r="B41" s="11" t="s">
        <v>127</v>
      </c>
      <c r="C41" s="26">
        <v>252504.812427853</v>
      </c>
      <c r="D41" s="27">
        <v>78157.821846384293</v>
      </c>
      <c r="E41" s="27">
        <v>2376.3252174674399</v>
      </c>
      <c r="F41" s="27">
        <v>2763.3107258768</v>
      </c>
      <c r="G41" s="27">
        <v>2785.4217851540898</v>
      </c>
      <c r="H41" s="27">
        <v>22526.4908344781</v>
      </c>
      <c r="I41" s="27">
        <v>2624.34015779529</v>
      </c>
      <c r="J41" s="27">
        <v>30699.5635033043</v>
      </c>
      <c r="K41" s="28">
        <v>141271.101860697</v>
      </c>
      <c r="L41" s="29">
        <v>4.5603798890258602</v>
      </c>
      <c r="M41" s="27">
        <v>2.1935903644188901</v>
      </c>
      <c r="N41" s="27">
        <v>4.7524772849247103E-2</v>
      </c>
      <c r="O41" s="27">
        <v>3.7061277401428399</v>
      </c>
      <c r="P41" s="27">
        <v>3.3463293508280998</v>
      </c>
      <c r="Q41" s="27">
        <v>1.75932275647221</v>
      </c>
      <c r="R41" s="27">
        <v>0.82598323213557001</v>
      </c>
      <c r="S41" s="27">
        <v>34.901644275383298</v>
      </c>
      <c r="T41" s="27">
        <v>4.2846892377322501</v>
      </c>
      <c r="U41" s="27">
        <v>335.10110225051301</v>
      </c>
      <c r="V41" s="27">
        <v>6.6414814559041204</v>
      </c>
      <c r="W41" s="27">
        <v>0.50885125493951699</v>
      </c>
      <c r="X41" s="27">
        <v>1009.18867762166</v>
      </c>
      <c r="Y41" s="27">
        <v>534.13061808930604</v>
      </c>
      <c r="Z41" s="27">
        <v>48.647530941525901</v>
      </c>
      <c r="AA41" s="27">
        <v>334.04331808606702</v>
      </c>
      <c r="AB41" s="27">
        <v>183.98082632105999</v>
      </c>
      <c r="AC41" s="27">
        <v>262.07684051399002</v>
      </c>
      <c r="AD41" s="27">
        <v>15.2469852787804</v>
      </c>
      <c r="AE41" s="27">
        <v>2.0928073499692901</v>
      </c>
      <c r="AF41" s="27">
        <v>656.97133782864398</v>
      </c>
      <c r="AG41" s="27">
        <v>134.71929542547201</v>
      </c>
      <c r="AH41" s="27">
        <v>521.66407537090095</v>
      </c>
      <c r="AI41" s="27">
        <v>641.54935592606705</v>
      </c>
      <c r="AJ41" s="27">
        <v>2139.8674263738999</v>
      </c>
      <c r="AK41" s="27">
        <v>673.74568870686005</v>
      </c>
      <c r="AL41" s="27">
        <v>100.415861892377</v>
      </c>
      <c r="AM41" s="27">
        <v>240.83327813724301</v>
      </c>
      <c r="AN41" s="27">
        <v>1839.70357925644</v>
      </c>
      <c r="AO41" s="27">
        <v>899.66866728319997</v>
      </c>
      <c r="AP41" s="27">
        <v>332.919944654218</v>
      </c>
      <c r="AQ41" s="27">
        <v>1395.49315420317</v>
      </c>
      <c r="AR41" s="27">
        <v>22.319378026669899</v>
      </c>
      <c r="AS41" s="27">
        <v>97.971610990998201</v>
      </c>
      <c r="AT41" s="27">
        <v>435.35594858291699</v>
      </c>
      <c r="AU41" s="27">
        <v>96239.596863844301</v>
      </c>
      <c r="AV41" s="27">
        <v>97.316178458703206</v>
      </c>
      <c r="AW41" s="27">
        <v>19.623583750700799</v>
      </c>
      <c r="AX41" s="27">
        <v>0.99484678752028599</v>
      </c>
      <c r="AY41" s="27">
        <v>4.8626506124604596</v>
      </c>
      <c r="AZ41" s="27">
        <v>3271.03589123336</v>
      </c>
      <c r="BA41" s="27">
        <v>4.4368509267624097</v>
      </c>
      <c r="BB41" s="27">
        <v>1.25104715205718</v>
      </c>
      <c r="BC41" s="27">
        <v>0.57332189017049096</v>
      </c>
      <c r="BD41" s="27">
        <v>2.2582262490068299</v>
      </c>
      <c r="BE41" s="27">
        <v>0.19366924787789699</v>
      </c>
      <c r="BF41" s="27">
        <v>1.83673170951525</v>
      </c>
      <c r="BG41" s="27">
        <v>0.59197683187911099</v>
      </c>
      <c r="BH41" s="27">
        <v>6.6916648610206894E-2</v>
      </c>
      <c r="BI41" s="27">
        <v>3.6518676217180102</v>
      </c>
      <c r="BJ41" s="27">
        <v>14.4644208307847</v>
      </c>
      <c r="BK41" s="27">
        <v>13.3570394391734</v>
      </c>
      <c r="BL41" s="27">
        <v>293.496496831782</v>
      </c>
      <c r="BM41" s="27">
        <v>0.44756766796396702</v>
      </c>
      <c r="BN41" s="27">
        <v>30.013912666188499</v>
      </c>
      <c r="BO41" s="27">
        <v>0.116127367860216</v>
      </c>
      <c r="BP41" s="27">
        <v>7.3193171761156997</v>
      </c>
      <c r="BQ41" s="27">
        <v>2.3285265853603598</v>
      </c>
      <c r="BR41" s="27">
        <v>0.14936955382415801</v>
      </c>
      <c r="BS41" s="27">
        <v>51.450074753339102</v>
      </c>
      <c r="BT41" s="27">
        <v>60.842308150142898</v>
      </c>
      <c r="BU41" s="27">
        <v>4.2734526352601101</v>
      </c>
      <c r="BV41" s="27">
        <v>8.3251327442847796</v>
      </c>
      <c r="BW41" s="27">
        <v>0.73147464969357401</v>
      </c>
      <c r="BX41" s="27">
        <v>0.31119379365448602</v>
      </c>
      <c r="BY41" s="27">
        <v>0.59972874816264399</v>
      </c>
      <c r="BZ41" s="30">
        <v>0</v>
      </c>
      <c r="CA41" s="31">
        <v>113057</v>
      </c>
      <c r="CB41" s="31">
        <v>28214.101860697301</v>
      </c>
    </row>
    <row r="42" spans="1:80" ht="15" customHeight="1" x14ac:dyDescent="0.3">
      <c r="A42" s="33" t="s">
        <v>60</v>
      </c>
      <c r="B42" s="11" t="s">
        <v>128</v>
      </c>
      <c r="C42" s="26">
        <v>124055.904175064</v>
      </c>
      <c r="D42" s="27">
        <v>513.52087636943395</v>
      </c>
      <c r="E42" s="27">
        <v>61.979201666286698</v>
      </c>
      <c r="F42" s="27">
        <v>124.728368834883</v>
      </c>
      <c r="G42" s="27">
        <v>59.067898410493598</v>
      </c>
      <c r="H42" s="27">
        <v>156.63745996227701</v>
      </c>
      <c r="I42" s="27">
        <v>4729.1403839436298</v>
      </c>
      <c r="J42" s="27">
        <v>5069.5741111512798</v>
      </c>
      <c r="K42" s="28">
        <v>118410.829985877</v>
      </c>
      <c r="L42" s="29">
        <v>3.3905815549897397E-2</v>
      </c>
      <c r="M42" s="27">
        <v>2.0014963701237499E-2</v>
      </c>
      <c r="N42" s="27">
        <v>2.8688027446416801E-3</v>
      </c>
      <c r="O42" s="27">
        <v>9.9478128458264301</v>
      </c>
      <c r="P42" s="27">
        <v>34.527074781037697</v>
      </c>
      <c r="Q42" s="27">
        <v>1.2050461139427</v>
      </c>
      <c r="R42" s="27">
        <v>0.34575783174222702</v>
      </c>
      <c r="S42" s="27">
        <v>1.29307425853289</v>
      </c>
      <c r="T42" s="27">
        <v>3.6059452270960399</v>
      </c>
      <c r="U42" s="27">
        <v>4.7859019998177397</v>
      </c>
      <c r="V42" s="27">
        <v>2.43883081179822</v>
      </c>
      <c r="W42" s="27">
        <v>0.206645489614844</v>
      </c>
      <c r="X42" s="27">
        <v>2.7931398520571999</v>
      </c>
      <c r="Y42" s="27">
        <v>0.49822458787769802</v>
      </c>
      <c r="Z42" s="27">
        <v>0.59208675129963195</v>
      </c>
      <c r="AA42" s="27">
        <v>13.5554789899957</v>
      </c>
      <c r="AB42" s="27">
        <v>131.572280501872</v>
      </c>
      <c r="AC42" s="27">
        <v>0.97380718813992095</v>
      </c>
      <c r="AD42" s="27">
        <v>0.12870546164433799</v>
      </c>
      <c r="AE42" s="27">
        <v>37.925777577166201</v>
      </c>
      <c r="AF42" s="27">
        <v>28.8799449923022</v>
      </c>
      <c r="AG42" s="27">
        <v>3.8858811054126798</v>
      </c>
      <c r="AH42" s="27">
        <v>1.53361885019815</v>
      </c>
      <c r="AI42" s="27">
        <v>2.16814937339463</v>
      </c>
      <c r="AJ42" s="27">
        <v>57.505388715162802</v>
      </c>
      <c r="AK42" s="27">
        <v>160.656944638949</v>
      </c>
      <c r="AL42" s="27">
        <v>194.942436985547</v>
      </c>
      <c r="AM42" s="27">
        <v>29.044030014831598</v>
      </c>
      <c r="AN42" s="27">
        <v>493.21095599827299</v>
      </c>
      <c r="AO42" s="27">
        <v>560.79151794797599</v>
      </c>
      <c r="AP42" s="27">
        <v>1355.6512531117301</v>
      </c>
      <c r="AQ42" s="27">
        <v>3019.2645554375599</v>
      </c>
      <c r="AR42" s="27">
        <v>35.351444325457997</v>
      </c>
      <c r="AS42" s="27">
        <v>56.544628418066701</v>
      </c>
      <c r="AT42" s="27">
        <v>645.55637918261095</v>
      </c>
      <c r="AU42" s="27">
        <v>97.316178458703206</v>
      </c>
      <c r="AV42" s="27">
        <v>90007.208430742205</v>
      </c>
      <c r="AW42" s="27">
        <v>2.95944989596468</v>
      </c>
      <c r="AX42" s="27">
        <v>0.15532377361451399</v>
      </c>
      <c r="AY42" s="27">
        <v>1.13918104135283</v>
      </c>
      <c r="AZ42" s="27">
        <v>7584.0448276933903</v>
      </c>
      <c r="BA42" s="27">
        <v>0.79251933680550402</v>
      </c>
      <c r="BB42" s="27">
        <v>0.17073844506983901</v>
      </c>
      <c r="BC42" s="27">
        <v>9.1474523253854204E-2</v>
      </c>
      <c r="BD42" s="27">
        <v>0.60493096266811497</v>
      </c>
      <c r="BE42" s="27">
        <v>3.9059541741789598E-2</v>
      </c>
      <c r="BF42" s="27">
        <v>0.191738724920447</v>
      </c>
      <c r="BG42" s="27">
        <v>5.8445204897852203E-2</v>
      </c>
      <c r="BH42" s="27">
        <v>1.43442058111562E-2</v>
      </c>
      <c r="BI42" s="27">
        <v>1.0802482018397099</v>
      </c>
      <c r="BJ42" s="27">
        <v>4.4669912811547601</v>
      </c>
      <c r="BK42" s="27">
        <v>1.8921861357380401</v>
      </c>
      <c r="BL42" s="27">
        <v>40.055353165627899</v>
      </c>
      <c r="BM42" s="27">
        <v>7.7719660666180704E-2</v>
      </c>
      <c r="BN42" s="27">
        <v>8.6411686847155291</v>
      </c>
      <c r="BO42" s="27">
        <v>2.20625513798893E-2</v>
      </c>
      <c r="BP42" s="27">
        <v>3261.01652258686</v>
      </c>
      <c r="BQ42" s="27">
        <v>0.372506388537932</v>
      </c>
      <c r="BR42" s="27">
        <v>5.0051799358853101E-2</v>
      </c>
      <c r="BS42" s="27">
        <v>15.3592429908449</v>
      </c>
      <c r="BT42" s="27">
        <v>16.0594072270171</v>
      </c>
      <c r="BU42" s="27">
        <v>1.08727339479223</v>
      </c>
      <c r="BV42" s="27">
        <v>2.20029771221391</v>
      </c>
      <c r="BW42" s="27">
        <v>0.11435237819489601</v>
      </c>
      <c r="BX42" s="27">
        <v>5.6902908212063799E-2</v>
      </c>
      <c r="BY42" s="27">
        <v>0.221561433470298</v>
      </c>
      <c r="BZ42" s="30">
        <v>0</v>
      </c>
      <c r="CA42" s="31">
        <v>107939</v>
      </c>
      <c r="CB42" s="31">
        <v>10471.829985877501</v>
      </c>
    </row>
    <row r="43" spans="1:80" ht="15" customHeight="1" x14ac:dyDescent="0.3">
      <c r="A43" s="33" t="s">
        <v>61</v>
      </c>
      <c r="B43" s="11" t="s">
        <v>129</v>
      </c>
      <c r="C43" s="26">
        <v>558516.76980556594</v>
      </c>
      <c r="D43" s="27">
        <v>1628.09265053331</v>
      </c>
      <c r="E43" s="27">
        <v>0</v>
      </c>
      <c r="F43" s="27">
        <v>0</v>
      </c>
      <c r="G43" s="27">
        <v>0</v>
      </c>
      <c r="H43" s="27">
        <v>71930.2026012735</v>
      </c>
      <c r="I43" s="27">
        <v>13446.8856519733</v>
      </c>
      <c r="J43" s="27">
        <v>85377.088253246897</v>
      </c>
      <c r="K43" s="28">
        <v>471511.58890178602</v>
      </c>
      <c r="L43" s="29">
        <v>7.1899100467894801</v>
      </c>
      <c r="M43" s="27">
        <v>4.14632849324056</v>
      </c>
      <c r="N43" s="27">
        <v>0.52931853105198601</v>
      </c>
      <c r="O43" s="27">
        <v>2.30041773314076</v>
      </c>
      <c r="P43" s="27">
        <v>25.455257545539499</v>
      </c>
      <c r="Q43" s="27">
        <v>2.0229243071362801</v>
      </c>
      <c r="R43" s="27">
        <v>8.5196181432694904E-2</v>
      </c>
      <c r="S43" s="27">
        <v>15.273635992866801</v>
      </c>
      <c r="T43" s="27">
        <v>10.944493643762501</v>
      </c>
      <c r="U43" s="27">
        <v>50.275357464312201</v>
      </c>
      <c r="V43" s="27">
        <v>59.684217740143602</v>
      </c>
      <c r="W43" s="27">
        <v>0.96231442377777798</v>
      </c>
      <c r="X43" s="27">
        <v>20.8391124071</v>
      </c>
      <c r="Y43" s="27">
        <v>5.6692514944451</v>
      </c>
      <c r="Z43" s="27">
        <v>3.6562551474542402</v>
      </c>
      <c r="AA43" s="27">
        <v>46.248177212543098</v>
      </c>
      <c r="AB43" s="27">
        <v>104.358197960992</v>
      </c>
      <c r="AC43" s="27">
        <v>62.755623818361698</v>
      </c>
      <c r="AD43" s="27">
        <v>14.736871120463601</v>
      </c>
      <c r="AE43" s="27">
        <v>3.9408358608595999</v>
      </c>
      <c r="AF43" s="27">
        <v>157.97574343111799</v>
      </c>
      <c r="AG43" s="27">
        <v>78.641462814651206</v>
      </c>
      <c r="AH43" s="27">
        <v>5.3026638419390002</v>
      </c>
      <c r="AI43" s="27">
        <v>31.022843839120199</v>
      </c>
      <c r="AJ43" s="27">
        <v>119.44231367238</v>
      </c>
      <c r="AK43" s="27">
        <v>75.7862293271032</v>
      </c>
      <c r="AL43" s="27">
        <v>131.86181548978499</v>
      </c>
      <c r="AM43" s="27">
        <v>151.99531859173001</v>
      </c>
      <c r="AN43" s="27">
        <v>107.37900268518401</v>
      </c>
      <c r="AO43" s="27">
        <v>15.698395628244199</v>
      </c>
      <c r="AP43" s="27">
        <v>69.363902803814895</v>
      </c>
      <c r="AQ43" s="27">
        <v>20.748712220886802</v>
      </c>
      <c r="AR43" s="27">
        <v>18.3649966611226</v>
      </c>
      <c r="AS43" s="27">
        <v>55.887621179881997</v>
      </c>
      <c r="AT43" s="27">
        <v>11.961053845714799</v>
      </c>
      <c r="AU43" s="27">
        <v>19.623583750700799</v>
      </c>
      <c r="AV43" s="27">
        <v>2.95944989596468</v>
      </c>
      <c r="AW43" s="27">
        <v>442163.45156041603</v>
      </c>
      <c r="AX43" s="27">
        <v>26.953934363697499</v>
      </c>
      <c r="AY43" s="27">
        <v>148.733664714009</v>
      </c>
      <c r="AZ43" s="27">
        <v>430.19094793815799</v>
      </c>
      <c r="BA43" s="27">
        <v>120.90376958049499</v>
      </c>
      <c r="BB43" s="27">
        <v>39.654779951311298</v>
      </c>
      <c r="BC43" s="27">
        <v>17.391807788090102</v>
      </c>
      <c r="BD43" s="27">
        <v>62.386348203890002</v>
      </c>
      <c r="BE43" s="27">
        <v>5.39335217431102</v>
      </c>
      <c r="BF43" s="27">
        <v>61.698075449191201</v>
      </c>
      <c r="BG43" s="27">
        <v>6.1792530237573899</v>
      </c>
      <c r="BH43" s="27">
        <v>1.8134355338563699</v>
      </c>
      <c r="BI43" s="27">
        <v>34.032089891896199</v>
      </c>
      <c r="BJ43" s="27">
        <v>46.485817693927302</v>
      </c>
      <c r="BK43" s="27">
        <v>407.15542968972102</v>
      </c>
      <c r="BL43" s="27">
        <v>9303.0378425041908</v>
      </c>
      <c r="BM43" s="27">
        <v>13.204593240221699</v>
      </c>
      <c r="BN43" s="27">
        <v>94.368208124947898</v>
      </c>
      <c r="BO43" s="27">
        <v>3.3141195550604801</v>
      </c>
      <c r="BP43" s="27">
        <v>105.80144250646001</v>
      </c>
      <c r="BQ43" s="27">
        <v>65.977474830362894</v>
      </c>
      <c r="BR43" s="27">
        <v>2.9834280217885398</v>
      </c>
      <c r="BS43" s="27">
        <v>829.10641361665705</v>
      </c>
      <c r="BT43" s="27">
        <v>111.780416355691</v>
      </c>
      <c r="BU43" s="27">
        <v>24.753303105248001</v>
      </c>
      <c r="BV43" s="27">
        <v>14.601489766716099</v>
      </c>
      <c r="BW43" s="27">
        <v>19.783469048985101</v>
      </c>
      <c r="BX43" s="27">
        <v>9.0120688663018491</v>
      </c>
      <c r="BY43" s="27">
        <v>10.7626572399802</v>
      </c>
      <c r="BZ43" s="30">
        <v>0</v>
      </c>
      <c r="CA43" s="31">
        <v>455696</v>
      </c>
      <c r="CB43" s="31">
        <v>15815.588901786299</v>
      </c>
    </row>
    <row r="44" spans="1:80" ht="15" customHeight="1" x14ac:dyDescent="0.3">
      <c r="A44" s="33" t="s">
        <v>62</v>
      </c>
      <c r="B44" s="11" t="s">
        <v>130</v>
      </c>
      <c r="C44" s="26">
        <v>113572.298520521</v>
      </c>
      <c r="D44" s="27">
        <v>2539.7949564484402</v>
      </c>
      <c r="E44" s="27">
        <v>-118.268628276733</v>
      </c>
      <c r="F44" s="27">
        <v>0</v>
      </c>
      <c r="G44" s="27">
        <v>0</v>
      </c>
      <c r="H44" s="27">
        <v>321.04885059628998</v>
      </c>
      <c r="I44" s="27">
        <v>3715.38404295793</v>
      </c>
      <c r="J44" s="27">
        <v>4036.4328935542198</v>
      </c>
      <c r="K44" s="28">
        <v>107114.33929879501</v>
      </c>
      <c r="L44" s="29">
        <v>0.34052728810925598</v>
      </c>
      <c r="M44" s="27">
        <v>0.196377699891227</v>
      </c>
      <c r="N44" s="27">
        <v>2.5069493603135401E-2</v>
      </c>
      <c r="O44" s="27">
        <v>0.11254060893309301</v>
      </c>
      <c r="P44" s="27">
        <v>1.2255611714102601</v>
      </c>
      <c r="Q44" s="27">
        <v>0.16034689603977501</v>
      </c>
      <c r="R44" s="27">
        <v>7.4106867878041298E-3</v>
      </c>
      <c r="S44" s="27">
        <v>0.77629189152860101</v>
      </c>
      <c r="T44" s="27">
        <v>0.55540866830722002</v>
      </c>
      <c r="U44" s="27">
        <v>2.3795149768646899</v>
      </c>
      <c r="V44" s="27">
        <v>2.7985490026737998</v>
      </c>
      <c r="W44" s="27">
        <v>6.9867172777581005E-2</v>
      </c>
      <c r="X44" s="27">
        <v>0.99892847173553201</v>
      </c>
      <c r="Y44" s="27">
        <v>0.29131436627194401</v>
      </c>
      <c r="Z44" s="27">
        <v>0.28491972766805901</v>
      </c>
      <c r="AA44" s="27">
        <v>2.2069120282080199</v>
      </c>
      <c r="AB44" s="27">
        <v>4.98367883939558</v>
      </c>
      <c r="AC44" s="27">
        <v>2.9726200322277099</v>
      </c>
      <c r="AD44" s="27">
        <v>0.69776757195393602</v>
      </c>
      <c r="AE44" s="27">
        <v>0.18384295308966001</v>
      </c>
      <c r="AF44" s="27">
        <v>7.6998171767504502</v>
      </c>
      <c r="AG44" s="27">
        <v>4.11442755878877</v>
      </c>
      <c r="AH44" s="27">
        <v>0.40774357518068399</v>
      </c>
      <c r="AI44" s="27">
        <v>1.8589828894459799</v>
      </c>
      <c r="AJ44" s="27">
        <v>5.8554055485413903</v>
      </c>
      <c r="AK44" s="27">
        <v>3.8341139941870401</v>
      </c>
      <c r="AL44" s="27">
        <v>6.36056329208267</v>
      </c>
      <c r="AM44" s="27">
        <v>7.2297597536241502</v>
      </c>
      <c r="AN44" s="27">
        <v>5.1540895169630696</v>
      </c>
      <c r="AO44" s="27">
        <v>1.07134784686214</v>
      </c>
      <c r="AP44" s="27">
        <v>3.5454680954960698</v>
      </c>
      <c r="AQ44" s="27">
        <v>1.3801586361943099</v>
      </c>
      <c r="AR44" s="27">
        <v>1.34506706151912</v>
      </c>
      <c r="AS44" s="27">
        <v>2.9702390949664399</v>
      </c>
      <c r="AT44" s="27">
        <v>0.88738858334292303</v>
      </c>
      <c r="AU44" s="27">
        <v>0.99484678752028599</v>
      </c>
      <c r="AV44" s="27">
        <v>0.15532377361451399</v>
      </c>
      <c r="AW44" s="27">
        <v>26.953934363697499</v>
      </c>
      <c r="AX44" s="27">
        <v>98645.205748734603</v>
      </c>
      <c r="AY44" s="27">
        <v>7.0548987148417899</v>
      </c>
      <c r="AZ44" s="27">
        <v>8.2392997954174092</v>
      </c>
      <c r="BA44" s="27">
        <v>422.33668310504498</v>
      </c>
      <c r="BB44" s="27">
        <v>37.354618784533599</v>
      </c>
      <c r="BC44" s="27">
        <v>0.82311503996961299</v>
      </c>
      <c r="BD44" s="27">
        <v>5.0370475335271996</v>
      </c>
      <c r="BE44" s="27">
        <v>0.25487318496521</v>
      </c>
      <c r="BF44" s="27">
        <v>2.9247742536991299</v>
      </c>
      <c r="BG44" s="27">
        <v>0.29961599987670101</v>
      </c>
      <c r="BH44" s="27">
        <v>8.5654103144046007E-2</v>
      </c>
      <c r="BI44" s="27">
        <v>1.74876398064132</v>
      </c>
      <c r="BJ44" s="27">
        <v>3.0710131019769502</v>
      </c>
      <c r="BK44" s="27">
        <v>19.322285867002002</v>
      </c>
      <c r="BL44" s="27">
        <v>440.60888482190597</v>
      </c>
      <c r="BM44" s="27">
        <v>0.624648215611457</v>
      </c>
      <c r="BN44" s="27">
        <v>6.2596162629268601</v>
      </c>
      <c r="BO44" s="27">
        <v>0.156684335019596</v>
      </c>
      <c r="BP44" s="27">
        <v>5.0459504149018599</v>
      </c>
      <c r="BQ44" s="27">
        <v>3.1381919258697502</v>
      </c>
      <c r="BR44" s="27">
        <v>0.13997133928417299</v>
      </c>
      <c r="BS44" s="27">
        <v>7360.9705289421199</v>
      </c>
      <c r="BT44" s="27">
        <v>9.6224574812413994</v>
      </c>
      <c r="BU44" s="27">
        <v>1.42831380939205</v>
      </c>
      <c r="BV44" s="27">
        <v>1.28548533635482</v>
      </c>
      <c r="BW44" s="27">
        <v>0.94508743208718404</v>
      </c>
      <c r="BX44" s="27">
        <v>0.42618139125330201</v>
      </c>
      <c r="BY44" s="27">
        <v>0.50347899652963601</v>
      </c>
      <c r="BZ44" s="30">
        <v>0</v>
      </c>
      <c r="CA44" s="31">
        <v>107088</v>
      </c>
      <c r="CB44" s="31">
        <v>26.3392987949969</v>
      </c>
    </row>
    <row r="45" spans="1:80" ht="15" customHeight="1" x14ac:dyDescent="0.3">
      <c r="A45" s="33" t="s">
        <v>63</v>
      </c>
      <c r="B45" s="11" t="s">
        <v>131</v>
      </c>
      <c r="C45" s="26">
        <v>746443.85442697594</v>
      </c>
      <c r="D45" s="27">
        <v>8.0440292294884799</v>
      </c>
      <c r="E45" s="27">
        <v>0.58051984090278397</v>
      </c>
      <c r="F45" s="27">
        <v>0.43844232725927301</v>
      </c>
      <c r="G45" s="27">
        <v>0.124317824438072</v>
      </c>
      <c r="H45" s="27">
        <v>1.10998057533993E-3</v>
      </c>
      <c r="I45" s="27">
        <v>37586.148231446299</v>
      </c>
      <c r="J45" s="27">
        <v>37586.712101578603</v>
      </c>
      <c r="K45" s="28">
        <v>708848.51777632697</v>
      </c>
      <c r="L45" s="29">
        <v>3002.0436421529398</v>
      </c>
      <c r="M45" s="27">
        <v>5497.2756128988003</v>
      </c>
      <c r="N45" s="27">
        <v>397.80954648481003</v>
      </c>
      <c r="O45" s="27">
        <v>0.58900984575949999</v>
      </c>
      <c r="P45" s="27">
        <v>34998.191748106299</v>
      </c>
      <c r="Q45" s="27">
        <v>1597.3060090839299</v>
      </c>
      <c r="R45" s="27">
        <v>7.1989528795811499E-3</v>
      </c>
      <c r="S45" s="27">
        <v>3.5362832834155702</v>
      </c>
      <c r="T45" s="27">
        <v>2.66933984082663</v>
      </c>
      <c r="U45" s="27">
        <v>12.288970236823801</v>
      </c>
      <c r="V45" s="27">
        <v>15.5453588777033</v>
      </c>
      <c r="W45" s="27">
        <v>0.13502682343250799</v>
      </c>
      <c r="X45" s="27">
        <v>5.4122678209476298</v>
      </c>
      <c r="Y45" s="27">
        <v>1.36707848178296</v>
      </c>
      <c r="Z45" s="27">
        <v>0.45905934348285099</v>
      </c>
      <c r="AA45" s="27">
        <v>12.102111413674001</v>
      </c>
      <c r="AB45" s="27">
        <v>27.309718557574001</v>
      </c>
      <c r="AC45" s="27">
        <v>16.5107330227112</v>
      </c>
      <c r="AD45" s="27">
        <v>3.8821250366891702</v>
      </c>
      <c r="AE45" s="27">
        <v>1.0228353390079199</v>
      </c>
      <c r="AF45" s="27">
        <v>40.558878125878799</v>
      </c>
      <c r="AG45" s="27">
        <v>19.683648406474699</v>
      </c>
      <c r="AH45" s="27">
        <v>0.70309195573634198</v>
      </c>
      <c r="AI45" s="27">
        <v>6.4012483537896303</v>
      </c>
      <c r="AJ45" s="27">
        <v>30.553930636711002</v>
      </c>
      <c r="AK45" s="27">
        <v>18.8442290817949</v>
      </c>
      <c r="AL45" s="27">
        <v>34.5526875290631</v>
      </c>
      <c r="AM45" s="27">
        <v>39.966429029994799</v>
      </c>
      <c r="AN45" s="27">
        <v>28.324964704545799</v>
      </c>
      <c r="AO45" s="27">
        <v>2.5015954367528002</v>
      </c>
      <c r="AP45" s="27">
        <v>17.1292944966855</v>
      </c>
      <c r="AQ45" s="27">
        <v>49.484456618669498</v>
      </c>
      <c r="AR45" s="27">
        <v>2.6947883439514402</v>
      </c>
      <c r="AS45" s="27">
        <v>13.6613792868626</v>
      </c>
      <c r="AT45" s="27">
        <v>1.9537269198493901</v>
      </c>
      <c r="AU45" s="27">
        <v>4.8626506124604596</v>
      </c>
      <c r="AV45" s="27">
        <v>1.13918104135283</v>
      </c>
      <c r="AW45" s="27">
        <v>148.733664714009</v>
      </c>
      <c r="AX45" s="27">
        <v>7.0548987148417899</v>
      </c>
      <c r="AY45" s="27">
        <v>654315.21036650694</v>
      </c>
      <c r="AZ45" s="27">
        <v>113.483434635785</v>
      </c>
      <c r="BA45" s="27">
        <v>31.8125036689169</v>
      </c>
      <c r="BB45" s="27">
        <v>10.449192838274101</v>
      </c>
      <c r="BC45" s="27">
        <v>4.5795127678309404</v>
      </c>
      <c r="BD45" s="27">
        <v>16.435104197240999</v>
      </c>
      <c r="BE45" s="27">
        <v>1.4180217199882601</v>
      </c>
      <c r="BF45" s="27">
        <v>27.972117074426102</v>
      </c>
      <c r="BG45" s="27">
        <v>1.5957978799422801</v>
      </c>
      <c r="BH45" s="27">
        <v>0.47654828294687401</v>
      </c>
      <c r="BI45" s="27">
        <v>8.2321046751606293</v>
      </c>
      <c r="BJ45" s="27">
        <v>8.2502076875911499</v>
      </c>
      <c r="BK45" s="27">
        <v>118.971219849381</v>
      </c>
      <c r="BL45" s="27">
        <v>2452.3824253627999</v>
      </c>
      <c r="BM45" s="27">
        <v>3.4753155268564702</v>
      </c>
      <c r="BN45" s="27">
        <v>17.046361932700901</v>
      </c>
      <c r="BO45" s="27">
        <v>0.871734663927209</v>
      </c>
      <c r="BP45" s="27">
        <v>1058.2710321280799</v>
      </c>
      <c r="BQ45" s="27">
        <v>17.3143517657671</v>
      </c>
      <c r="BR45" s="27">
        <v>0.77874963310830603</v>
      </c>
      <c r="BS45" s="27">
        <v>40.123957751183802</v>
      </c>
      <c r="BT45" s="27">
        <v>10.585116606248</v>
      </c>
      <c r="BU45" s="27">
        <v>5.3880750979274303</v>
      </c>
      <c r="BV45" s="27">
        <v>1.25835087754346</v>
      </c>
      <c r="BW45" s="27">
        <v>5.1776849172553598</v>
      </c>
      <c r="BX45" s="27">
        <v>2.3711182858820101</v>
      </c>
      <c r="BY45" s="27">
        <v>2.8011740534194298</v>
      </c>
      <c r="BZ45" s="30">
        <v>0</v>
      </c>
      <c r="CA45" s="31">
        <v>704341</v>
      </c>
      <c r="CB45" s="31">
        <v>4507.5177763267502</v>
      </c>
    </row>
    <row r="46" spans="1:80" ht="15" customHeight="1" x14ac:dyDescent="0.3">
      <c r="A46" s="33" t="s">
        <v>64</v>
      </c>
      <c r="B46" s="11" t="s">
        <v>132</v>
      </c>
      <c r="C46" s="26">
        <v>391230.100595475</v>
      </c>
      <c r="D46" s="27">
        <v>-1330349.8290605301</v>
      </c>
      <c r="E46" s="27">
        <v>1354.3504317555601</v>
      </c>
      <c r="F46" s="27">
        <v>817.82449703560405</v>
      </c>
      <c r="G46" s="27">
        <v>775.50061389311202</v>
      </c>
      <c r="H46" s="27">
        <v>14540.753949882799</v>
      </c>
      <c r="I46" s="27">
        <v>8247.2642747291302</v>
      </c>
      <c r="J46" s="27">
        <v>24381.343335540601</v>
      </c>
      <c r="K46" s="28">
        <v>1695844.23588871</v>
      </c>
      <c r="L46" s="29">
        <v>405.96583046953998</v>
      </c>
      <c r="M46" s="27">
        <v>96.790488976541297</v>
      </c>
      <c r="N46" s="27">
        <v>20.745128512548501</v>
      </c>
      <c r="O46" s="27">
        <v>320.97699006720597</v>
      </c>
      <c r="P46" s="27">
        <v>361.868880126519</v>
      </c>
      <c r="Q46" s="27">
        <v>5.8871313817796702</v>
      </c>
      <c r="R46" s="27">
        <v>8.1398956665460798</v>
      </c>
      <c r="S46" s="27">
        <v>16450.863151272399</v>
      </c>
      <c r="T46" s="27">
        <v>986.11947170438395</v>
      </c>
      <c r="U46" s="27">
        <v>52202.798079024498</v>
      </c>
      <c r="V46" s="27">
        <v>5586.6514640318601</v>
      </c>
      <c r="W46" s="27">
        <v>140.17949962839501</v>
      </c>
      <c r="X46" s="27">
        <v>363.88794955076702</v>
      </c>
      <c r="Y46" s="27">
        <v>1674.9752910633899</v>
      </c>
      <c r="Z46" s="27">
        <v>266.96712929678199</v>
      </c>
      <c r="AA46" s="27">
        <v>466.78133849814299</v>
      </c>
      <c r="AB46" s="27">
        <v>562.58984189850696</v>
      </c>
      <c r="AC46" s="27">
        <v>420.07524851801202</v>
      </c>
      <c r="AD46" s="27">
        <v>3929.5462412145198</v>
      </c>
      <c r="AE46" s="27">
        <v>1738.56345643537</v>
      </c>
      <c r="AF46" s="27">
        <v>3661.2521666572002</v>
      </c>
      <c r="AG46" s="27">
        <v>1206.0792580289401</v>
      </c>
      <c r="AH46" s="27">
        <v>581.23068170209899</v>
      </c>
      <c r="AI46" s="27">
        <v>12283.266016780701</v>
      </c>
      <c r="AJ46" s="27">
        <v>2415.3136617980399</v>
      </c>
      <c r="AK46" s="27">
        <v>1835.28355563031</v>
      </c>
      <c r="AL46" s="27">
        <v>298.98127305511002</v>
      </c>
      <c r="AM46" s="27">
        <v>1014.36741765797</v>
      </c>
      <c r="AN46" s="27">
        <v>2422.5285177506198</v>
      </c>
      <c r="AO46" s="27">
        <v>5692.3338924296504</v>
      </c>
      <c r="AP46" s="27">
        <v>1629.87444778591</v>
      </c>
      <c r="AQ46" s="27">
        <v>3494.98825217065</v>
      </c>
      <c r="AR46" s="27">
        <v>930.02748585350002</v>
      </c>
      <c r="AS46" s="27">
        <v>2287.71322830912</v>
      </c>
      <c r="AT46" s="27">
        <v>280.59637126227898</v>
      </c>
      <c r="AU46" s="27">
        <v>3271.03589123336</v>
      </c>
      <c r="AV46" s="27">
        <v>7584.0448276933903</v>
      </c>
      <c r="AW46" s="27">
        <v>430.19094793815799</v>
      </c>
      <c r="AX46" s="27">
        <v>8.2392997954174092</v>
      </c>
      <c r="AY46" s="27">
        <v>113.483434635785</v>
      </c>
      <c r="AZ46" s="27">
        <v>1497148.3185626001</v>
      </c>
      <c r="BA46" s="27">
        <v>2134.7674299361202</v>
      </c>
      <c r="BB46" s="27">
        <v>103.33787021285301</v>
      </c>
      <c r="BC46" s="27">
        <v>68.371254543219393</v>
      </c>
      <c r="BD46" s="27">
        <v>2288.0644994477302</v>
      </c>
      <c r="BE46" s="27">
        <v>62.597048958391099</v>
      </c>
      <c r="BF46" s="27">
        <v>3812.8530964977799</v>
      </c>
      <c r="BG46" s="27">
        <v>27.815672201707802</v>
      </c>
      <c r="BH46" s="27">
        <v>25.7355924938817</v>
      </c>
      <c r="BI46" s="27">
        <v>1528.25397716713</v>
      </c>
      <c r="BJ46" s="27">
        <v>3735.8690606914502</v>
      </c>
      <c r="BK46" s="27">
        <v>157.840638853624</v>
      </c>
      <c r="BL46" s="27">
        <v>2213.2403321880602</v>
      </c>
      <c r="BM46" s="27">
        <v>1867.49341843564</v>
      </c>
      <c r="BN46" s="27">
        <v>294.722119782535</v>
      </c>
      <c r="BO46" s="27">
        <v>498.35873172167402</v>
      </c>
      <c r="BP46" s="27">
        <v>5912.0327761446597</v>
      </c>
      <c r="BQ46" s="27">
        <v>715.23013459515698</v>
      </c>
      <c r="BR46" s="27">
        <v>144.74887667037899</v>
      </c>
      <c r="BS46" s="27">
        <v>761.51544254656801</v>
      </c>
      <c r="BT46" s="27">
        <v>254.73154594159399</v>
      </c>
      <c r="BU46" s="27">
        <v>223.50583572379699</v>
      </c>
      <c r="BV46" s="27">
        <v>33.965490885944803</v>
      </c>
      <c r="BW46" s="27">
        <v>5.1227485550546401</v>
      </c>
      <c r="BX46" s="27">
        <v>77.9914117020368</v>
      </c>
      <c r="BY46" s="27">
        <v>6654.3132959972199</v>
      </c>
      <c r="BZ46" s="30">
        <v>0</v>
      </c>
      <c r="CA46" s="31">
        <v>1668202</v>
      </c>
      <c r="CB46" s="31">
        <v>27642.235888711701</v>
      </c>
    </row>
    <row r="47" spans="1:80" ht="15" customHeight="1" x14ac:dyDescent="0.3">
      <c r="A47" s="33" t="s">
        <v>65</v>
      </c>
      <c r="B47" s="11" t="s">
        <v>133</v>
      </c>
      <c r="C47" s="26">
        <v>440025.56096033199</v>
      </c>
      <c r="D47" s="27">
        <v>-772.41168819779296</v>
      </c>
      <c r="E47" s="27">
        <v>-102960.00690686599</v>
      </c>
      <c r="F47" s="27">
        <v>1.7691644900274399</v>
      </c>
      <c r="G47" s="27">
        <v>1.00691382208423</v>
      </c>
      <c r="H47" s="27">
        <v>11639.3383475461</v>
      </c>
      <c r="I47" s="27">
        <v>13671.1542175412</v>
      </c>
      <c r="J47" s="27">
        <v>25313.2686433993</v>
      </c>
      <c r="K47" s="28">
        <v>518444.71091199701</v>
      </c>
      <c r="L47" s="29">
        <v>9.7467162633922193</v>
      </c>
      <c r="M47" s="27">
        <v>17.5805529878516</v>
      </c>
      <c r="N47" s="27">
        <v>198.904449929805</v>
      </c>
      <c r="O47" s="27">
        <v>0.49062923699598299</v>
      </c>
      <c r="P47" s="27">
        <v>5.3493395949515703</v>
      </c>
      <c r="Q47" s="27">
        <v>9.4511300264162004E-2</v>
      </c>
      <c r="R47" s="27">
        <v>3.5360529909912999E-3</v>
      </c>
      <c r="S47" s="27">
        <v>5.20281055077528</v>
      </c>
      <c r="T47" s="27">
        <v>48.248311088948398</v>
      </c>
      <c r="U47" s="27">
        <v>69.142129433150501</v>
      </c>
      <c r="V47" s="27">
        <v>14.7809539526042</v>
      </c>
      <c r="W47" s="27">
        <v>0.14984449763837401</v>
      </c>
      <c r="X47" s="27">
        <v>4.6772279136990802</v>
      </c>
      <c r="Y47" s="27">
        <v>1.2533796226876299</v>
      </c>
      <c r="Z47" s="27">
        <v>0.33447425035007899</v>
      </c>
      <c r="AA47" s="27">
        <v>9.9092198361248993</v>
      </c>
      <c r="AB47" s="27">
        <v>22.387859496234601</v>
      </c>
      <c r="AC47" s="27">
        <v>13.689202426698101</v>
      </c>
      <c r="AD47" s="27">
        <v>3.16964295645665</v>
      </c>
      <c r="AE47" s="27">
        <v>117.01249182356401</v>
      </c>
      <c r="AF47" s="27">
        <v>34.466760619156901</v>
      </c>
      <c r="AG47" s="27">
        <v>15.3955905766701</v>
      </c>
      <c r="AH47" s="27">
        <v>1.0582444483997</v>
      </c>
      <c r="AI47" s="27">
        <v>5.1685019574837501</v>
      </c>
      <c r="AJ47" s="27">
        <v>65.275448169102603</v>
      </c>
      <c r="AK47" s="27">
        <v>15.3987014853868</v>
      </c>
      <c r="AL47" s="27">
        <v>74.291757536024406</v>
      </c>
      <c r="AM47" s="27">
        <v>32.9399507775885</v>
      </c>
      <c r="AN47" s="27">
        <v>24.363071949149401</v>
      </c>
      <c r="AO47" s="27">
        <v>2.9300179437660798</v>
      </c>
      <c r="AP47" s="27">
        <v>14.1067425729901</v>
      </c>
      <c r="AQ47" s="27">
        <v>3.42423155661933</v>
      </c>
      <c r="AR47" s="27">
        <v>1.9265658650400901</v>
      </c>
      <c r="AS47" s="27">
        <v>10.996984709006799</v>
      </c>
      <c r="AT47" s="27">
        <v>1.0075211170965299</v>
      </c>
      <c r="AU47" s="27">
        <v>4.4368509267624097</v>
      </c>
      <c r="AV47" s="27">
        <v>0.79251933680550402</v>
      </c>
      <c r="AW47" s="27">
        <v>120.90376958049499</v>
      </c>
      <c r="AX47" s="27">
        <v>422.33668310504498</v>
      </c>
      <c r="AY47" s="27">
        <v>31.8125036689169</v>
      </c>
      <c r="AZ47" s="27">
        <v>2134.7674299361202</v>
      </c>
      <c r="BA47" s="27">
        <v>448865.70141462103</v>
      </c>
      <c r="BB47" s="27">
        <v>30895.843193714802</v>
      </c>
      <c r="BC47" s="27">
        <v>3.7626418133088899</v>
      </c>
      <c r="BD47" s="27">
        <v>5763.6924993398397</v>
      </c>
      <c r="BE47" s="27">
        <v>1.19016641962819</v>
      </c>
      <c r="BF47" s="27">
        <v>13.058315440424099</v>
      </c>
      <c r="BG47" s="27">
        <v>1.2994978955565699</v>
      </c>
      <c r="BH47" s="27">
        <v>0.40281922737735998</v>
      </c>
      <c r="BI47" s="27">
        <v>7.3520572726561797</v>
      </c>
      <c r="BJ47" s="27">
        <v>6.5712671039800901</v>
      </c>
      <c r="BK47" s="27">
        <v>87.0354564132668</v>
      </c>
      <c r="BL47" s="27">
        <v>1993.3000293513401</v>
      </c>
      <c r="BM47" s="27">
        <v>2.8748032776071599</v>
      </c>
      <c r="BN47" s="27">
        <v>10.929608515743301</v>
      </c>
      <c r="BO47" s="27">
        <v>11381.872431184</v>
      </c>
      <c r="BP47" s="27">
        <v>40.501080404513303</v>
      </c>
      <c r="BQ47" s="27">
        <v>26.022643133336501</v>
      </c>
      <c r="BR47" s="27">
        <v>0.72044835221433801</v>
      </c>
      <c r="BS47" s="27">
        <v>3546.47305501252</v>
      </c>
      <c r="BT47" s="27">
        <v>1.93576464788654</v>
      </c>
      <c r="BU47" s="27">
        <v>4.0648830757002496</v>
      </c>
      <c r="BV47" s="27">
        <v>9.4511300264161994E-3</v>
      </c>
      <c r="BW47" s="27">
        <v>4.1963017317287896</v>
      </c>
      <c r="BX47" s="27">
        <v>142.57454604367601</v>
      </c>
      <c r="BY47" s="27">
        <v>2.6884938254864599</v>
      </c>
      <c r="BZ47" s="30">
        <v>0</v>
      </c>
      <c r="CA47" s="31">
        <v>506364</v>
      </c>
      <c r="CB47" s="31">
        <v>12080.710911996801</v>
      </c>
    </row>
    <row r="48" spans="1:80" ht="15" customHeight="1" x14ac:dyDescent="0.3">
      <c r="A48" s="33" t="s">
        <v>66</v>
      </c>
      <c r="B48" s="11" t="s">
        <v>134</v>
      </c>
      <c r="C48" s="26">
        <v>28289.573390099999</v>
      </c>
      <c r="D48" s="27">
        <v>0</v>
      </c>
      <c r="E48" s="27">
        <v>-8768.2182371744002</v>
      </c>
      <c r="F48" s="27">
        <v>0</v>
      </c>
      <c r="G48" s="27">
        <v>0</v>
      </c>
      <c r="H48" s="27">
        <v>342.62826292570799</v>
      </c>
      <c r="I48" s="27">
        <v>1133.59541294015</v>
      </c>
      <c r="J48" s="27">
        <v>1476.2236758658601</v>
      </c>
      <c r="K48" s="28">
        <v>35581.567951408499</v>
      </c>
      <c r="L48" s="29">
        <v>0.50600666447970399</v>
      </c>
      <c r="M48" s="27">
        <v>0.29180752430117901</v>
      </c>
      <c r="N48" s="27">
        <v>3.7252024378873899E-2</v>
      </c>
      <c r="O48" s="27">
        <v>0.155216768245308</v>
      </c>
      <c r="P48" s="27">
        <v>1.7570538165368901</v>
      </c>
      <c r="Q48" s="27">
        <v>3.1043353649061599E-2</v>
      </c>
      <c r="R48" s="27">
        <v>0</v>
      </c>
      <c r="S48" s="27">
        <v>0.90025725582278704</v>
      </c>
      <c r="T48" s="27">
        <v>0.68916245100916795</v>
      </c>
      <c r="U48" s="27">
        <v>3.2285087795024099</v>
      </c>
      <c r="V48" s="27">
        <v>4.15049638287954</v>
      </c>
      <c r="W48" s="27">
        <v>2.17303475543431E-2</v>
      </c>
      <c r="X48" s="27">
        <v>1.43730727395155</v>
      </c>
      <c r="Y48" s="27">
        <v>0.35078989623439599</v>
      </c>
      <c r="Z48" s="27">
        <v>5.89823719332171E-2</v>
      </c>
      <c r="AA48" s="27">
        <v>3.2223001087726</v>
      </c>
      <c r="AB48" s="27">
        <v>7.2703534246102297</v>
      </c>
      <c r="AC48" s="27">
        <v>4.4081562181667504</v>
      </c>
      <c r="AD48" s="27">
        <v>1.03684801187866</v>
      </c>
      <c r="AE48" s="27">
        <v>0.27318151211174202</v>
      </c>
      <c r="AF48" s="27">
        <v>10.7037483381964</v>
      </c>
      <c r="AG48" s="27">
        <v>4.83345016315889</v>
      </c>
      <c r="AH48" s="27">
        <v>9.9338731676997194E-2</v>
      </c>
      <c r="AI48" s="27">
        <v>1.4869766397900499</v>
      </c>
      <c r="AJ48" s="27">
        <v>8.0371242597420505</v>
      </c>
      <c r="AK48" s="27">
        <v>4.8924325350921096</v>
      </c>
      <c r="AL48" s="27">
        <v>9.0770766069856208</v>
      </c>
      <c r="AM48" s="27">
        <v>10.619931283344</v>
      </c>
      <c r="AN48" s="27">
        <v>7.4224658574906304</v>
      </c>
      <c r="AO48" s="27">
        <v>0.46875464010083001</v>
      </c>
      <c r="AP48" s="27">
        <v>4.4174692242614704</v>
      </c>
      <c r="AQ48" s="27">
        <v>0.72641447538804205</v>
      </c>
      <c r="AR48" s="27">
        <v>0.44702429254648701</v>
      </c>
      <c r="AS48" s="27">
        <v>3.3464735233688399</v>
      </c>
      <c r="AT48" s="27">
        <v>0.28249451820646099</v>
      </c>
      <c r="AU48" s="27">
        <v>1.25104715205718</v>
      </c>
      <c r="AV48" s="27">
        <v>0.17073844506983901</v>
      </c>
      <c r="AW48" s="27">
        <v>39.654779951311298</v>
      </c>
      <c r="AX48" s="27">
        <v>37.354618784533599</v>
      </c>
      <c r="AY48" s="27">
        <v>10.449192838274101</v>
      </c>
      <c r="AZ48" s="27">
        <v>103.33787021285301</v>
      </c>
      <c r="BA48" s="27">
        <v>30895.843193714802</v>
      </c>
      <c r="BB48" s="27">
        <v>2632.9528512463198</v>
      </c>
      <c r="BC48" s="27">
        <v>1.2231081337730301</v>
      </c>
      <c r="BD48" s="27">
        <v>158.82120638843199</v>
      </c>
      <c r="BE48" s="27">
        <v>0.37872891451855201</v>
      </c>
      <c r="BF48" s="27">
        <v>4.34606951086863</v>
      </c>
      <c r="BG48" s="27">
        <v>0.42218960962723801</v>
      </c>
      <c r="BH48" s="27">
        <v>0.12727774996115301</v>
      </c>
      <c r="BI48" s="27">
        <v>2.1140523835010998</v>
      </c>
      <c r="BJ48" s="27">
        <v>1.7042801153334799</v>
      </c>
      <c r="BK48" s="27">
        <v>28.587824375420801</v>
      </c>
      <c r="BL48" s="27">
        <v>654.72295447089903</v>
      </c>
      <c r="BM48" s="27">
        <v>0.92819627410694205</v>
      </c>
      <c r="BN48" s="27">
        <v>3.5482553220877402</v>
      </c>
      <c r="BO48" s="27">
        <v>0.232825152367962</v>
      </c>
      <c r="BP48" s="27">
        <v>8.8665054971752202</v>
      </c>
      <c r="BQ48" s="27">
        <v>4.6161466876154602</v>
      </c>
      <c r="BR48" s="27">
        <v>0.20799046944871299</v>
      </c>
      <c r="BS48" s="27">
        <v>12.9926417402417</v>
      </c>
      <c r="BT48" s="27">
        <v>0.40045926207289501</v>
      </c>
      <c r="BU48" s="27">
        <v>1.29450784716587</v>
      </c>
      <c r="BV48" s="27">
        <v>3.1043353649061601E-3</v>
      </c>
      <c r="BW48" s="27">
        <v>1.3783249020183399</v>
      </c>
      <c r="BX48" s="27">
        <v>0.63328441444085704</v>
      </c>
      <c r="BY48" s="27">
        <v>0.74814482294238505</v>
      </c>
      <c r="BZ48" s="30">
        <v>0</v>
      </c>
      <c r="CA48" s="31">
        <v>34706</v>
      </c>
      <c r="CB48" s="31">
        <v>875.56795140852205</v>
      </c>
    </row>
    <row r="49" spans="1:80" ht="15" customHeight="1" x14ac:dyDescent="0.3">
      <c r="A49" s="33" t="s">
        <v>67</v>
      </c>
      <c r="B49" s="11" t="s">
        <v>135</v>
      </c>
      <c r="C49" s="26">
        <v>41944.275733996001</v>
      </c>
      <c r="D49" s="27">
        <v>-59.155592078168603</v>
      </c>
      <c r="E49" s="27">
        <v>0</v>
      </c>
      <c r="F49" s="27">
        <v>0</v>
      </c>
      <c r="G49" s="27">
        <v>0</v>
      </c>
      <c r="H49" s="27">
        <v>254.99277415698501</v>
      </c>
      <c r="I49" s="27">
        <v>888.77299085984896</v>
      </c>
      <c r="J49" s="27">
        <v>1143.7657650168301</v>
      </c>
      <c r="K49" s="28">
        <v>40859.665561057402</v>
      </c>
      <c r="L49" s="29">
        <v>0.22176487853726801</v>
      </c>
      <c r="M49" s="27">
        <v>0.12788894835891501</v>
      </c>
      <c r="N49" s="27">
        <v>1.632624872667E-2</v>
      </c>
      <c r="O49" s="27">
        <v>6.8742441463308504E-2</v>
      </c>
      <c r="P49" s="27">
        <v>0.77005473160793503</v>
      </c>
      <c r="Q49" s="27">
        <v>1.3605207272225001E-2</v>
      </c>
      <c r="R49" s="27">
        <v>2.5284885959417803E-4</v>
      </c>
      <c r="S49" s="27">
        <v>0.51642416121891899</v>
      </c>
      <c r="T49" s="27">
        <v>0.327109780019818</v>
      </c>
      <c r="U49" s="27">
        <v>1.87162873821508</v>
      </c>
      <c r="V49" s="27">
        <v>1.9630557793119701</v>
      </c>
      <c r="W49" s="27">
        <v>1.5507734767619699E-2</v>
      </c>
      <c r="X49" s="27">
        <v>0.64260568116032601</v>
      </c>
      <c r="Y49" s="27">
        <v>0.166676275492045</v>
      </c>
      <c r="Z49" s="27">
        <v>3.3983198800840199E-2</v>
      </c>
      <c r="AA49" s="27">
        <v>1.41812032158082</v>
      </c>
      <c r="AB49" s="27">
        <v>3.1910593885341898</v>
      </c>
      <c r="AC49" s="27">
        <v>1.9432333483844899</v>
      </c>
      <c r="AD49" s="27">
        <v>0.45534103537749399</v>
      </c>
      <c r="AE49" s="27">
        <v>0.13287396469447699</v>
      </c>
      <c r="AF49" s="27">
        <v>4.7472921972462903</v>
      </c>
      <c r="AG49" s="27">
        <v>2.1602615415014701</v>
      </c>
      <c r="AH49" s="27">
        <v>4.8972913752394799E-2</v>
      </c>
      <c r="AI49" s="27">
        <v>0.68696184425296503</v>
      </c>
      <c r="AJ49" s="27">
        <v>3.5613690286331599</v>
      </c>
      <c r="AK49" s="27">
        <v>2.1719940406580198</v>
      </c>
      <c r="AL49" s="27">
        <v>3.98406241312246</v>
      </c>
      <c r="AM49" s="27">
        <v>4.6888974186393799</v>
      </c>
      <c r="AN49" s="27">
        <v>3.2771942663568399</v>
      </c>
      <c r="AO49" s="27">
        <v>0.30851668157182399</v>
      </c>
      <c r="AP49" s="27">
        <v>1.9582716944819101</v>
      </c>
      <c r="AQ49" s="27">
        <v>0.38882239904364302</v>
      </c>
      <c r="AR49" s="27">
        <v>0.23337875741657699</v>
      </c>
      <c r="AS49" s="27">
        <v>1.5091199523576799</v>
      </c>
      <c r="AT49" s="27">
        <v>0.132235681497053</v>
      </c>
      <c r="AU49" s="27">
        <v>0.57332189017049096</v>
      </c>
      <c r="AV49" s="27">
        <v>9.1474523253854204E-2</v>
      </c>
      <c r="AW49" s="27">
        <v>17.391807788090102</v>
      </c>
      <c r="AX49" s="27">
        <v>0.82311503996961299</v>
      </c>
      <c r="AY49" s="27">
        <v>4.5795127678309404</v>
      </c>
      <c r="AZ49" s="27">
        <v>68.371254543219393</v>
      </c>
      <c r="BA49" s="27">
        <v>3.7626418133088899</v>
      </c>
      <c r="BB49" s="27">
        <v>1.2231081337730301</v>
      </c>
      <c r="BC49" s="27">
        <v>35288.538854840597</v>
      </c>
      <c r="BD49" s="27">
        <v>1.92710548494394</v>
      </c>
      <c r="BE49" s="27">
        <v>0.168638441746884</v>
      </c>
      <c r="BF49" s="27">
        <v>1.89233942399139</v>
      </c>
      <c r="BG49" s="27">
        <v>0.186042214340637</v>
      </c>
      <c r="BH49" s="27">
        <v>5.68770282076973E-2</v>
      </c>
      <c r="BI49" s="27">
        <v>0.992002469873415</v>
      </c>
      <c r="BJ49" s="27">
        <v>0.84578978334647603</v>
      </c>
      <c r="BK49" s="27">
        <v>12.529035376992001</v>
      </c>
      <c r="BL49" s="27">
        <v>286.941984495589</v>
      </c>
      <c r="BM49" s="27">
        <v>0.41029343999724699</v>
      </c>
      <c r="BN49" s="27">
        <v>1.56261851552654</v>
      </c>
      <c r="BO49" s="27">
        <v>0.103345440316257</v>
      </c>
      <c r="BP49" s="27">
        <v>3.2843949550484801</v>
      </c>
      <c r="BQ49" s="27">
        <v>2.0290784110569202</v>
      </c>
      <c r="BR49" s="27">
        <v>9.7391827260563904E-2</v>
      </c>
      <c r="BS49" s="27">
        <v>4.8691908313454704</v>
      </c>
      <c r="BT49" s="27">
        <v>0.175717881194698</v>
      </c>
      <c r="BU49" s="27">
        <v>0.57618685333757902</v>
      </c>
      <c r="BV49" s="27">
        <v>1.3605207272224999E-3</v>
      </c>
      <c r="BW49" s="27">
        <v>0.60407120288678995</v>
      </c>
      <c r="BX49" s="27">
        <v>0.28058041466852002</v>
      </c>
      <c r="BY49" s="27">
        <v>0.357258104450146</v>
      </c>
      <c r="BZ49" s="30">
        <v>0</v>
      </c>
      <c r="CA49" s="31">
        <v>35749</v>
      </c>
      <c r="CB49" s="31">
        <v>5110.6655610573698</v>
      </c>
    </row>
    <row r="50" spans="1:80" ht="15" customHeight="1" x14ac:dyDescent="0.3">
      <c r="A50" s="33" t="s">
        <v>68</v>
      </c>
      <c r="B50" s="11" t="s">
        <v>136</v>
      </c>
      <c r="C50" s="26">
        <v>204520.50743540199</v>
      </c>
      <c r="D50" s="27">
        <v>-55.087216934194998</v>
      </c>
      <c r="E50" s="27">
        <v>-513.645512449168</v>
      </c>
      <c r="F50" s="27">
        <v>2.5348436452257199</v>
      </c>
      <c r="G50" s="27">
        <v>0.67059145871037096</v>
      </c>
      <c r="H50" s="27">
        <v>30.5957103505127</v>
      </c>
      <c r="I50" s="27">
        <v>9770.9119964031306</v>
      </c>
      <c r="J50" s="27">
        <v>9804.7131418575791</v>
      </c>
      <c r="K50" s="28">
        <v>195284.527022928</v>
      </c>
      <c r="L50" s="29">
        <v>0.79587700063882305</v>
      </c>
      <c r="M50" s="27">
        <v>0.45897201263833998</v>
      </c>
      <c r="N50" s="27">
        <v>5.8592171826170998E-2</v>
      </c>
      <c r="O50" s="27">
        <v>0.25014690980981602</v>
      </c>
      <c r="P50" s="27">
        <v>2.9214303180889001</v>
      </c>
      <c r="Q50" s="27">
        <v>0.113070344042653</v>
      </c>
      <c r="R50" s="27">
        <v>6.9921744869640601E-4</v>
      </c>
      <c r="S50" s="27">
        <v>1.56383877874091</v>
      </c>
      <c r="T50" s="27">
        <v>1.33842401534699</v>
      </c>
      <c r="U50" s="27">
        <v>5.6400949786761201</v>
      </c>
      <c r="V50" s="27">
        <v>6.7493329726941296</v>
      </c>
      <c r="W50" s="27">
        <v>4.6496886242027198E-2</v>
      </c>
      <c r="X50" s="27">
        <v>2.2948994807466998</v>
      </c>
      <c r="Y50" s="27">
        <v>0.57952218280012502</v>
      </c>
      <c r="Z50" s="27">
        <v>0.10528221350731</v>
      </c>
      <c r="AA50" s="27">
        <v>5.0840091833989103</v>
      </c>
      <c r="AB50" s="27">
        <v>12.0393050039734</v>
      </c>
      <c r="AC50" s="27">
        <v>6.9766678512560896</v>
      </c>
      <c r="AD50" s="27">
        <v>1.6339079998414501</v>
      </c>
      <c r="AE50" s="27">
        <v>0.487846310479153</v>
      </c>
      <c r="AF50" s="27">
        <v>16.926964226643001</v>
      </c>
      <c r="AG50" s="27">
        <v>7.6806802714031797</v>
      </c>
      <c r="AH50" s="27">
        <v>0.17544289945484101</v>
      </c>
      <c r="AI50" s="27">
        <v>2.3818173351002598</v>
      </c>
      <c r="AJ50" s="27">
        <v>13.0789331021723</v>
      </c>
      <c r="AK50" s="27">
        <v>7.8085031349051599</v>
      </c>
      <c r="AL50" s="27">
        <v>14.4061631194716</v>
      </c>
      <c r="AM50" s="27">
        <v>16.904433289624698</v>
      </c>
      <c r="AN50" s="27">
        <v>12.393070564768101</v>
      </c>
      <c r="AO50" s="27">
        <v>3.2547291942429002</v>
      </c>
      <c r="AP50" s="27">
        <v>7.9026506160836298</v>
      </c>
      <c r="AQ50" s="27">
        <v>47.028164152854401</v>
      </c>
      <c r="AR50" s="27">
        <v>1.12706522727745</v>
      </c>
      <c r="AS50" s="27">
        <v>6.3743940235166798</v>
      </c>
      <c r="AT50" s="27">
        <v>0.68878231405337398</v>
      </c>
      <c r="AU50" s="27">
        <v>2.2582262490068299</v>
      </c>
      <c r="AV50" s="27">
        <v>0.60493096266811497</v>
      </c>
      <c r="AW50" s="27">
        <v>62.386348203890002</v>
      </c>
      <c r="AX50" s="27">
        <v>5.0370475335271996</v>
      </c>
      <c r="AY50" s="27">
        <v>16.435104197240999</v>
      </c>
      <c r="AZ50" s="27">
        <v>2288.0644994477302</v>
      </c>
      <c r="BA50" s="27">
        <v>5763.6924993398397</v>
      </c>
      <c r="BB50" s="27">
        <v>158.82120638843199</v>
      </c>
      <c r="BC50" s="27">
        <v>1.92710548494394</v>
      </c>
      <c r="BD50" s="27">
        <v>175814.51981103001</v>
      </c>
      <c r="BE50" s="27">
        <v>0.59886493067263802</v>
      </c>
      <c r="BF50" s="27">
        <v>6.82092341100042</v>
      </c>
      <c r="BG50" s="27">
        <v>0.66525522372132895</v>
      </c>
      <c r="BH50" s="27">
        <v>0.20150141423842399</v>
      </c>
      <c r="BI50" s="27">
        <v>40.395872822273503</v>
      </c>
      <c r="BJ50" s="27">
        <v>2.8266885101901398</v>
      </c>
      <c r="BK50" s="27">
        <v>44.964609195600801</v>
      </c>
      <c r="BL50" s="27">
        <v>1029.7867159308701</v>
      </c>
      <c r="BM50" s="27">
        <v>1.4641083065181499</v>
      </c>
      <c r="BN50" s="27">
        <v>5.6811434530029699</v>
      </c>
      <c r="BO50" s="27">
        <v>32.216378988695901</v>
      </c>
      <c r="BP50" s="27">
        <v>11.763059753766401</v>
      </c>
      <c r="BQ50" s="27">
        <v>7.2677093994670896</v>
      </c>
      <c r="BR50" s="27">
        <v>0.33460505245969502</v>
      </c>
      <c r="BS50" s="27">
        <v>2498.53898806597</v>
      </c>
      <c r="BT50" s="27">
        <v>0.63207883025193401</v>
      </c>
      <c r="BU50" s="27">
        <v>2.0466708057591099</v>
      </c>
      <c r="BV50" s="27">
        <v>4.8826809855142504E-3</v>
      </c>
      <c r="BW50" s="27">
        <v>2.1679103575683301</v>
      </c>
      <c r="BX50" s="27">
        <v>1.39316048560907</v>
      </c>
      <c r="BY50" s="27">
        <v>1.2118842406297301</v>
      </c>
      <c r="BZ50" s="30">
        <v>0</v>
      </c>
      <c r="CA50" s="31">
        <v>188012</v>
      </c>
      <c r="CB50" s="31">
        <v>7272.5270229275702</v>
      </c>
    </row>
    <row r="51" spans="1:80" ht="15" customHeight="1" x14ac:dyDescent="0.3">
      <c r="A51" s="33" t="s">
        <v>69</v>
      </c>
      <c r="B51" s="11" t="s">
        <v>137</v>
      </c>
      <c r="C51" s="26">
        <v>43404.709305207602</v>
      </c>
      <c r="D51" s="27">
        <v>-56.4667015291609</v>
      </c>
      <c r="E51" s="27">
        <v>0</v>
      </c>
      <c r="F51" s="27">
        <v>0</v>
      </c>
      <c r="G51" s="27">
        <v>0</v>
      </c>
      <c r="H51" s="27">
        <v>0</v>
      </c>
      <c r="I51" s="27">
        <v>3812.8833970051001</v>
      </c>
      <c r="J51" s="27">
        <v>3812.8833970051001</v>
      </c>
      <c r="K51" s="28">
        <v>39648.292609731703</v>
      </c>
      <c r="L51" s="29">
        <v>38.732351764998903</v>
      </c>
      <c r="M51" s="27">
        <v>130.52953178291699</v>
      </c>
      <c r="N51" s="27">
        <v>15.470528716842299</v>
      </c>
      <c r="O51" s="27">
        <v>2.17477408178041E-2</v>
      </c>
      <c r="P51" s="27">
        <v>0.23844334328976699</v>
      </c>
      <c r="Q51" s="27">
        <v>4.2127799167803303E-3</v>
      </c>
      <c r="R51" s="27">
        <v>2.4135572961262399E-4</v>
      </c>
      <c r="S51" s="27">
        <v>0.23850407925991399</v>
      </c>
      <c r="T51" s="27">
        <v>0.117458157339109</v>
      </c>
      <c r="U51" s="27">
        <v>0.87405778498048903</v>
      </c>
      <c r="V51" s="27">
        <v>0.70074098884285496</v>
      </c>
      <c r="W51" s="27">
        <v>8.6610315425783308E-3</v>
      </c>
      <c r="X51" s="27">
        <v>0.20715972258249599</v>
      </c>
      <c r="Y51" s="27">
        <v>5.9953781224796998E-2</v>
      </c>
      <c r="Z51" s="27">
        <v>1.5767891144422001E-2</v>
      </c>
      <c r="AA51" s="27">
        <v>0.44291818905275998</v>
      </c>
      <c r="AB51" s="27">
        <v>0.99113836346272299</v>
      </c>
      <c r="AC51" s="27">
        <v>0.60899530410550395</v>
      </c>
      <c r="AD51" s="27">
        <v>0.14159182022904299</v>
      </c>
      <c r="AE51" s="27">
        <v>4.9622961207523401E-2</v>
      </c>
      <c r="AF51" s="27">
        <v>1.50622793918973</v>
      </c>
      <c r="AG51" s="27">
        <v>0.69595465820345803</v>
      </c>
      <c r="AH51" s="27">
        <v>1.8670043920368501E-2</v>
      </c>
      <c r="AI51" s="27">
        <v>0.235461282294739</v>
      </c>
      <c r="AJ51" s="27">
        <v>1.1278977287697101</v>
      </c>
      <c r="AK51" s="27">
        <v>0.69048324514196902</v>
      </c>
      <c r="AL51" s="27">
        <v>1.2374484813575299</v>
      </c>
      <c r="AM51" s="27">
        <v>1.47417729257761</v>
      </c>
      <c r="AN51" s="27">
        <v>1.0303653762351199</v>
      </c>
      <c r="AO51" s="27">
        <v>0.162005662515463</v>
      </c>
      <c r="AP51" s="27">
        <v>0.62071788636375202</v>
      </c>
      <c r="AQ51" s="27">
        <v>0.16583684670471099</v>
      </c>
      <c r="AR51" s="27">
        <v>9.6424904739240605E-2</v>
      </c>
      <c r="AS51" s="27">
        <v>0.49468543760383998</v>
      </c>
      <c r="AT51" s="27">
        <v>4.6381488229788499E-2</v>
      </c>
      <c r="AU51" s="27">
        <v>0.19366924787789699</v>
      </c>
      <c r="AV51" s="27">
        <v>3.9059541741789598E-2</v>
      </c>
      <c r="AW51" s="27">
        <v>5.39335217431102</v>
      </c>
      <c r="AX51" s="27">
        <v>0.25487318496521</v>
      </c>
      <c r="AY51" s="27">
        <v>1.4180217199882601</v>
      </c>
      <c r="AZ51" s="27">
        <v>62.597048958391099</v>
      </c>
      <c r="BA51" s="27">
        <v>1.19016641962819</v>
      </c>
      <c r="BB51" s="27">
        <v>0.37872891451855201</v>
      </c>
      <c r="BC51" s="27">
        <v>0.168638441746884</v>
      </c>
      <c r="BD51" s="27">
        <v>0.59886493067263802</v>
      </c>
      <c r="BE51" s="27">
        <v>30483.468556073502</v>
      </c>
      <c r="BF51" s="27">
        <v>0.57796275759822802</v>
      </c>
      <c r="BG51" s="27">
        <v>5.8259229786663001E-2</v>
      </c>
      <c r="BH51" s="27">
        <v>1.8318272487120701E-2</v>
      </c>
      <c r="BI51" s="27">
        <v>0.34940144630240999</v>
      </c>
      <c r="BJ51" s="27">
        <v>0.32565170770977597</v>
      </c>
      <c r="BK51" s="27">
        <v>3.8795490253630098</v>
      </c>
      <c r="BL51" s="27">
        <v>88.850056112847298</v>
      </c>
      <c r="BM51" s="27">
        <v>0.129300873771373</v>
      </c>
      <c r="BN51" s="27">
        <v>0.48872119042143503</v>
      </c>
      <c r="BO51" s="27">
        <v>3.2842853978850998E-2</v>
      </c>
      <c r="BP51" s="27">
        <v>1.0468901706227001</v>
      </c>
      <c r="BQ51" s="27">
        <v>0.632152459226067</v>
      </c>
      <c r="BR51" s="27">
        <v>3.4179066772872899E-2</v>
      </c>
      <c r="BS51" s="27">
        <v>851.80958221690105</v>
      </c>
      <c r="BT51" s="27">
        <v>18.41979563057</v>
      </c>
      <c r="BU51" s="27">
        <v>0.18412037306618201</v>
      </c>
      <c r="BV51" s="27">
        <v>4.21277991678033E-4</v>
      </c>
      <c r="BW51" s="27">
        <v>0.187047428305047</v>
      </c>
      <c r="BX51" s="27">
        <v>8.8836979057670198E-2</v>
      </c>
      <c r="BY51" s="27">
        <v>0.129565486584406</v>
      </c>
      <c r="BZ51" s="30">
        <v>0</v>
      </c>
      <c r="CA51" s="31">
        <v>31722</v>
      </c>
      <c r="CB51" s="31">
        <v>7926.2926097316604</v>
      </c>
    </row>
    <row r="52" spans="1:80" ht="15" customHeight="1" x14ac:dyDescent="0.3">
      <c r="A52" s="33" t="s">
        <v>70</v>
      </c>
      <c r="B52" s="11" t="s">
        <v>138</v>
      </c>
      <c r="C52" s="26">
        <v>324906.24542621803</v>
      </c>
      <c r="D52" s="27">
        <v>263.51127380275102</v>
      </c>
      <c r="E52" s="27">
        <v>0</v>
      </c>
      <c r="F52" s="27">
        <v>0</v>
      </c>
      <c r="G52" s="27">
        <v>0</v>
      </c>
      <c r="H52" s="27">
        <v>27325.092038892501</v>
      </c>
      <c r="I52" s="27">
        <v>3596.7166297773701</v>
      </c>
      <c r="J52" s="27">
        <v>30921.808668669899</v>
      </c>
      <c r="K52" s="28">
        <v>293720.925483745</v>
      </c>
      <c r="L52" s="29">
        <v>0.78799703033546797</v>
      </c>
      <c r="M52" s="27">
        <v>0.45442773528548502</v>
      </c>
      <c r="N52" s="27">
        <v>5.8012051313040602E-2</v>
      </c>
      <c r="O52" s="27">
        <v>0.23852562137945801</v>
      </c>
      <c r="P52" s="27">
        <v>2.73623508693175</v>
      </c>
      <c r="Q52" s="27">
        <v>4.8343376094200502E-2</v>
      </c>
      <c r="R52" s="27">
        <v>-1.1263267381922499E-3</v>
      </c>
      <c r="S52" s="27">
        <v>0.859068418923153</v>
      </c>
      <c r="T52" s="27">
        <v>0.96152888108718704</v>
      </c>
      <c r="U52" s="27">
        <v>2.99337730349863</v>
      </c>
      <c r="V52" s="27">
        <v>5.8218785852710901</v>
      </c>
      <c r="W52" s="27">
        <v>7.1839637953905501E-3</v>
      </c>
      <c r="X52" s="27">
        <v>2.1817942551288398</v>
      </c>
      <c r="Y52" s="27">
        <v>0.48864976509362901</v>
      </c>
      <c r="Z52" s="27">
        <v>5.5622237833797099E-2</v>
      </c>
      <c r="AA52" s="27">
        <v>4.9917614813535298</v>
      </c>
      <c r="AB52" s="27">
        <v>11.3009939154822</v>
      </c>
      <c r="AC52" s="27">
        <v>6.8144501444038896</v>
      </c>
      <c r="AD52" s="27">
        <v>1.61053889683959</v>
      </c>
      <c r="AE52" s="27">
        <v>0.36685271924296797</v>
      </c>
      <c r="AF52" s="27">
        <v>16.418376099155601</v>
      </c>
      <c r="AG52" s="27">
        <v>7.8387916599064802</v>
      </c>
      <c r="AH52" s="27">
        <v>0.13048277863030799</v>
      </c>
      <c r="AI52" s="27">
        <v>2.1585251349343899</v>
      </c>
      <c r="AJ52" s="27">
        <v>12.342458031983901</v>
      </c>
      <c r="AK52" s="27">
        <v>7.4950201312448499</v>
      </c>
      <c r="AL52" s="27">
        <v>14.1093222127197</v>
      </c>
      <c r="AM52" s="27">
        <v>16.384337640939702</v>
      </c>
      <c r="AN52" s="27">
        <v>11.451149299502999</v>
      </c>
      <c r="AO52" s="27">
        <v>0.27081911208605602</v>
      </c>
      <c r="AP52" s="27">
        <v>6.7801456652438201</v>
      </c>
      <c r="AQ52" s="27">
        <v>0.81736528289471999</v>
      </c>
      <c r="AR52" s="27">
        <v>0.52926053738100298</v>
      </c>
      <c r="AS52" s="27">
        <v>5.0221930509385198</v>
      </c>
      <c r="AT52" s="27">
        <v>0.40238049785081698</v>
      </c>
      <c r="AU52" s="27">
        <v>1.83673170951525</v>
      </c>
      <c r="AV52" s="27">
        <v>0.191738724920447</v>
      </c>
      <c r="AW52" s="27">
        <v>61.698075449191201</v>
      </c>
      <c r="AX52" s="27">
        <v>2.9247742536991299</v>
      </c>
      <c r="AY52" s="27">
        <v>27.972117074426102</v>
      </c>
      <c r="AZ52" s="27">
        <v>3812.8530964977799</v>
      </c>
      <c r="BA52" s="27">
        <v>13.058315440424099</v>
      </c>
      <c r="BB52" s="27">
        <v>4.34606951086863</v>
      </c>
      <c r="BC52" s="27">
        <v>1.89233942399139</v>
      </c>
      <c r="BD52" s="27">
        <v>6.82092341100042</v>
      </c>
      <c r="BE52" s="27">
        <v>0.57796275759822802</v>
      </c>
      <c r="BF52" s="27">
        <v>280802.770690164</v>
      </c>
      <c r="BG52" s="27">
        <v>0.65296460792835798</v>
      </c>
      <c r="BH52" s="27">
        <v>0.19332709278738899</v>
      </c>
      <c r="BI52" s="27">
        <v>3.00046528682326</v>
      </c>
      <c r="BJ52" s="27">
        <v>2.2136575929384401</v>
      </c>
      <c r="BK52" s="27">
        <v>52.404020199815903</v>
      </c>
      <c r="BL52" s="27">
        <v>1019.5908078523501</v>
      </c>
      <c r="BM52" s="27">
        <v>1.4298860920049401</v>
      </c>
      <c r="BN52" s="27">
        <v>5.4920458065443798</v>
      </c>
      <c r="BO52" s="27">
        <v>0.35675596589251102</v>
      </c>
      <c r="BP52" s="27">
        <v>696.84275768418604</v>
      </c>
      <c r="BQ52" s="27">
        <v>7.1620036257370696</v>
      </c>
      <c r="BR52" s="27">
        <v>0.29611789362240098</v>
      </c>
      <c r="BS52" s="27">
        <v>665.73822238229104</v>
      </c>
      <c r="BT52" s="27">
        <v>0.62269094600002695</v>
      </c>
      <c r="BU52" s="27">
        <v>1.97649734729143</v>
      </c>
      <c r="BV52" s="27">
        <v>4.8343376094200502E-3</v>
      </c>
      <c r="BW52" s="27">
        <v>2.1464458985824999</v>
      </c>
      <c r="BX52" s="27">
        <v>0.97268895146338397</v>
      </c>
      <c r="BY52" s="27">
        <v>1.0342337411169</v>
      </c>
      <c r="BZ52" s="30">
        <v>0</v>
      </c>
      <c r="CA52" s="31">
        <v>287344</v>
      </c>
      <c r="CB52" s="31">
        <v>6376.9254837454</v>
      </c>
    </row>
    <row r="53" spans="1:80" ht="15" customHeight="1" x14ac:dyDescent="0.3">
      <c r="A53" s="33" t="s">
        <v>71</v>
      </c>
      <c r="B53" s="11" t="s">
        <v>139</v>
      </c>
      <c r="C53" s="26">
        <v>32009.903223593901</v>
      </c>
      <c r="D53" s="27">
        <v>12093.4505130281</v>
      </c>
      <c r="E53" s="27">
        <v>83.653925202987494</v>
      </c>
      <c r="F53" s="27">
        <v>5.3866370849086698</v>
      </c>
      <c r="G53" s="27">
        <v>1.28240109140518</v>
      </c>
      <c r="H53" s="27">
        <v>45.983239134671599</v>
      </c>
      <c r="I53" s="27">
        <v>567.70253732984804</v>
      </c>
      <c r="J53" s="27">
        <v>620.35481464083296</v>
      </c>
      <c r="K53" s="28">
        <v>19212.443970721899</v>
      </c>
      <c r="L53" s="29">
        <v>7.6548282946874102E-2</v>
      </c>
      <c r="M53" s="27">
        <v>4.4144408570590002E-2</v>
      </c>
      <c r="N53" s="27">
        <v>5.6354564132667997E-3</v>
      </c>
      <c r="O53" s="27">
        <v>2.9054175577545801E-2</v>
      </c>
      <c r="P53" s="27">
        <v>0.29413954078674098</v>
      </c>
      <c r="Q53" s="27">
        <v>9.6338498864048203E-2</v>
      </c>
      <c r="R53" s="27">
        <v>4.9618249289808498E-3</v>
      </c>
      <c r="S53" s="27">
        <v>0.292514943312772</v>
      </c>
      <c r="T53" s="27">
        <v>0.17358325084790499</v>
      </c>
      <c r="U53" s="27">
        <v>0.79038820917195596</v>
      </c>
      <c r="V53" s="27">
        <v>0.68380352390919996</v>
      </c>
      <c r="W53" s="27">
        <v>4.1766123175931098E-2</v>
      </c>
      <c r="X53" s="27">
        <v>0.64589528107471705</v>
      </c>
      <c r="Y53" s="27">
        <v>9.4074476755729594E-2</v>
      </c>
      <c r="Z53" s="27">
        <v>0.31958924886307499</v>
      </c>
      <c r="AA53" s="27">
        <v>0.51484719616355801</v>
      </c>
      <c r="AB53" s="27">
        <v>7.0603812789272098</v>
      </c>
      <c r="AC53" s="27">
        <v>352.84061338331998</v>
      </c>
      <c r="AD53" s="27">
        <v>0.157190668648718</v>
      </c>
      <c r="AE53" s="27">
        <v>4.6107822436282801E-2</v>
      </c>
      <c r="AF53" s="27">
        <v>2.1491790317591501</v>
      </c>
      <c r="AG53" s="27">
        <v>1.75236261245919</v>
      </c>
      <c r="AH53" s="27">
        <v>4.3813427007050398</v>
      </c>
      <c r="AI53" s="27">
        <v>0.80179560265409699</v>
      </c>
      <c r="AJ53" s="27">
        <v>3.7585874260445902</v>
      </c>
      <c r="AK53" s="27">
        <v>1.10618117825274</v>
      </c>
      <c r="AL53" s="27">
        <v>1.5408941798596001</v>
      </c>
      <c r="AM53" s="27">
        <v>1.6735946327494999</v>
      </c>
      <c r="AN53" s="27">
        <v>1.2361418252621099</v>
      </c>
      <c r="AO53" s="27">
        <v>0.97152381496793305</v>
      </c>
      <c r="AP53" s="27">
        <v>1.16259136391948</v>
      </c>
      <c r="AQ53" s="27">
        <v>0.83114724713601096</v>
      </c>
      <c r="AR53" s="27">
        <v>0.76745901504422098</v>
      </c>
      <c r="AS53" s="27">
        <v>0.99363423404557605</v>
      </c>
      <c r="AT53" s="27">
        <v>0.50401180506065002</v>
      </c>
      <c r="AU53" s="27">
        <v>0.59197683187911099</v>
      </c>
      <c r="AV53" s="27">
        <v>5.8445204897852203E-2</v>
      </c>
      <c r="AW53" s="27">
        <v>6.1792530237573899</v>
      </c>
      <c r="AX53" s="27">
        <v>0.29961599987670101</v>
      </c>
      <c r="AY53" s="27">
        <v>1.5957978799422801</v>
      </c>
      <c r="AZ53" s="27">
        <v>27.815672201707802</v>
      </c>
      <c r="BA53" s="27">
        <v>1.2994978955565699</v>
      </c>
      <c r="BB53" s="27">
        <v>0.42218960962723801</v>
      </c>
      <c r="BC53" s="27">
        <v>0.186042214340637</v>
      </c>
      <c r="BD53" s="27">
        <v>0.66525522372132895</v>
      </c>
      <c r="BE53" s="27">
        <v>5.8259229786663001E-2</v>
      </c>
      <c r="BF53" s="27">
        <v>0.65296460792835798</v>
      </c>
      <c r="BG53" s="27">
        <v>16517.7035336509</v>
      </c>
      <c r="BH53" s="27">
        <v>1.96529045846888E-2</v>
      </c>
      <c r="BI53" s="27">
        <v>0.557900631896321</v>
      </c>
      <c r="BJ53" s="27">
        <v>1.55817054724842</v>
      </c>
      <c r="BK53" s="27">
        <v>4.37964000365558</v>
      </c>
      <c r="BL53" s="27">
        <v>99.0459641913707</v>
      </c>
      <c r="BM53" s="27">
        <v>0.14168869534852299</v>
      </c>
      <c r="BN53" s="27">
        <v>3.0838111342787502</v>
      </c>
      <c r="BO53" s="27">
        <v>3.56966519554884E-2</v>
      </c>
      <c r="BP53" s="27">
        <v>1.1699727542220999</v>
      </c>
      <c r="BQ53" s="27">
        <v>0.721310675104337</v>
      </c>
      <c r="BR53" s="27">
        <v>3.3732609290432897E-2</v>
      </c>
      <c r="BS53" s="27">
        <v>561.82523325230602</v>
      </c>
      <c r="BT53" s="27">
        <v>6.2068889137427901</v>
      </c>
      <c r="BU53" s="27">
        <v>0.56517661114760298</v>
      </c>
      <c r="BV53" s="27">
        <v>0.84384427489410396</v>
      </c>
      <c r="BW53" s="27">
        <v>0.220022512483357</v>
      </c>
      <c r="BX53" s="27">
        <v>9.6906099503764803E-2</v>
      </c>
      <c r="BY53" s="27">
        <v>0.123859698429299</v>
      </c>
      <c r="BZ53" s="30">
        <v>0</v>
      </c>
      <c r="CA53" s="31">
        <v>17626</v>
      </c>
      <c r="CB53" s="31">
        <v>1586.4439707219301</v>
      </c>
    </row>
    <row r="54" spans="1:80" ht="15" customHeight="1" x14ac:dyDescent="0.3">
      <c r="A54" s="33" t="s">
        <v>72</v>
      </c>
      <c r="B54" s="11" t="s">
        <v>140</v>
      </c>
      <c r="C54" s="26">
        <v>48740.545729559803</v>
      </c>
      <c r="D54" s="27">
        <v>-23.303718091399801</v>
      </c>
      <c r="E54" s="27">
        <v>0</v>
      </c>
      <c r="F54" s="27">
        <v>8.9938233212516394</v>
      </c>
      <c r="G54" s="27">
        <v>0</v>
      </c>
      <c r="H54" s="27">
        <v>0</v>
      </c>
      <c r="I54" s="27">
        <v>1459.2244185991301</v>
      </c>
      <c r="J54" s="27">
        <v>1468.21824192038</v>
      </c>
      <c r="K54" s="28">
        <v>47295.631205730802</v>
      </c>
      <c r="L54" s="29">
        <v>2.3077055888395901E-2</v>
      </c>
      <c r="M54" s="27">
        <v>1.3308240819074901E-2</v>
      </c>
      <c r="N54" s="27">
        <v>1.6989243598819E-3</v>
      </c>
      <c r="O54" s="27">
        <v>7.3610716912771903E-3</v>
      </c>
      <c r="P54" s="27">
        <v>8.01325989744298E-2</v>
      </c>
      <c r="Q54" s="27">
        <v>1.4157702999015899E-3</v>
      </c>
      <c r="R54" s="27">
        <v>9.9607126506797195E-5</v>
      </c>
      <c r="S54" s="27">
        <v>8.9067973673422299E-2</v>
      </c>
      <c r="T54" s="27">
        <v>4.1307807369739297E-2</v>
      </c>
      <c r="U54" s="27">
        <v>0.32714718284879202</v>
      </c>
      <c r="V54" s="27">
        <v>0.24603134883021399</v>
      </c>
      <c r="W54" s="27">
        <v>3.3484078705919799E-3</v>
      </c>
      <c r="X54" s="27">
        <v>7.0547122398534501E-2</v>
      </c>
      <c r="Y54" s="27">
        <v>2.1094769028485699E-2</v>
      </c>
      <c r="Z54" s="27">
        <v>5.89399280578166E-3</v>
      </c>
      <c r="AA54" s="27">
        <v>0.14928112341494301</v>
      </c>
      <c r="AB54" s="27">
        <v>0.33343273726507899</v>
      </c>
      <c r="AC54" s="27">
        <v>0.20548850090332901</v>
      </c>
      <c r="AD54" s="27">
        <v>4.7651954147237899E-2</v>
      </c>
      <c r="AE54" s="27">
        <v>1.7638349217487401E-2</v>
      </c>
      <c r="AF54" s="27">
        <v>0.51030358386607799</v>
      </c>
      <c r="AG54" s="27">
        <v>0.23695361750705399</v>
      </c>
      <c r="AH54" s="27">
        <v>6.6720181795812197E-3</v>
      </c>
      <c r="AI54" s="27">
        <v>8.1710591512984196E-2</v>
      </c>
      <c r="AJ54" s="27">
        <v>0.38189902931431902</v>
      </c>
      <c r="AK54" s="27">
        <v>0.23408218318023799</v>
      </c>
      <c r="AL54" s="27">
        <v>0.41629540197638298</v>
      </c>
      <c r="AM54" s="27">
        <v>0.49794799355226199</v>
      </c>
      <c r="AN54" s="27">
        <v>0.34803976047562002</v>
      </c>
      <c r="AO54" s="27">
        <v>6.1984636767784998E-2</v>
      </c>
      <c r="AP54" s="27">
        <v>0.21022954080859399</v>
      </c>
      <c r="AQ54" s="27">
        <v>6.0886210937591299E-2</v>
      </c>
      <c r="AR54" s="27">
        <v>3.5145548229339997E-2</v>
      </c>
      <c r="AS54" s="27">
        <v>0.16935403558253301</v>
      </c>
      <c r="AT54" s="27">
        <v>1.6203747279331E-2</v>
      </c>
      <c r="AU54" s="27">
        <v>6.6916648610206894E-2</v>
      </c>
      <c r="AV54" s="27">
        <v>1.43442058111562E-2</v>
      </c>
      <c r="AW54" s="27">
        <v>1.8134355338563699</v>
      </c>
      <c r="AX54" s="27">
        <v>8.5654103144046007E-2</v>
      </c>
      <c r="AY54" s="27">
        <v>0.47654828294687401</v>
      </c>
      <c r="AZ54" s="27">
        <v>25.7355924938817</v>
      </c>
      <c r="BA54" s="27">
        <v>0.40281922737735998</v>
      </c>
      <c r="BB54" s="27">
        <v>0.12727774996115301</v>
      </c>
      <c r="BC54" s="27">
        <v>5.68770282076973E-2</v>
      </c>
      <c r="BD54" s="27">
        <v>0.20150141423842399</v>
      </c>
      <c r="BE54" s="27">
        <v>1.8318272487120701E-2</v>
      </c>
      <c r="BF54" s="27">
        <v>0.19332709278738899</v>
      </c>
      <c r="BG54" s="27">
        <v>1.96529045846888E-2</v>
      </c>
      <c r="BH54" s="27">
        <v>46563.028197813503</v>
      </c>
      <c r="BI54" s="27">
        <v>0.12221220318855899</v>
      </c>
      <c r="BJ54" s="27">
        <v>0.11667217592875501</v>
      </c>
      <c r="BK54" s="27">
        <v>1.30378286917937</v>
      </c>
      <c r="BL54" s="27">
        <v>29.859445087104401</v>
      </c>
      <c r="BM54" s="27">
        <v>4.3709430550401503E-2</v>
      </c>
      <c r="BN54" s="27">
        <v>0.164794157886204</v>
      </c>
      <c r="BO54" s="27">
        <v>1.1132914069547001E-2</v>
      </c>
      <c r="BP54" s="27">
        <v>0.35521463790282398</v>
      </c>
      <c r="BQ54" s="27">
        <v>0.212882412256027</v>
      </c>
      <c r="BR54" s="27">
        <v>1.19426367965083E-2</v>
      </c>
      <c r="BS54" s="27">
        <v>32.3853760817777</v>
      </c>
      <c r="BT54" s="27">
        <v>1.83464428074861E-2</v>
      </c>
      <c r="BU54" s="27">
        <v>6.2523870933634096E-2</v>
      </c>
      <c r="BV54" s="27">
        <v>1.41577029990159E-4</v>
      </c>
      <c r="BW54" s="27">
        <v>6.2860201315630498E-2</v>
      </c>
      <c r="BX54" s="27">
        <v>3.0076999636073899E-2</v>
      </c>
      <c r="BY54" s="27">
        <v>4.5691092090167799E-2</v>
      </c>
      <c r="BZ54" s="30">
        <v>0</v>
      </c>
      <c r="CA54" s="31">
        <v>46662</v>
      </c>
      <c r="CB54" s="31">
        <v>633.63120573083404</v>
      </c>
    </row>
    <row r="55" spans="1:80" ht="15" customHeight="1" x14ac:dyDescent="0.3">
      <c r="A55" s="33" t="s">
        <v>73</v>
      </c>
      <c r="B55" s="11" t="s">
        <v>141</v>
      </c>
      <c r="C55" s="26">
        <v>233216.410560271</v>
      </c>
      <c r="D55" s="27">
        <v>-1392.8453043859699</v>
      </c>
      <c r="E55" s="27">
        <v>0</v>
      </c>
      <c r="F55" s="27">
        <v>0</v>
      </c>
      <c r="G55" s="27">
        <v>0</v>
      </c>
      <c r="H55" s="27">
        <v>41950.3588202225</v>
      </c>
      <c r="I55" s="27">
        <v>6905.2688250299598</v>
      </c>
      <c r="J55" s="27">
        <v>48855.627645252498</v>
      </c>
      <c r="K55" s="28">
        <v>185753.628219404</v>
      </c>
      <c r="L55" s="29">
        <v>0.38330426975603898</v>
      </c>
      <c r="M55" s="27">
        <v>0.22104663409243899</v>
      </c>
      <c r="N55" s="27">
        <v>2.82187192458433E-2</v>
      </c>
      <c r="O55" s="27">
        <v>0.24624158416900499</v>
      </c>
      <c r="P55" s="27">
        <v>1.9272256099848399</v>
      </c>
      <c r="Q55" s="27">
        <v>1.9519880354663901</v>
      </c>
      <c r="R55" s="27">
        <v>0.108432652910365</v>
      </c>
      <c r="S55" s="27">
        <v>5.9085329693870596</v>
      </c>
      <c r="T55" s="27">
        <v>2.37944494479015</v>
      </c>
      <c r="U55" s="27">
        <v>16.058631249920602</v>
      </c>
      <c r="V55" s="27">
        <v>6.6100430495788798</v>
      </c>
      <c r="W55" s="27">
        <v>0.92129497191576104</v>
      </c>
      <c r="X55" s="27">
        <v>1.82530227985121</v>
      </c>
      <c r="Y55" s="27">
        <v>1.33427996184127</v>
      </c>
      <c r="Z55" s="27">
        <v>3.6273122757010601</v>
      </c>
      <c r="AA55" s="27">
        <v>3.1108614876323801</v>
      </c>
      <c r="AB55" s="27">
        <v>6.8761836924931998</v>
      </c>
      <c r="AC55" s="27">
        <v>3.6889821178409599</v>
      </c>
      <c r="AD55" s="27">
        <v>0.80725030388760299</v>
      </c>
      <c r="AE55" s="27">
        <v>0.51651622365264305</v>
      </c>
      <c r="AF55" s="27">
        <v>16.297934294962499</v>
      </c>
      <c r="AG55" s="27">
        <v>16.564195261936401</v>
      </c>
      <c r="AH55" s="27">
        <v>4.9172926392697898</v>
      </c>
      <c r="AI55" s="27">
        <v>13.8258582348407</v>
      </c>
      <c r="AJ55" s="27">
        <v>13.182712453081599</v>
      </c>
      <c r="AK55" s="27">
        <v>11.851235744599</v>
      </c>
      <c r="AL55" s="27">
        <v>10.4991680809981</v>
      </c>
      <c r="AM55" s="27">
        <v>10.0042274381327</v>
      </c>
      <c r="AN55" s="27">
        <v>8.3907706000008702</v>
      </c>
      <c r="AO55" s="27">
        <v>13.234984714039999</v>
      </c>
      <c r="AP55" s="27">
        <v>11.789020795188</v>
      </c>
      <c r="AQ55" s="27">
        <v>14.534744941520399</v>
      </c>
      <c r="AR55" s="27">
        <v>15.660978728884601</v>
      </c>
      <c r="AS55" s="27">
        <v>13.4663269870567</v>
      </c>
      <c r="AT55" s="27">
        <v>10.054802179103399</v>
      </c>
      <c r="AU55" s="27">
        <v>3.6518676217180102</v>
      </c>
      <c r="AV55" s="27">
        <v>1.0802482018397099</v>
      </c>
      <c r="AW55" s="27">
        <v>34.032089891896199</v>
      </c>
      <c r="AX55" s="27">
        <v>1.74876398064132</v>
      </c>
      <c r="AY55" s="27">
        <v>8.2321046751606204</v>
      </c>
      <c r="AZ55" s="27">
        <v>1528.25397716713</v>
      </c>
      <c r="BA55" s="27">
        <v>7.3520572726561797</v>
      </c>
      <c r="BB55" s="27">
        <v>2.1140523835010998</v>
      </c>
      <c r="BC55" s="27">
        <v>0.992002469873415</v>
      </c>
      <c r="BD55" s="27">
        <v>40.395872822273503</v>
      </c>
      <c r="BE55" s="27">
        <v>0.34940144630240999</v>
      </c>
      <c r="BF55" s="27">
        <v>3.00046528682326</v>
      </c>
      <c r="BG55" s="27">
        <v>0.557900631896321</v>
      </c>
      <c r="BH55" s="27">
        <v>0.12221220318855899</v>
      </c>
      <c r="BI55" s="27">
        <v>179594.660058838</v>
      </c>
      <c r="BJ55" s="27">
        <v>30.226131808633198</v>
      </c>
      <c r="BK55" s="27">
        <v>22.810735664512201</v>
      </c>
      <c r="BL55" s="27">
        <v>495.95810010531898</v>
      </c>
      <c r="BM55" s="27">
        <v>0.78547235961341499</v>
      </c>
      <c r="BN55" s="27">
        <v>56.406173912385398</v>
      </c>
      <c r="BO55" s="27">
        <v>0.20712644216048501</v>
      </c>
      <c r="BP55" s="27">
        <v>7.4334802512853297</v>
      </c>
      <c r="BQ55" s="27">
        <v>4.0755334602397202</v>
      </c>
      <c r="BR55" s="27">
        <v>0.30440606860692898</v>
      </c>
      <c r="BS55" s="27">
        <v>96.058799922492398</v>
      </c>
      <c r="BT55" s="27">
        <v>129.64639373882201</v>
      </c>
      <c r="BU55" s="27">
        <v>8.8935443927762403</v>
      </c>
      <c r="BV55" s="27">
        <v>17.7498877471869</v>
      </c>
      <c r="BW55" s="27">
        <v>1.28631620310329</v>
      </c>
      <c r="BX55" s="27">
        <v>0.55115952314467298</v>
      </c>
      <c r="BY55" s="27">
        <v>1.2583173794073499</v>
      </c>
      <c r="BZ55" s="30">
        <v>0</v>
      </c>
      <c r="CA55" s="31">
        <v>182343</v>
      </c>
      <c r="CB55" s="31">
        <v>3410.6282194043902</v>
      </c>
    </row>
    <row r="56" spans="1:80" ht="15" customHeight="1" x14ac:dyDescent="0.3">
      <c r="A56" s="33" t="s">
        <v>74</v>
      </c>
      <c r="B56" s="11" t="s">
        <v>142</v>
      </c>
      <c r="C56" s="26">
        <v>311602.123504858</v>
      </c>
      <c r="D56" s="27">
        <v>-1743.9949217814799</v>
      </c>
      <c r="E56" s="27">
        <v>5.9563693903264996</v>
      </c>
      <c r="F56" s="27">
        <v>7.7815658369829803</v>
      </c>
      <c r="G56" s="27">
        <v>12.761935128178999</v>
      </c>
      <c r="H56" s="27">
        <v>25.095463771896</v>
      </c>
      <c r="I56" s="27">
        <v>11349.6091066554</v>
      </c>
      <c r="J56" s="27">
        <v>11395.2480713924</v>
      </c>
      <c r="K56" s="28">
        <v>301944.91398585698</v>
      </c>
      <c r="L56" s="29">
        <v>0.309007406895837</v>
      </c>
      <c r="M56" s="27">
        <v>0.17820059047980799</v>
      </c>
      <c r="N56" s="27">
        <v>2.2749011550613801E-2</v>
      </c>
      <c r="O56" s="27">
        <v>0.78649970560719695</v>
      </c>
      <c r="P56" s="27">
        <v>4.7921978634092204</v>
      </c>
      <c r="Q56" s="27">
        <v>11.480303159514801</v>
      </c>
      <c r="R56" s="27">
        <v>0.61420438865419902</v>
      </c>
      <c r="S56" s="27">
        <v>18.7927048632767</v>
      </c>
      <c r="T56" s="27">
        <v>9.0742406031902103</v>
      </c>
      <c r="U56" s="27">
        <v>35.101381863516202</v>
      </c>
      <c r="V56" s="27">
        <v>8.1564419471712597</v>
      </c>
      <c r="W56" s="27">
        <v>4.7403921961006601</v>
      </c>
      <c r="X56" s="27">
        <v>3.9366081673314701</v>
      </c>
      <c r="Y56" s="27">
        <v>5.1975865026129204</v>
      </c>
      <c r="Z56" s="27">
        <v>20.339125528942901</v>
      </c>
      <c r="AA56" s="27">
        <v>5.3221124849850803</v>
      </c>
      <c r="AB56" s="27">
        <v>12.9226330738035</v>
      </c>
      <c r="AC56" s="27">
        <v>3.6260320671829702</v>
      </c>
      <c r="AD56" s="27">
        <v>0.66865905181156304</v>
      </c>
      <c r="AE56" s="27">
        <v>0.68818766852180702</v>
      </c>
      <c r="AF56" s="27">
        <v>49.0812932049108</v>
      </c>
      <c r="AG56" s="27">
        <v>74.789485882314295</v>
      </c>
      <c r="AH56" s="27">
        <v>28.086802963844899</v>
      </c>
      <c r="AI56" s="27">
        <v>72.199497420526995</v>
      </c>
      <c r="AJ56" s="27">
        <v>43.238988872536297</v>
      </c>
      <c r="AK56" s="27">
        <v>48.277248700584103</v>
      </c>
      <c r="AL56" s="27">
        <v>26.4685500404462</v>
      </c>
      <c r="AM56" s="27">
        <v>14.678350346932101</v>
      </c>
      <c r="AN56" s="27">
        <v>19.244085475383301</v>
      </c>
      <c r="AO56" s="27">
        <v>220.596969946087</v>
      </c>
      <c r="AP56" s="27">
        <v>51.843583838240299</v>
      </c>
      <c r="AQ56" s="27">
        <v>134.94111953901501</v>
      </c>
      <c r="AR56" s="27">
        <v>87.2965905342231</v>
      </c>
      <c r="AS56" s="27">
        <v>63.504749440862099</v>
      </c>
      <c r="AT56" s="27">
        <v>57.6682956871106</v>
      </c>
      <c r="AU56" s="27">
        <v>14.4644208307847</v>
      </c>
      <c r="AV56" s="27">
        <v>4.4669912811547601</v>
      </c>
      <c r="AW56" s="27">
        <v>46.485817693927302</v>
      </c>
      <c r="AX56" s="27">
        <v>3.0710131019769502</v>
      </c>
      <c r="AY56" s="27">
        <v>8.2502076875911499</v>
      </c>
      <c r="AZ56" s="27">
        <v>3735.8690606914502</v>
      </c>
      <c r="BA56" s="27">
        <v>6.5712671039800901</v>
      </c>
      <c r="BB56" s="27">
        <v>1.7042801153334799</v>
      </c>
      <c r="BC56" s="27">
        <v>0.84578978334647603</v>
      </c>
      <c r="BD56" s="27">
        <v>2.82668851019015</v>
      </c>
      <c r="BE56" s="27">
        <v>0.32565170770977597</v>
      </c>
      <c r="BF56" s="27">
        <v>2.2136575929384401</v>
      </c>
      <c r="BG56" s="27">
        <v>1.55817054724842</v>
      </c>
      <c r="BH56" s="27">
        <v>0.11667217592875501</v>
      </c>
      <c r="BI56" s="27">
        <v>30.226131808633198</v>
      </c>
      <c r="BJ56" s="27">
        <v>256907.714879701</v>
      </c>
      <c r="BK56" s="27">
        <v>1269.16322799659</v>
      </c>
      <c r="BL56" s="27">
        <v>399.82525250781299</v>
      </c>
      <c r="BM56" s="27">
        <v>0.69115838689991205</v>
      </c>
      <c r="BN56" s="27">
        <v>318.48561461392001</v>
      </c>
      <c r="BO56" s="27">
        <v>0.18861739836013999</v>
      </c>
      <c r="BP56" s="27">
        <v>10.557524785056099</v>
      </c>
      <c r="BQ56" s="27">
        <v>5.6154585024333503</v>
      </c>
      <c r="BR56" s="27">
        <v>0.34871012974844001</v>
      </c>
      <c r="BS56" s="27">
        <v>2510.6130379664801</v>
      </c>
      <c r="BT56" s="27">
        <v>763.45361224450198</v>
      </c>
      <c r="BU56" s="27">
        <v>46.568445904319297</v>
      </c>
      <c r="BV56" s="27">
        <v>104.727026641015</v>
      </c>
      <c r="BW56" s="27">
        <v>2.27103279910046</v>
      </c>
      <c r="BX56" s="27">
        <v>0.494584728107333</v>
      </c>
      <c r="BY56" s="27">
        <v>156.621115024917</v>
      </c>
      <c r="BZ56" s="30">
        <v>0</v>
      </c>
      <c r="CA56" s="31">
        <v>267495</v>
      </c>
      <c r="CB56" s="31">
        <v>34449.913985856903</v>
      </c>
    </row>
    <row r="57" spans="1:80" ht="15" customHeight="1" x14ac:dyDescent="0.3">
      <c r="A57" s="33" t="s">
        <v>75</v>
      </c>
      <c r="B57" s="11" t="s">
        <v>143</v>
      </c>
      <c r="C57" s="26">
        <v>874832.07428488799</v>
      </c>
      <c r="D57" s="27">
        <v>1.26625295175453</v>
      </c>
      <c r="E57" s="27">
        <v>0</v>
      </c>
      <c r="F57" s="27">
        <v>9.0118397085610202E-2</v>
      </c>
      <c r="G57" s="27">
        <v>0</v>
      </c>
      <c r="H57" s="27">
        <v>0</v>
      </c>
      <c r="I57" s="27">
        <v>103793.839808736</v>
      </c>
      <c r="J57" s="27">
        <v>103793.92992713299</v>
      </c>
      <c r="K57" s="28">
        <v>771036.87810480397</v>
      </c>
      <c r="L57" s="29">
        <v>5.1833318945423796</v>
      </c>
      <c r="M57" s="27">
        <v>2.98916072446002</v>
      </c>
      <c r="N57" s="27">
        <v>0.38159498610127901</v>
      </c>
      <c r="O57" s="27">
        <v>1.6186209319767699</v>
      </c>
      <c r="P57" s="27">
        <v>18.151319901624699</v>
      </c>
      <c r="Q57" s="27">
        <v>0.81206727232082299</v>
      </c>
      <c r="R57" s="27">
        <v>2.62550046196489E-2</v>
      </c>
      <c r="S57" s="27">
        <v>9.8257439370328399</v>
      </c>
      <c r="T57" s="27">
        <v>7.3841145727165998</v>
      </c>
      <c r="U57" s="27">
        <v>33.804318772859297</v>
      </c>
      <c r="V57" s="27">
        <v>42.5351359169318</v>
      </c>
      <c r="W57" s="27">
        <v>0.41831620057222002</v>
      </c>
      <c r="X57" s="27">
        <v>14.835387021358301</v>
      </c>
      <c r="Y57" s="27">
        <v>3.78907191113352</v>
      </c>
      <c r="Z57" s="27">
        <v>1.4729940323772299</v>
      </c>
      <c r="AA57" s="27">
        <v>33.144014958062499</v>
      </c>
      <c r="AB57" s="27">
        <v>74.796841965340803</v>
      </c>
      <c r="AC57" s="27">
        <v>45.176888056067497</v>
      </c>
      <c r="AD57" s="27">
        <v>10.6210604464856</v>
      </c>
      <c r="AE57" s="27">
        <v>2.7983632314093798</v>
      </c>
      <c r="AF57" s="27">
        <v>111.404044649284</v>
      </c>
      <c r="AG57" s="27">
        <v>53.069717435160499</v>
      </c>
      <c r="AH57" s="27">
        <v>2.2253168421072602</v>
      </c>
      <c r="AI57" s="27">
        <v>18.272806760551799</v>
      </c>
      <c r="AJ57" s="27">
        <v>83.911578984335307</v>
      </c>
      <c r="AK57" s="27">
        <v>52.035143663804199</v>
      </c>
      <c r="AL57" s="27">
        <v>93.874648437079799</v>
      </c>
      <c r="AM57" s="27">
        <v>109.079949309059</v>
      </c>
      <c r="AN57" s="27">
        <v>76.596090170701501</v>
      </c>
      <c r="AO57" s="27">
        <v>7.47974737964529</v>
      </c>
      <c r="AP57" s="27">
        <v>47.279601246695002</v>
      </c>
      <c r="AQ57" s="27">
        <v>10.5988632391382</v>
      </c>
      <c r="AR57" s="27">
        <v>8.2787086659840607</v>
      </c>
      <c r="AS57" s="27">
        <v>36.824298214269099</v>
      </c>
      <c r="AT57" s="27">
        <v>5.3641192307834897</v>
      </c>
      <c r="AU57" s="27">
        <v>13.3570394391734</v>
      </c>
      <c r="AV57" s="27">
        <v>1.8921861357380401</v>
      </c>
      <c r="AW57" s="27">
        <v>407.15542968972102</v>
      </c>
      <c r="AX57" s="27">
        <v>19.322285867002002</v>
      </c>
      <c r="AY57" s="27">
        <v>118.971219849381</v>
      </c>
      <c r="AZ57" s="27">
        <v>157.840638853624</v>
      </c>
      <c r="BA57" s="27">
        <v>87.0354564132668</v>
      </c>
      <c r="BB57" s="27">
        <v>28.587824375420801</v>
      </c>
      <c r="BC57" s="27">
        <v>12.529035376992001</v>
      </c>
      <c r="BD57" s="27">
        <v>44.964609195600701</v>
      </c>
      <c r="BE57" s="27">
        <v>3.8795490253630098</v>
      </c>
      <c r="BF57" s="27">
        <v>52.404020199815797</v>
      </c>
      <c r="BG57" s="27">
        <v>4.37964000365558</v>
      </c>
      <c r="BH57" s="27">
        <v>1.30378286917937</v>
      </c>
      <c r="BI57" s="27">
        <v>22.810735664512201</v>
      </c>
      <c r="BJ57" s="27">
        <v>1269.16322799659</v>
      </c>
      <c r="BK57" s="27">
        <v>704514.53271004697</v>
      </c>
      <c r="BL57" s="27">
        <v>6706.72267822303</v>
      </c>
      <c r="BM57" s="27">
        <v>9.5080750703568793</v>
      </c>
      <c r="BN57" s="27">
        <v>50.063968930612504</v>
      </c>
      <c r="BO57" s="27">
        <v>2.3849686631329998</v>
      </c>
      <c r="BP57" s="27">
        <v>770.37883177346396</v>
      </c>
      <c r="BQ57" s="27">
        <v>47.398159168667497</v>
      </c>
      <c r="BR57" s="27">
        <v>2.13057200573214</v>
      </c>
      <c r="BS57" s="27">
        <v>551.00781577385601</v>
      </c>
      <c r="BT57" s="27">
        <v>37.328467146273098</v>
      </c>
      <c r="BU57" s="27">
        <v>15.2343247506967</v>
      </c>
      <c r="BV57" s="27">
        <v>4.5786890185779399</v>
      </c>
      <c r="BW57" s="27">
        <v>14.1810717693938</v>
      </c>
      <c r="BX57" s="27">
        <v>1841.47791622092</v>
      </c>
      <c r="BY57" s="27">
        <v>8.4158345161451198</v>
      </c>
      <c r="BZ57" s="30">
        <v>0</v>
      </c>
      <c r="CA57" s="31">
        <v>717847</v>
      </c>
      <c r="CB57" s="31">
        <v>53189.8781048034</v>
      </c>
    </row>
    <row r="58" spans="1:80" ht="15" customHeight="1" x14ac:dyDescent="0.3">
      <c r="A58" s="33" t="s">
        <v>76</v>
      </c>
      <c r="B58" s="11" t="s">
        <v>144</v>
      </c>
      <c r="C58" s="26">
        <v>764371.61880446901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890.01975409458896</v>
      </c>
      <c r="J58" s="27">
        <v>890.01975409458896</v>
      </c>
      <c r="K58" s="28">
        <v>763481.599050374</v>
      </c>
      <c r="L58" s="29">
        <v>118.711236517557</v>
      </c>
      <c r="M58" s="27">
        <v>68.4614644822922</v>
      </c>
      <c r="N58" s="27">
        <v>8.7395757998035801</v>
      </c>
      <c r="O58" s="27">
        <v>36.4139574232981</v>
      </c>
      <c r="P58" s="27">
        <v>412.205998031734</v>
      </c>
      <c r="Q58" s="27">
        <v>7.2827914846596098</v>
      </c>
      <c r="R58" s="27">
        <v>0</v>
      </c>
      <c r="S58" s="27">
        <v>211.20095305512899</v>
      </c>
      <c r="T58" s="27">
        <v>161.677970959443</v>
      </c>
      <c r="U58" s="27">
        <v>757.41031440459903</v>
      </c>
      <c r="V58" s="27">
        <v>973.70922149899002</v>
      </c>
      <c r="W58" s="27">
        <v>5.0979540392617304</v>
      </c>
      <c r="X58" s="27">
        <v>337.19324573974001</v>
      </c>
      <c r="Y58" s="27">
        <v>82.295543776653602</v>
      </c>
      <c r="Z58" s="27">
        <v>13.8373038208533</v>
      </c>
      <c r="AA58" s="27">
        <v>755.95375610766803</v>
      </c>
      <c r="AB58" s="27">
        <v>1705.6297657072801</v>
      </c>
      <c r="AC58" s="27">
        <v>1034.1563908216599</v>
      </c>
      <c r="AD58" s="27">
        <v>243.24523558763099</v>
      </c>
      <c r="AE58" s="27">
        <v>64.088565065004602</v>
      </c>
      <c r="AF58" s="27">
        <v>2511.1065039106302</v>
      </c>
      <c r="AG58" s="27">
        <v>1133.9306341614999</v>
      </c>
      <c r="AH58" s="27">
        <v>23.304932750910801</v>
      </c>
      <c r="AI58" s="27">
        <v>348.845712115195</v>
      </c>
      <c r="AJ58" s="27">
        <v>1885.5147153783701</v>
      </c>
      <c r="AK58" s="27">
        <v>1147.7679379823501</v>
      </c>
      <c r="AL58" s="27">
        <v>2129.4882301144698</v>
      </c>
      <c r="AM58" s="27">
        <v>2491.4429669020501</v>
      </c>
      <c r="AN58" s="27">
        <v>1741.3154439821101</v>
      </c>
      <c r="AO58" s="27">
        <v>109.97015141836</v>
      </c>
      <c r="AP58" s="27">
        <v>1036.3412282670599</v>
      </c>
      <c r="AQ58" s="27">
        <v>170.41732074103501</v>
      </c>
      <c r="AR58" s="27">
        <v>104.872197379098</v>
      </c>
      <c r="AS58" s="27">
        <v>785.08492204630602</v>
      </c>
      <c r="AT58" s="27">
        <v>66.273402510402505</v>
      </c>
      <c r="AU58" s="27">
        <v>293.496496831782</v>
      </c>
      <c r="AV58" s="27">
        <v>40.055353165627899</v>
      </c>
      <c r="AW58" s="27">
        <v>9303.0378425041908</v>
      </c>
      <c r="AX58" s="27">
        <v>440.60888482190597</v>
      </c>
      <c r="AY58" s="27">
        <v>2452.3824253627999</v>
      </c>
      <c r="AZ58" s="27">
        <v>2213.2403321880602</v>
      </c>
      <c r="BA58" s="27">
        <v>1993.3000293513401</v>
      </c>
      <c r="BB58" s="27">
        <v>654.72295447089903</v>
      </c>
      <c r="BC58" s="27">
        <v>286.941984495589</v>
      </c>
      <c r="BD58" s="27">
        <v>1029.7867159308701</v>
      </c>
      <c r="BE58" s="27">
        <v>88.850056112847298</v>
      </c>
      <c r="BF58" s="27">
        <v>1019.5908078523501</v>
      </c>
      <c r="BG58" s="27">
        <v>99.0459641913707</v>
      </c>
      <c r="BH58" s="27">
        <v>29.859445087104401</v>
      </c>
      <c r="BI58" s="27">
        <v>495.95810010531898</v>
      </c>
      <c r="BJ58" s="27">
        <v>399.82525250781299</v>
      </c>
      <c r="BK58" s="27">
        <v>6706.72267822304</v>
      </c>
      <c r="BL58" s="27">
        <v>701004.44208887301</v>
      </c>
      <c r="BM58" s="27">
        <v>217.75546539132199</v>
      </c>
      <c r="BN58" s="27">
        <v>832.42306669659399</v>
      </c>
      <c r="BO58" s="27">
        <v>54.620936134947101</v>
      </c>
      <c r="BP58" s="27">
        <v>1733.3043733489901</v>
      </c>
      <c r="BQ58" s="27">
        <v>1082.9510937688799</v>
      </c>
      <c r="BR58" s="27">
        <v>48.794702947219399</v>
      </c>
      <c r="BS58" s="27">
        <v>2062.4865484555999</v>
      </c>
      <c r="BT58" s="27">
        <v>93.948010152109006</v>
      </c>
      <c r="BU58" s="27">
        <v>303.69240491030598</v>
      </c>
      <c r="BV58" s="27">
        <v>0.72827914846596098</v>
      </c>
      <c r="BW58" s="27">
        <v>323.35594191888703</v>
      </c>
      <c r="BX58" s="27">
        <v>148.56894628705601</v>
      </c>
      <c r="BY58" s="27">
        <v>175.51527478029701</v>
      </c>
      <c r="BZ58" s="30">
        <v>0</v>
      </c>
      <c r="CA58" s="31">
        <v>758313</v>
      </c>
      <c r="CB58" s="31">
        <v>5168.5990503742996</v>
      </c>
    </row>
    <row r="59" spans="1:80" ht="15" customHeight="1" x14ac:dyDescent="0.3">
      <c r="A59" s="33" t="s">
        <v>77</v>
      </c>
      <c r="B59" s="11" t="s">
        <v>145</v>
      </c>
      <c r="C59" s="26">
        <v>311717.18923161097</v>
      </c>
      <c r="D59" s="27">
        <v>-74.392638522545397</v>
      </c>
      <c r="E59" s="27">
        <v>0</v>
      </c>
      <c r="F59" s="27">
        <v>0</v>
      </c>
      <c r="G59" s="27">
        <v>0</v>
      </c>
      <c r="H59" s="27">
        <v>0</v>
      </c>
      <c r="I59" s="27">
        <v>16189.5941185273</v>
      </c>
      <c r="J59" s="27">
        <v>16189.5941185273</v>
      </c>
      <c r="K59" s="28">
        <v>295601.98775160598</v>
      </c>
      <c r="L59" s="29">
        <v>0.168293651478789</v>
      </c>
      <c r="M59" s="27">
        <v>9.7052780607399997E-2</v>
      </c>
      <c r="N59" s="27">
        <v>1.23897166732851E-2</v>
      </c>
      <c r="O59" s="27">
        <v>5.2524753161130797E-2</v>
      </c>
      <c r="P59" s="27">
        <v>0.584381636423281</v>
      </c>
      <c r="Q59" s="27">
        <v>1.03247638944043E-2</v>
      </c>
      <c r="R59" s="27">
        <v>3.1797659615631402E-4</v>
      </c>
      <c r="S59" s="27">
        <v>0.45268287228506698</v>
      </c>
      <c r="T59" s="27">
        <v>0.26074243757460902</v>
      </c>
      <c r="U59" s="27">
        <v>1.64809417377571</v>
      </c>
      <c r="V59" s="27">
        <v>1.5615616002922299</v>
      </c>
      <c r="W59" s="27">
        <v>1.4752780835115701E-2</v>
      </c>
      <c r="X59" s="27">
        <v>0.49398839421809199</v>
      </c>
      <c r="Y59" s="27">
        <v>0.13293963451009899</v>
      </c>
      <c r="Z59" s="27">
        <v>2.9845298575729502E-2</v>
      </c>
      <c r="AA59" s="27">
        <v>1.0791299461494801</v>
      </c>
      <c r="AB59" s="27">
        <v>2.4239952671977298</v>
      </c>
      <c r="AC59" s="27">
        <v>1.4803194276337199</v>
      </c>
      <c r="AD59" s="27">
        <v>0.34601302825900898</v>
      </c>
      <c r="AE59" s="27">
        <v>0.107392705270886</v>
      </c>
      <c r="AF59" s="27">
        <v>3.63067538733601</v>
      </c>
      <c r="AG59" s="27">
        <v>1.6602968572213299</v>
      </c>
      <c r="AH59" s="27">
        <v>3.9875741279454403E-2</v>
      </c>
      <c r="AI59" s="27">
        <v>0.53891392570577001</v>
      </c>
      <c r="AJ59" s="27">
        <v>2.7221027641686901</v>
      </c>
      <c r="AK59" s="27">
        <v>1.6621602153352999</v>
      </c>
      <c r="AL59" s="27">
        <v>3.0263804166341202</v>
      </c>
      <c r="AM59" s="27">
        <v>3.5755585297503898</v>
      </c>
      <c r="AN59" s="27">
        <v>2.49907080818434</v>
      </c>
      <c r="AO59" s="27">
        <v>0.28553239383856199</v>
      </c>
      <c r="AP59" s="27">
        <v>1.4971958426354799</v>
      </c>
      <c r="AQ59" s="27">
        <v>0.33020895325795202</v>
      </c>
      <c r="AR59" s="27">
        <v>0.195790132409915</v>
      </c>
      <c r="AS59" s="27">
        <v>1.1664296159710399</v>
      </c>
      <c r="AT59" s="27">
        <v>0.104554571310956</v>
      </c>
      <c r="AU59" s="27">
        <v>0.44756766796396702</v>
      </c>
      <c r="AV59" s="27">
        <v>7.7719660666180704E-2</v>
      </c>
      <c r="AW59" s="27">
        <v>13.204593240221699</v>
      </c>
      <c r="AX59" s="27">
        <v>0.624648215611457</v>
      </c>
      <c r="AY59" s="27">
        <v>3.4753155268564702</v>
      </c>
      <c r="AZ59" s="27">
        <v>1867.49341843564</v>
      </c>
      <c r="BA59" s="27">
        <v>2.8748032776071599</v>
      </c>
      <c r="BB59" s="27">
        <v>0.92819627410694205</v>
      </c>
      <c r="BC59" s="27">
        <v>0.41029343999724699</v>
      </c>
      <c r="BD59" s="27">
        <v>1.4641083065181499</v>
      </c>
      <c r="BE59" s="27">
        <v>0.129300873771373</v>
      </c>
      <c r="BF59" s="27">
        <v>1.4298860920049401</v>
      </c>
      <c r="BG59" s="27">
        <v>0.14168869534852299</v>
      </c>
      <c r="BH59" s="27">
        <v>4.3709430550401503E-2</v>
      </c>
      <c r="BI59" s="27">
        <v>0.78547235961341499</v>
      </c>
      <c r="BJ59" s="27">
        <v>0.69115838689991205</v>
      </c>
      <c r="BK59" s="27">
        <v>9.5080750703568793</v>
      </c>
      <c r="BL59" s="27">
        <v>217.75546539132199</v>
      </c>
      <c r="BM59" s="27">
        <v>276520.23155697802</v>
      </c>
      <c r="BN59" s="27">
        <v>1.1896068149157399</v>
      </c>
      <c r="BO59" s="27">
        <v>7.9078608288172897E-2</v>
      </c>
      <c r="BP59" s="27">
        <v>2.5155895161635402</v>
      </c>
      <c r="BQ59" s="27">
        <v>1.5428178372069501</v>
      </c>
      <c r="BR59" s="27">
        <v>7.7019340797697594E-2</v>
      </c>
      <c r="BS59" s="27">
        <v>6282.3658123958203</v>
      </c>
      <c r="BT59" s="27">
        <v>65.220279341309407</v>
      </c>
      <c r="BU59" s="27">
        <v>0.441671835262128</v>
      </c>
      <c r="BV59" s="27">
        <v>1.03247638944043E-3</v>
      </c>
      <c r="BW59" s="27">
        <v>0.45841951691154897</v>
      </c>
      <c r="BX59" s="27">
        <v>0.21444090259972301</v>
      </c>
      <c r="BY59" s="27">
        <v>0.28576509110863402</v>
      </c>
      <c r="BZ59" s="30">
        <v>0</v>
      </c>
      <c r="CA59" s="31">
        <v>285030</v>
      </c>
      <c r="CB59" s="31">
        <v>10571.987751606301</v>
      </c>
    </row>
    <row r="60" spans="1:80" ht="15" customHeight="1" x14ac:dyDescent="0.3">
      <c r="A60" s="33" t="s">
        <v>78</v>
      </c>
      <c r="B60" s="11" t="s">
        <v>146</v>
      </c>
      <c r="C60" s="26">
        <v>109974.99990161799</v>
      </c>
      <c r="D60" s="27">
        <v>-44.689893052263898</v>
      </c>
      <c r="E60" s="27">
        <v>9.3826099953179192</v>
      </c>
      <c r="F60" s="27">
        <v>15.5879437794321</v>
      </c>
      <c r="G60" s="27">
        <v>8.3778715914120099</v>
      </c>
      <c r="H60" s="27">
        <v>22.616713022628002</v>
      </c>
      <c r="I60" s="27">
        <v>4736.01524106738</v>
      </c>
      <c r="J60" s="27">
        <v>4782.59776946085</v>
      </c>
      <c r="K60" s="28">
        <v>105227.70941521401</v>
      </c>
      <c r="L60" s="29">
        <v>0.64334328976674304</v>
      </c>
      <c r="M60" s="27">
        <v>0.37100778673664903</v>
      </c>
      <c r="N60" s="27">
        <v>4.73626961791467E-2</v>
      </c>
      <c r="O60" s="27">
        <v>1.5483023750823799</v>
      </c>
      <c r="P60" s="27">
        <v>10.003603726440399</v>
      </c>
      <c r="Q60" s="27">
        <v>23.206741647847601</v>
      </c>
      <c r="R60" s="27">
        <v>1.21917889014837</v>
      </c>
      <c r="S60" s="27">
        <v>29.625399874390801</v>
      </c>
      <c r="T60" s="27">
        <v>16.927350073527101</v>
      </c>
      <c r="U60" s="27">
        <v>40.097251487341403</v>
      </c>
      <c r="V60" s="27">
        <v>7.2780063506687398</v>
      </c>
      <c r="W60" s="27">
        <v>9.1363666406378208</v>
      </c>
      <c r="X60" s="27">
        <v>7.4066893536788596</v>
      </c>
      <c r="Y60" s="27">
        <v>9.6109371216421504</v>
      </c>
      <c r="Z60" s="27">
        <v>40.465468213007199</v>
      </c>
      <c r="AA60" s="27">
        <v>10.6662612416772</v>
      </c>
      <c r="AB60" s="27">
        <v>27.052561858476999</v>
      </c>
      <c r="AC60" s="27">
        <v>6.9404667457748301</v>
      </c>
      <c r="AD60" s="27">
        <v>1.3290679659335001</v>
      </c>
      <c r="AE60" s="27">
        <v>0.56043061332086797</v>
      </c>
      <c r="AF60" s="27">
        <v>95.5812124942087</v>
      </c>
      <c r="AG60" s="27">
        <v>147.94207770719899</v>
      </c>
      <c r="AH60" s="27">
        <v>56.615363389826001</v>
      </c>
      <c r="AI60" s="27">
        <v>142.938111402217</v>
      </c>
      <c r="AJ60" s="27">
        <v>153.22746494632901</v>
      </c>
      <c r="AK60" s="27">
        <v>96.104050349721106</v>
      </c>
      <c r="AL60" s="27">
        <v>67.962574220344194</v>
      </c>
      <c r="AM60" s="27">
        <v>31.851049308279102</v>
      </c>
      <c r="AN60" s="27">
        <v>270.07130784568898</v>
      </c>
      <c r="AO60" s="27">
        <v>135.31825987083701</v>
      </c>
      <c r="AP60" s="27">
        <v>105.379177443038</v>
      </c>
      <c r="AQ60" s="27">
        <v>343.794560456093</v>
      </c>
      <c r="AR60" s="27">
        <v>173.85554825379</v>
      </c>
      <c r="AS60" s="27">
        <v>128.76395263874301</v>
      </c>
      <c r="AT60" s="27">
        <v>116.15755108332399</v>
      </c>
      <c r="AU60" s="27">
        <v>30.013912666188499</v>
      </c>
      <c r="AV60" s="27">
        <v>8.6411686847155291</v>
      </c>
      <c r="AW60" s="27">
        <v>94.368208124947898</v>
      </c>
      <c r="AX60" s="27">
        <v>6.2596162629268601</v>
      </c>
      <c r="AY60" s="27">
        <v>17.046361932700901</v>
      </c>
      <c r="AZ60" s="27">
        <v>294.722119782535</v>
      </c>
      <c r="BA60" s="27">
        <v>10.929608515743301</v>
      </c>
      <c r="BB60" s="27">
        <v>3.5482553220877402</v>
      </c>
      <c r="BC60" s="27">
        <v>1.56261851552654</v>
      </c>
      <c r="BD60" s="27">
        <v>5.6811434530029699</v>
      </c>
      <c r="BE60" s="27">
        <v>0.48872119042143503</v>
      </c>
      <c r="BF60" s="27">
        <v>5.4920458065443798</v>
      </c>
      <c r="BG60" s="27">
        <v>3.0838111342787502</v>
      </c>
      <c r="BH60" s="27">
        <v>0.164794157886204</v>
      </c>
      <c r="BI60" s="27">
        <v>56.406173912385398</v>
      </c>
      <c r="BJ60" s="27">
        <v>318.48561461392001</v>
      </c>
      <c r="BK60" s="27">
        <v>50.063968930612504</v>
      </c>
      <c r="BL60" s="27">
        <v>832.42306669659399</v>
      </c>
      <c r="BM60" s="27">
        <v>1.1896068149157399</v>
      </c>
      <c r="BN60" s="27">
        <v>75307.146721633195</v>
      </c>
      <c r="BO60" s="27">
        <v>0.29955992769009199</v>
      </c>
      <c r="BP60" s="27">
        <v>18.379892312793402</v>
      </c>
      <c r="BQ60" s="27">
        <v>11.0844601219779</v>
      </c>
      <c r="BR60" s="27">
        <v>0.281357053637531</v>
      </c>
      <c r="BS60" s="27">
        <v>3790.39277621265</v>
      </c>
      <c r="BT60" s="27">
        <v>1601.818208165</v>
      </c>
      <c r="BU60" s="27">
        <v>93.153705656033907</v>
      </c>
      <c r="BV60" s="27">
        <v>211.70161055879501</v>
      </c>
      <c r="BW60" s="27">
        <v>4.6285746708550999</v>
      </c>
      <c r="BX60" s="27">
        <v>0.81339491611228698</v>
      </c>
      <c r="BY60" s="27">
        <v>1.03086289136945</v>
      </c>
      <c r="BZ60" s="30">
        <v>0</v>
      </c>
      <c r="CA60" s="31">
        <v>85091</v>
      </c>
      <c r="CB60" s="31">
        <v>20136.709415214402</v>
      </c>
    </row>
    <row r="61" spans="1:80" ht="15" customHeight="1" x14ac:dyDescent="0.3">
      <c r="A61" s="33" t="s">
        <v>79</v>
      </c>
      <c r="B61" s="11" t="s">
        <v>147</v>
      </c>
      <c r="C61" s="26">
        <v>163048.14288112699</v>
      </c>
      <c r="D61" s="27">
        <v>-27.785202339745901</v>
      </c>
      <c r="E61" s="27">
        <v>0</v>
      </c>
      <c r="F61" s="27">
        <v>0</v>
      </c>
      <c r="G61" s="27">
        <v>0</v>
      </c>
      <c r="H61" s="27">
        <v>0</v>
      </c>
      <c r="I61" s="27">
        <v>7615.6420426291497</v>
      </c>
      <c r="J61" s="27">
        <v>7615.6420426291497</v>
      </c>
      <c r="K61" s="28">
        <v>155460.28604083799</v>
      </c>
      <c r="L61" s="29">
        <v>4.2214126625114402E-2</v>
      </c>
      <c r="M61" s="27">
        <v>2.4344342961722401E-2</v>
      </c>
      <c r="N61" s="27">
        <v>3.1077884631985999E-3</v>
      </c>
      <c r="O61" s="27">
        <v>1.32856119022319E-2</v>
      </c>
      <c r="P61" s="27">
        <v>0.146584022514201</v>
      </c>
      <c r="Q61" s="27">
        <v>2.58982371933217E-3</v>
      </c>
      <c r="R61" s="27">
        <v>1.1876234314271999E-4</v>
      </c>
      <c r="S61" s="27">
        <v>0.132348337255424</v>
      </c>
      <c r="T61" s="27">
        <v>6.9271352264160604E-2</v>
      </c>
      <c r="U61" s="27">
        <v>0.48384625225015498</v>
      </c>
      <c r="V61" s="27">
        <v>0.41391437941834702</v>
      </c>
      <c r="W61" s="27">
        <v>4.6235853912435501E-3</v>
      </c>
      <c r="X61" s="27">
        <v>0.12586674908607301</v>
      </c>
      <c r="Y61" s="27">
        <v>3.5341681252589401E-2</v>
      </c>
      <c r="Z61" s="27">
        <v>8.7408537711552801E-3</v>
      </c>
      <c r="AA61" s="27">
        <v>0.27159482340667601</v>
      </c>
      <c r="AB61" s="27">
        <v>0.608753612139592</v>
      </c>
      <c r="AC61" s="27">
        <v>0.37305968613887602</v>
      </c>
      <c r="AD61" s="27">
        <v>8.6935574150551101E-2</v>
      </c>
      <c r="AE61" s="27">
        <v>2.89660905735445E-2</v>
      </c>
      <c r="AF61" s="27">
        <v>0.91937604605112999</v>
      </c>
      <c r="AG61" s="27">
        <v>0.422930308337853</v>
      </c>
      <c r="AH61" s="27">
        <v>1.0840826279431399E-2</v>
      </c>
      <c r="AI61" s="27">
        <v>0.14061990302442001</v>
      </c>
      <c r="AJ61" s="27">
        <v>0.68881455550293502</v>
      </c>
      <c r="AK61" s="27">
        <v>0.42122007591244898</v>
      </c>
      <c r="AL61" s="27">
        <v>0.76003557687272305</v>
      </c>
      <c r="AM61" s="27">
        <v>0.90220954794637398</v>
      </c>
      <c r="AN61" s="27">
        <v>0.63058844878630904</v>
      </c>
      <c r="AO61" s="27">
        <v>8.7521786716431196E-2</v>
      </c>
      <c r="AP61" s="27">
        <v>0.378983001457527</v>
      </c>
      <c r="AQ61" s="27">
        <v>9.3696981321477399E-2</v>
      </c>
      <c r="AR61" s="27">
        <v>5.48900820673629E-2</v>
      </c>
      <c r="AS61" s="27">
        <v>0.29913507059198502</v>
      </c>
      <c r="AT61" s="27">
        <v>2.7526140617346699E-2</v>
      </c>
      <c r="AU61" s="27">
        <v>0.116127367860216</v>
      </c>
      <c r="AV61" s="27">
        <v>2.20625513798893E-2</v>
      </c>
      <c r="AW61" s="27">
        <v>3.3141195550604801</v>
      </c>
      <c r="AX61" s="27">
        <v>0.156684335019596</v>
      </c>
      <c r="AY61" s="27">
        <v>0.871734663927209</v>
      </c>
      <c r="AZ61" s="27">
        <v>498.358731721673</v>
      </c>
      <c r="BA61" s="27">
        <v>11381.872431184</v>
      </c>
      <c r="BB61" s="27">
        <v>0.232825152367962</v>
      </c>
      <c r="BC61" s="27">
        <v>0.103345440316257</v>
      </c>
      <c r="BD61" s="27">
        <v>32.216378988695901</v>
      </c>
      <c r="BE61" s="27">
        <v>3.2842853978850998E-2</v>
      </c>
      <c r="BF61" s="27">
        <v>0.35675596589251102</v>
      </c>
      <c r="BG61" s="27">
        <v>3.56966519554884E-2</v>
      </c>
      <c r="BH61" s="27">
        <v>1.1132914069547001E-2</v>
      </c>
      <c r="BI61" s="27">
        <v>0.20712644216048501</v>
      </c>
      <c r="BJ61" s="27">
        <v>0.18861739836013999</v>
      </c>
      <c r="BK61" s="27">
        <v>2.3849686631329998</v>
      </c>
      <c r="BL61" s="27">
        <v>54.620936134947101</v>
      </c>
      <c r="BM61" s="27">
        <v>7.9078608288172897E-2</v>
      </c>
      <c r="BN61" s="27">
        <v>0.29955992769009199</v>
      </c>
      <c r="BO61" s="27">
        <v>125833.03400999701</v>
      </c>
      <c r="BP61" s="27">
        <v>0.63815114144388896</v>
      </c>
      <c r="BQ61" s="27">
        <v>0.38791749585240498</v>
      </c>
      <c r="BR61" s="27">
        <v>2.0281290050379298E-2</v>
      </c>
      <c r="BS61" s="27">
        <v>6911.0295690036301</v>
      </c>
      <c r="BT61" s="27">
        <v>7.7804679079872701</v>
      </c>
      <c r="BU61" s="27">
        <v>0.112152331106147</v>
      </c>
      <c r="BV61" s="27">
        <v>2.5898237193321702E-4</v>
      </c>
      <c r="BW61" s="27">
        <v>0.114988173138348</v>
      </c>
      <c r="BX61" s="27">
        <v>1554.6109403719699</v>
      </c>
      <c r="BY61" s="27">
        <v>7.6210977164317906E-2</v>
      </c>
      <c r="BZ61" s="30">
        <v>0</v>
      </c>
      <c r="CA61" s="31">
        <v>146292</v>
      </c>
      <c r="CB61" s="31">
        <v>9168.2860408380693</v>
      </c>
    </row>
    <row r="62" spans="1:80" ht="15" customHeight="1" x14ac:dyDescent="0.3">
      <c r="A62" s="33" t="s">
        <v>80</v>
      </c>
      <c r="B62" s="11" t="s">
        <v>148</v>
      </c>
      <c r="C62" s="26">
        <v>140220.97617791401</v>
      </c>
      <c r="D62" s="27">
        <v>-838.47922509904697</v>
      </c>
      <c r="E62" s="27">
        <v>-1.4255842018601901</v>
      </c>
      <c r="F62" s="27">
        <v>6.19235735282688</v>
      </c>
      <c r="G62" s="27">
        <v>2.5053881028350502</v>
      </c>
      <c r="H62" s="27">
        <v>35.423752462325901</v>
      </c>
      <c r="I62" s="27">
        <v>11396.966059406899</v>
      </c>
      <c r="J62" s="27">
        <v>11441.087557324799</v>
      </c>
      <c r="K62" s="28">
        <v>129619.79342989001</v>
      </c>
      <c r="L62" s="29">
        <v>1.3395949515703001</v>
      </c>
      <c r="M62" s="27">
        <v>0.77252714998532401</v>
      </c>
      <c r="N62" s="27">
        <v>9.8620487232169096E-2</v>
      </c>
      <c r="O62" s="27">
        <v>0.75490389485274401</v>
      </c>
      <c r="P62" s="27">
        <v>5.9112465842241999</v>
      </c>
      <c r="Q62" s="27">
        <v>0.40093951392127403</v>
      </c>
      <c r="R62" s="27">
        <v>2.1152860317740999E-2</v>
      </c>
      <c r="S62" s="27">
        <v>4.8087928945788398</v>
      </c>
      <c r="T62" s="27">
        <v>2.4518060738384699</v>
      </c>
      <c r="U62" s="27">
        <v>16.652538827898599</v>
      </c>
      <c r="V62" s="27">
        <v>13.4164607662309</v>
      </c>
      <c r="W62" s="27">
        <v>0.28353384895247302</v>
      </c>
      <c r="X62" s="27">
        <v>145.53880849213601</v>
      </c>
      <c r="Y62" s="27">
        <v>2.1415415177882702</v>
      </c>
      <c r="Z62" s="27">
        <v>1.10337540690762</v>
      </c>
      <c r="AA62" s="27">
        <v>8.9735086617509197</v>
      </c>
      <c r="AB62" s="27">
        <v>24.064564152194698</v>
      </c>
      <c r="AC62" s="27">
        <v>11.926135818623001</v>
      </c>
      <c r="AD62" s="27">
        <v>2.76038876938168</v>
      </c>
      <c r="AE62" s="27">
        <v>2.29068860945653</v>
      </c>
      <c r="AF62" s="27">
        <v>31.765708344219799</v>
      </c>
      <c r="AG62" s="27">
        <v>59.433906138309702</v>
      </c>
      <c r="AH62" s="27">
        <v>1.55648668351667</v>
      </c>
      <c r="AI62" s="27">
        <v>6.4862856162786304</v>
      </c>
      <c r="AJ62" s="27">
        <v>28.999194980192499</v>
      </c>
      <c r="AK62" s="27">
        <v>15.8907326429258</v>
      </c>
      <c r="AL62" s="27">
        <v>26.109642301749599</v>
      </c>
      <c r="AM62" s="27">
        <v>28.998891885206</v>
      </c>
      <c r="AN62" s="27">
        <v>35.252097993625597</v>
      </c>
      <c r="AO62" s="27">
        <v>15.838163483689801</v>
      </c>
      <c r="AP62" s="27">
        <v>23.543649393378399</v>
      </c>
      <c r="AQ62" s="27">
        <v>75.917704481446407</v>
      </c>
      <c r="AR62" s="27">
        <v>261.83132911497398</v>
      </c>
      <c r="AS62" s="27">
        <v>14.792315303290099</v>
      </c>
      <c r="AT62" s="27">
        <v>23.768104640227101</v>
      </c>
      <c r="AU62" s="27">
        <v>7.3193171761156997</v>
      </c>
      <c r="AV62" s="27">
        <v>3261.01652258687</v>
      </c>
      <c r="AW62" s="27">
        <v>105.80144250646001</v>
      </c>
      <c r="AX62" s="27">
        <v>5.0459504149018599</v>
      </c>
      <c r="AY62" s="27">
        <v>1058.2710321280799</v>
      </c>
      <c r="AZ62" s="27">
        <v>5912.0327761446597</v>
      </c>
      <c r="BA62" s="27">
        <v>40.501080404513303</v>
      </c>
      <c r="BB62" s="27">
        <v>8.8665054971752202</v>
      </c>
      <c r="BC62" s="27">
        <v>3.2843949550484801</v>
      </c>
      <c r="BD62" s="27">
        <v>11.763059753766401</v>
      </c>
      <c r="BE62" s="27">
        <v>1.0468901706227001</v>
      </c>
      <c r="BF62" s="27">
        <v>696.84275768418604</v>
      </c>
      <c r="BG62" s="27">
        <v>1.1699727542220999</v>
      </c>
      <c r="BH62" s="27">
        <v>0.35521463790282398</v>
      </c>
      <c r="BI62" s="27">
        <v>7.4334802512853297</v>
      </c>
      <c r="BJ62" s="27">
        <v>10.557524785056099</v>
      </c>
      <c r="BK62" s="27">
        <v>770.37883177346396</v>
      </c>
      <c r="BL62" s="27">
        <v>1733.3043733489901</v>
      </c>
      <c r="BM62" s="27">
        <v>2.5155895161635402</v>
      </c>
      <c r="BN62" s="27">
        <v>18.379892312793402</v>
      </c>
      <c r="BO62" s="27">
        <v>0.63815114144388896</v>
      </c>
      <c r="BP62" s="27">
        <v>60525.221429577497</v>
      </c>
      <c r="BQ62" s="27">
        <v>12.392831370342</v>
      </c>
      <c r="BR62" s="27">
        <v>0.65458002932388404</v>
      </c>
      <c r="BS62" s="27">
        <v>38.333829567360397</v>
      </c>
      <c r="BT62" s="27">
        <v>22.441877284622901</v>
      </c>
      <c r="BU62" s="27">
        <v>4.8480403146901203</v>
      </c>
      <c r="BV62" s="27">
        <v>2.9416954296797799</v>
      </c>
      <c r="BW62" s="27">
        <v>3.6889949847815098</v>
      </c>
      <c r="BX62" s="27">
        <v>1.7271180548657099</v>
      </c>
      <c r="BY62" s="27">
        <v>38.329501158204799</v>
      </c>
      <c r="BZ62" s="30">
        <v>0</v>
      </c>
      <c r="CA62" s="31">
        <v>75203</v>
      </c>
      <c r="CB62" s="31">
        <v>54416.7934298904</v>
      </c>
    </row>
    <row r="63" spans="1:80" ht="15" customHeight="1" x14ac:dyDescent="0.3">
      <c r="A63" s="33" t="s">
        <v>81</v>
      </c>
      <c r="B63" s="11" t="s">
        <v>149</v>
      </c>
      <c r="C63" s="26">
        <v>342551.03460603801</v>
      </c>
      <c r="D63" s="27">
        <v>-127.27415265302901</v>
      </c>
      <c r="E63" s="27">
        <v>0</v>
      </c>
      <c r="F63" s="27">
        <v>0</v>
      </c>
      <c r="G63" s="27">
        <v>0</v>
      </c>
      <c r="H63" s="27">
        <v>0</v>
      </c>
      <c r="I63" s="27">
        <v>14269.3135316966</v>
      </c>
      <c r="J63" s="27">
        <v>14269.3135316966</v>
      </c>
      <c r="K63" s="28">
        <v>328408.99522699497</v>
      </c>
      <c r="L63" s="29">
        <v>0.83696541722060103</v>
      </c>
      <c r="M63" s="27">
        <v>0.48266717312108298</v>
      </c>
      <c r="N63" s="27">
        <v>6.1617085930351E-2</v>
      </c>
      <c r="O63" s="27">
        <v>0.269135389405805</v>
      </c>
      <c r="P63" s="27">
        <v>2.9641721526786502</v>
      </c>
      <c r="Q63" s="27">
        <v>0.23861658916329201</v>
      </c>
      <c r="R63" s="27">
        <v>1.049550183894E-2</v>
      </c>
      <c r="S63" s="27">
        <v>1.980175860925</v>
      </c>
      <c r="T63" s="27">
        <v>1.31690021404512</v>
      </c>
      <c r="U63" s="27">
        <v>6.60045398064283</v>
      </c>
      <c r="V63" s="27">
        <v>7.1823110848785703</v>
      </c>
      <c r="W63" s="27">
        <v>0.12300202176074899</v>
      </c>
      <c r="X63" s="27">
        <v>2.44720365960639</v>
      </c>
      <c r="Y63" s="27">
        <v>0.68224650500483797</v>
      </c>
      <c r="Z63" s="27">
        <v>0.44436328785858498</v>
      </c>
      <c r="AA63" s="27">
        <v>5.3941382874536199</v>
      </c>
      <c r="AB63" s="27">
        <v>12.1578880575565</v>
      </c>
      <c r="AC63" s="27">
        <v>7.3237963304327902</v>
      </c>
      <c r="AD63" s="27">
        <v>1.71700358828712</v>
      </c>
      <c r="AE63" s="27">
        <v>0.48014705408383801</v>
      </c>
      <c r="AF63" s="27">
        <v>18.492343913545302</v>
      </c>
      <c r="AG63" s="27">
        <v>9.2421188961103606</v>
      </c>
      <c r="AH63" s="27">
        <v>0.63377711400356895</v>
      </c>
      <c r="AI63" s="27">
        <v>3.68800172246458</v>
      </c>
      <c r="AJ63" s="27">
        <v>13.977557877899001</v>
      </c>
      <c r="AK63" s="27">
        <v>8.8795819026473097</v>
      </c>
      <c r="AL63" s="27">
        <v>15.3650742472599</v>
      </c>
      <c r="AM63" s="27">
        <v>17.751627821186901</v>
      </c>
      <c r="AN63" s="27">
        <v>12.542752591845</v>
      </c>
      <c r="AO63" s="27">
        <v>2.01217467746413</v>
      </c>
      <c r="AP63" s="27">
        <v>8.1236112149155808</v>
      </c>
      <c r="AQ63" s="27">
        <v>2.5500234002376798</v>
      </c>
      <c r="AR63" s="27">
        <v>2.2222648343031599</v>
      </c>
      <c r="AS63" s="27">
        <v>6.5910517953675001</v>
      </c>
      <c r="AT63" s="27">
        <v>1.4217415944938301</v>
      </c>
      <c r="AU63" s="27">
        <v>2.3285265853603598</v>
      </c>
      <c r="AV63" s="27">
        <v>0.372506388537932</v>
      </c>
      <c r="AW63" s="27">
        <v>65.977474830362894</v>
      </c>
      <c r="AX63" s="27">
        <v>3.1381919258697502</v>
      </c>
      <c r="AY63" s="27">
        <v>17.3143517657671</v>
      </c>
      <c r="AZ63" s="27">
        <v>715.23013459515698</v>
      </c>
      <c r="BA63" s="27">
        <v>26.022643133336501</v>
      </c>
      <c r="BB63" s="27">
        <v>4.6161466876154602</v>
      </c>
      <c r="BC63" s="27">
        <v>2.0290784110569202</v>
      </c>
      <c r="BD63" s="27">
        <v>7.2677093994670896</v>
      </c>
      <c r="BE63" s="27">
        <v>0.632152459226067</v>
      </c>
      <c r="BF63" s="27">
        <v>7.1620036257370696</v>
      </c>
      <c r="BG63" s="27">
        <v>0.721310675104337</v>
      </c>
      <c r="BH63" s="27">
        <v>0.212882412256027</v>
      </c>
      <c r="BI63" s="27">
        <v>4.0755334602397202</v>
      </c>
      <c r="BJ63" s="27">
        <v>5.6154585024333503</v>
      </c>
      <c r="BK63" s="27">
        <v>47.398159168667497</v>
      </c>
      <c r="BL63" s="27">
        <v>1082.9510937688799</v>
      </c>
      <c r="BM63" s="27">
        <v>1.5428178372069501</v>
      </c>
      <c r="BN63" s="27">
        <v>11.0844601219779</v>
      </c>
      <c r="BO63" s="27">
        <v>0.38791749585240498</v>
      </c>
      <c r="BP63" s="27">
        <v>12.392831370342</v>
      </c>
      <c r="BQ63" s="27">
        <v>315572.28561632999</v>
      </c>
      <c r="BR63" s="27">
        <v>0.35744759753847799</v>
      </c>
      <c r="BS63" s="27">
        <v>1066.1405925097599</v>
      </c>
      <c r="BT63" s="27">
        <v>218.24095361884699</v>
      </c>
      <c r="BU63" s="27">
        <v>2.9084054103902401</v>
      </c>
      <c r="BV63" s="27">
        <v>1.72855252741032</v>
      </c>
      <c r="BW63" s="27">
        <v>2.3033538917728502</v>
      </c>
      <c r="BX63" s="27">
        <v>1.05401855864549</v>
      </c>
      <c r="BY63" s="27">
        <v>1.3006720894786801</v>
      </c>
      <c r="BZ63" s="30">
        <v>0</v>
      </c>
      <c r="CA63" s="31">
        <v>319061</v>
      </c>
      <c r="CB63" s="31">
        <v>9347.9952269948499</v>
      </c>
    </row>
    <row r="64" spans="1:80" ht="15" customHeight="1" x14ac:dyDescent="0.3">
      <c r="A64" s="33" t="s">
        <v>82</v>
      </c>
      <c r="B64" s="11" t="s">
        <v>150</v>
      </c>
      <c r="C64" s="26">
        <v>48541.923167093599</v>
      </c>
      <c r="D64" s="27">
        <v>-132.65193375104499</v>
      </c>
      <c r="E64" s="27">
        <v>0</v>
      </c>
      <c r="F64" s="27">
        <v>0</v>
      </c>
      <c r="G64" s="27">
        <v>0</v>
      </c>
      <c r="H64" s="27">
        <v>0</v>
      </c>
      <c r="I64" s="27">
        <v>1783.5867224737201</v>
      </c>
      <c r="J64" s="27">
        <v>1783.5867224737201</v>
      </c>
      <c r="K64" s="28">
        <v>46890.988378371003</v>
      </c>
      <c r="L64" s="29">
        <v>3.77112864517688E-2</v>
      </c>
      <c r="M64" s="27">
        <v>2.1747613045805299E-2</v>
      </c>
      <c r="N64" s="27">
        <v>2.77629102712409E-3</v>
      </c>
      <c r="O64" s="27">
        <v>1.3174363448216399E-2</v>
      </c>
      <c r="P64" s="27">
        <v>0.130948393446019</v>
      </c>
      <c r="Q64" s="27">
        <v>2.3135758559367399E-3</v>
      </c>
      <c r="R64" s="27">
        <v>5.6699441242330701E-4</v>
      </c>
      <c r="S64" s="27">
        <v>0.34038500661019999</v>
      </c>
      <c r="T64" s="27">
        <v>0.10758832990044</v>
      </c>
      <c r="U64" s="27">
        <v>1.2646982969226499</v>
      </c>
      <c r="V64" s="27">
        <v>0.63232290888255305</v>
      </c>
      <c r="W64" s="27">
        <v>1.5038370859840699E-2</v>
      </c>
      <c r="X64" s="27">
        <v>0.13556278181977399</v>
      </c>
      <c r="Y64" s="27">
        <v>5.5154621274411002E-2</v>
      </c>
      <c r="Z64" s="27">
        <v>2.2634114392562899E-2</v>
      </c>
      <c r="AA64" s="27">
        <v>0.25337904346944401</v>
      </c>
      <c r="AB64" s="27">
        <v>0.55242336115895296</v>
      </c>
      <c r="AC64" s="27">
        <v>0.35385352196459102</v>
      </c>
      <c r="AD64" s="27">
        <v>7.9352413100505906E-2</v>
      </c>
      <c r="AE64" s="27">
        <v>4.9843176978255299E-2</v>
      </c>
      <c r="AF64" s="27">
        <v>0.92378271282243596</v>
      </c>
      <c r="AG64" s="27">
        <v>0.45425033416288202</v>
      </c>
      <c r="AH64" s="27">
        <v>1.9593822606098699E-2</v>
      </c>
      <c r="AI64" s="27">
        <v>0.18991600403242101</v>
      </c>
      <c r="AJ64" s="27">
        <v>0.68639642768394804</v>
      </c>
      <c r="AK64" s="27">
        <v>0.42698894026219403</v>
      </c>
      <c r="AL64" s="27">
        <v>0.68971944989911305</v>
      </c>
      <c r="AM64" s="27">
        <v>0.86896353668047699</v>
      </c>
      <c r="AN64" s="27">
        <v>0.60741845260963701</v>
      </c>
      <c r="AO64" s="27">
        <v>0.26607971755588</v>
      </c>
      <c r="AP64" s="27">
        <v>0.37911735259304902</v>
      </c>
      <c r="AQ64" s="27">
        <v>0.212140117957548</v>
      </c>
      <c r="AR64" s="27">
        <v>0.11732516443287599</v>
      </c>
      <c r="AS64" s="27">
        <v>0.34465853855709599</v>
      </c>
      <c r="AT64" s="27">
        <v>3.9953354036467902E-2</v>
      </c>
      <c r="AU64" s="27">
        <v>0.14936955382415801</v>
      </c>
      <c r="AV64" s="27">
        <v>5.0051799358853101E-2</v>
      </c>
      <c r="AW64" s="27">
        <v>2.9834280217885398</v>
      </c>
      <c r="AX64" s="27">
        <v>0.13997133928417299</v>
      </c>
      <c r="AY64" s="27">
        <v>0.77874963310830603</v>
      </c>
      <c r="AZ64" s="27">
        <v>144.74887667037899</v>
      </c>
      <c r="BA64" s="27">
        <v>0.72044835221433801</v>
      </c>
      <c r="BB64" s="27">
        <v>0.20799046944871299</v>
      </c>
      <c r="BC64" s="27">
        <v>9.7391827260563904E-2</v>
      </c>
      <c r="BD64" s="27">
        <v>0.33460505245969502</v>
      </c>
      <c r="BE64" s="27">
        <v>3.4179066772872899E-2</v>
      </c>
      <c r="BF64" s="27">
        <v>0.29611789362240098</v>
      </c>
      <c r="BG64" s="27">
        <v>3.3732609290432897E-2</v>
      </c>
      <c r="BH64" s="27">
        <v>1.19426367965083E-2</v>
      </c>
      <c r="BI64" s="27">
        <v>0.30440606860692898</v>
      </c>
      <c r="BJ64" s="27">
        <v>0.34871012974844001</v>
      </c>
      <c r="BK64" s="27">
        <v>2.13057200573214</v>
      </c>
      <c r="BL64" s="27">
        <v>48.794702947219399</v>
      </c>
      <c r="BM64" s="27">
        <v>7.7019340797697594E-2</v>
      </c>
      <c r="BN64" s="27">
        <v>0.281357053637531</v>
      </c>
      <c r="BO64" s="27">
        <v>2.0281290050379298E-2</v>
      </c>
      <c r="BP64" s="27">
        <v>0.65458002932388304</v>
      </c>
      <c r="BQ64" s="27">
        <v>0.35744759753847799</v>
      </c>
      <c r="BR64" s="27">
        <v>46674.0294868204</v>
      </c>
      <c r="BS64" s="27">
        <v>0.69158682386511305</v>
      </c>
      <c r="BT64" s="27">
        <v>3.0317623885270002E-2</v>
      </c>
      <c r="BU64" s="27">
        <v>0.11632091762737801</v>
      </c>
      <c r="BV64" s="27">
        <v>2.3135758559367399E-4</v>
      </c>
      <c r="BW64" s="27">
        <v>0.10272276800359099</v>
      </c>
      <c r="BX64" s="27">
        <v>5.4000880410189203E-2</v>
      </c>
      <c r="BY64" s="27">
        <v>0.121623029037916</v>
      </c>
      <c r="BZ64" s="30">
        <v>0</v>
      </c>
      <c r="CA64" s="31">
        <v>46889</v>
      </c>
      <c r="CB64" s="31">
        <v>1.98837837094894</v>
      </c>
    </row>
    <row r="65" spans="1:80" ht="15" customHeight="1" x14ac:dyDescent="0.3">
      <c r="A65" s="33" t="s">
        <v>83</v>
      </c>
      <c r="B65" s="11" t="s">
        <v>151</v>
      </c>
      <c r="C65" s="26">
        <v>1002406.29611678</v>
      </c>
      <c r="D65" s="27">
        <v>1066.8644272336801</v>
      </c>
      <c r="E65" s="27">
        <v>60.933801041004898</v>
      </c>
      <c r="F65" s="27">
        <v>40.327964798001901</v>
      </c>
      <c r="G65" s="27">
        <v>8.2876764703911494</v>
      </c>
      <c r="H65" s="27">
        <v>671.24197485984303</v>
      </c>
      <c r="I65" s="27">
        <v>2314.47709236321</v>
      </c>
      <c r="J65" s="27">
        <v>3034.3347084914499</v>
      </c>
      <c r="K65" s="28">
        <v>998244.16318001505</v>
      </c>
      <c r="L65" s="29">
        <v>539.23096636077196</v>
      </c>
      <c r="M65" s="27">
        <v>63.846503405948098</v>
      </c>
      <c r="N65" s="27">
        <v>1.54539896938402</v>
      </c>
      <c r="O65" s="27">
        <v>23.526481642111399</v>
      </c>
      <c r="P65" s="27">
        <v>18.1292781312602</v>
      </c>
      <c r="Q65" s="27">
        <v>38.4946593958446</v>
      </c>
      <c r="R65" s="27">
        <v>2.2494016625182298</v>
      </c>
      <c r="S65" s="27">
        <v>51.195608409433298</v>
      </c>
      <c r="T65" s="27">
        <v>28.444448749676301</v>
      </c>
      <c r="U65" s="27">
        <v>79.207314105461606</v>
      </c>
      <c r="V65" s="27">
        <v>16.374896053574499</v>
      </c>
      <c r="W65" s="27">
        <v>15.210371981889599</v>
      </c>
      <c r="X65" s="27">
        <v>13.446032931006799</v>
      </c>
      <c r="Y65" s="27">
        <v>16.322956918212501</v>
      </c>
      <c r="Z65" s="27">
        <v>67.232122487013399</v>
      </c>
      <c r="AA65" s="27">
        <v>20.898014227283898</v>
      </c>
      <c r="AB65" s="27">
        <v>51.262824591963899</v>
      </c>
      <c r="AC65" s="27">
        <v>15.7650153100577</v>
      </c>
      <c r="AD65" s="27">
        <v>6.0570652786358101</v>
      </c>
      <c r="AE65" s="27">
        <v>1.14859998910613</v>
      </c>
      <c r="AF65" s="27">
        <v>1499.0056601727699</v>
      </c>
      <c r="AG65" s="27">
        <v>322.28688779171603</v>
      </c>
      <c r="AH65" s="27">
        <v>106.189599806695</v>
      </c>
      <c r="AI65" s="27">
        <v>620.35273922158694</v>
      </c>
      <c r="AJ65" s="27">
        <v>151.98568094883601</v>
      </c>
      <c r="AK65" s="27">
        <v>170.23056305197201</v>
      </c>
      <c r="AL65" s="27">
        <v>116.440060688919</v>
      </c>
      <c r="AM65" s="27">
        <v>137.10018495662601</v>
      </c>
      <c r="AN65" s="27">
        <v>290.69721635038098</v>
      </c>
      <c r="AO65" s="27">
        <v>220.86566424294901</v>
      </c>
      <c r="AP65" s="27">
        <v>176.83979883540201</v>
      </c>
      <c r="AQ65" s="27">
        <v>477.75575308617101</v>
      </c>
      <c r="AR65" s="27">
        <v>288.66437656436801</v>
      </c>
      <c r="AS65" s="27">
        <v>213.924468095679</v>
      </c>
      <c r="AT65" s="27">
        <v>192.72116533276201</v>
      </c>
      <c r="AU65" s="27">
        <v>51.450074753339102</v>
      </c>
      <c r="AV65" s="27">
        <v>15.3592429908449</v>
      </c>
      <c r="AW65" s="27">
        <v>829.10641361665705</v>
      </c>
      <c r="AX65" s="27">
        <v>7360.9705289421199</v>
      </c>
      <c r="AY65" s="27">
        <v>40.123957751183802</v>
      </c>
      <c r="AZ65" s="27">
        <v>761.51544254656801</v>
      </c>
      <c r="BA65" s="27">
        <v>3546.47305501252</v>
      </c>
      <c r="BB65" s="27">
        <v>12.9926417402417</v>
      </c>
      <c r="BC65" s="27">
        <v>4.8691908313454704</v>
      </c>
      <c r="BD65" s="27">
        <v>2498.53898806597</v>
      </c>
      <c r="BE65" s="27">
        <v>851.80958221690105</v>
      </c>
      <c r="BF65" s="27">
        <v>665.73822238229104</v>
      </c>
      <c r="BG65" s="27">
        <v>561.82523325230602</v>
      </c>
      <c r="BH65" s="27">
        <v>32.3853760817777</v>
      </c>
      <c r="BI65" s="27">
        <v>96.058799922492398</v>
      </c>
      <c r="BJ65" s="27">
        <v>2510.6130379664801</v>
      </c>
      <c r="BK65" s="27">
        <v>551.00781577385601</v>
      </c>
      <c r="BL65" s="27">
        <v>2062.4865484555999</v>
      </c>
      <c r="BM65" s="27">
        <v>6282.3658123958203</v>
      </c>
      <c r="BN65" s="27">
        <v>3790.39277621265</v>
      </c>
      <c r="BO65" s="27">
        <v>6911.0295690036301</v>
      </c>
      <c r="BP65" s="27">
        <v>38.333829567360397</v>
      </c>
      <c r="BQ65" s="27">
        <v>1066.1405925097599</v>
      </c>
      <c r="BR65" s="27">
        <v>0.69158682386511305</v>
      </c>
      <c r="BS65" s="27">
        <v>936564.96889316605</v>
      </c>
      <c r="BT65" s="27">
        <v>2589.4214876077999</v>
      </c>
      <c r="BU65" s="27">
        <v>5019.88250900815</v>
      </c>
      <c r="BV65" s="27">
        <v>357.76864106580001</v>
      </c>
      <c r="BW65" s="27">
        <v>869.339146474637</v>
      </c>
      <c r="BX65" s="27">
        <v>1213.96927906461</v>
      </c>
      <c r="BY65" s="27">
        <v>3.72394504904713</v>
      </c>
      <c r="BZ65" s="30">
        <v>0</v>
      </c>
      <c r="CA65" s="31">
        <v>993216</v>
      </c>
      <c r="CB65" s="31">
        <v>5028.16318001533</v>
      </c>
    </row>
    <row r="66" spans="1:80" ht="15" customHeight="1" x14ac:dyDescent="0.3">
      <c r="A66" s="33" t="s">
        <v>84</v>
      </c>
      <c r="B66" s="11" t="s">
        <v>152</v>
      </c>
      <c r="C66" s="26">
        <v>404445.557628315</v>
      </c>
      <c r="D66" s="27">
        <v>-3.8046108308120101</v>
      </c>
      <c r="E66" s="27">
        <v>7.52920621289071E-2</v>
      </c>
      <c r="F66" s="27">
        <v>3.1185141637129501E-2</v>
      </c>
      <c r="G66" s="27">
        <v>4.8862105216399899E-4</v>
      </c>
      <c r="H66" s="27">
        <v>0.107585471667382</v>
      </c>
      <c r="I66" s="27">
        <v>63.641215272148997</v>
      </c>
      <c r="J66" s="27">
        <v>63.780474506505598</v>
      </c>
      <c r="K66" s="28">
        <v>404385.50647257699</v>
      </c>
      <c r="L66" s="29">
        <v>9.59018889926712E-2</v>
      </c>
      <c r="M66" s="27">
        <v>0.120488140185639</v>
      </c>
      <c r="N66" s="27">
        <v>1.4662832635691399E-2</v>
      </c>
      <c r="O66" s="27">
        <v>3.2339422561957698</v>
      </c>
      <c r="P66" s="27">
        <v>17.354680724452798</v>
      </c>
      <c r="Q66" s="27">
        <v>55.320534724699897</v>
      </c>
      <c r="R66" s="27">
        <v>2.9399652040327102</v>
      </c>
      <c r="S66" s="27">
        <v>67.747666443839194</v>
      </c>
      <c r="T66" s="27">
        <v>36.443721325054803</v>
      </c>
      <c r="U66" s="27">
        <v>82.546373060899995</v>
      </c>
      <c r="V66" s="27">
        <v>2.7442978359188102</v>
      </c>
      <c r="W66" s="27">
        <v>21.916221626474599</v>
      </c>
      <c r="X66" s="27">
        <v>12.7668938686624</v>
      </c>
      <c r="Y66" s="27">
        <v>21.963966060982901</v>
      </c>
      <c r="Z66" s="27">
        <v>97.279868123463302</v>
      </c>
      <c r="AA66" s="27">
        <v>15.6947878433364</v>
      </c>
      <c r="AB66" s="27">
        <v>37.119749411374897</v>
      </c>
      <c r="AC66" s="27">
        <v>3.0384411113166498</v>
      </c>
      <c r="AD66" s="27">
        <v>0.15373663934416601</v>
      </c>
      <c r="AE66" s="27">
        <v>4.0195643080879702E-2</v>
      </c>
      <c r="AF66" s="27">
        <v>201.12694595057701</v>
      </c>
      <c r="AG66" s="27">
        <v>342.55255453347002</v>
      </c>
      <c r="AH66" s="27">
        <v>135.253472655222</v>
      </c>
      <c r="AI66" s="27">
        <v>340.66611186456299</v>
      </c>
      <c r="AJ66" s="27">
        <v>178.331258177406</v>
      </c>
      <c r="AK66" s="27">
        <v>215.56321582123499</v>
      </c>
      <c r="AL66" s="27">
        <v>101.25586590703099</v>
      </c>
      <c r="AM66" s="27">
        <v>34.547526429245103</v>
      </c>
      <c r="AN66" s="27">
        <v>64.133689210962302</v>
      </c>
      <c r="AO66" s="27">
        <v>299.90466010748997</v>
      </c>
      <c r="AP66" s="27">
        <v>227.779595882173</v>
      </c>
      <c r="AQ66" s="27">
        <v>353.651477210716</v>
      </c>
      <c r="AR66" s="27">
        <v>414.26951602596301</v>
      </c>
      <c r="AS66" s="27">
        <v>285.34786463280199</v>
      </c>
      <c r="AT66" s="27">
        <v>276.62157556759001</v>
      </c>
      <c r="AU66" s="27">
        <v>60.842308150142898</v>
      </c>
      <c r="AV66" s="27">
        <v>16.0594072270171</v>
      </c>
      <c r="AW66" s="27">
        <v>111.780416355691</v>
      </c>
      <c r="AX66" s="27">
        <v>9.6224574812413994</v>
      </c>
      <c r="AY66" s="27">
        <v>10.585116606248</v>
      </c>
      <c r="AZ66" s="27">
        <v>254.73154594159399</v>
      </c>
      <c r="BA66" s="27">
        <v>1.93576464788654</v>
      </c>
      <c r="BB66" s="27">
        <v>0.40045926207289501</v>
      </c>
      <c r="BC66" s="27">
        <v>0.175717881194698</v>
      </c>
      <c r="BD66" s="27">
        <v>0.63207883025193401</v>
      </c>
      <c r="BE66" s="27">
        <v>18.41979563057</v>
      </c>
      <c r="BF66" s="27">
        <v>0.62269094600002695</v>
      </c>
      <c r="BG66" s="27">
        <v>6.2068889137427901</v>
      </c>
      <c r="BH66" s="27">
        <v>1.83464428074861E-2</v>
      </c>
      <c r="BI66" s="27">
        <v>129.64639373882201</v>
      </c>
      <c r="BJ66" s="27">
        <v>763.45361224450198</v>
      </c>
      <c r="BK66" s="27">
        <v>37.328467146273098</v>
      </c>
      <c r="BL66" s="27">
        <v>93.948010152109006</v>
      </c>
      <c r="BM66" s="27">
        <v>65.220279341309407</v>
      </c>
      <c r="BN66" s="27">
        <v>1601.818208165</v>
      </c>
      <c r="BO66" s="27">
        <v>7.7804679079872701</v>
      </c>
      <c r="BP66" s="27">
        <v>22.441877284622901</v>
      </c>
      <c r="BQ66" s="27">
        <v>218.24095361884699</v>
      </c>
      <c r="BR66" s="27">
        <v>3.0317623885270002E-2</v>
      </c>
      <c r="BS66" s="27">
        <v>2589.4214876077999</v>
      </c>
      <c r="BT66" s="27">
        <v>392592.23693780199</v>
      </c>
      <c r="BU66" s="27">
        <v>1054.07298483809</v>
      </c>
      <c r="BV66" s="27">
        <v>510.82837621879298</v>
      </c>
      <c r="BW66" s="27">
        <v>212.80635751676601</v>
      </c>
      <c r="BX66" s="27">
        <v>2.04127116527695</v>
      </c>
      <c r="BY66" s="27">
        <v>0.10957857047963</v>
      </c>
      <c r="BZ66" s="30">
        <v>0</v>
      </c>
      <c r="CA66" s="31">
        <v>404343</v>
      </c>
      <c r="CB66" s="31">
        <v>42.506472577453202</v>
      </c>
    </row>
    <row r="67" spans="1:80" ht="15" customHeight="1" x14ac:dyDescent="0.3">
      <c r="A67" s="33" t="s">
        <v>85</v>
      </c>
      <c r="B67" s="11" t="s">
        <v>153</v>
      </c>
      <c r="C67" s="26">
        <v>153534.056710979</v>
      </c>
      <c r="D67" s="27">
        <v>-188.22233843053601</v>
      </c>
      <c r="E67" s="27">
        <v>0</v>
      </c>
      <c r="F67" s="27">
        <v>0</v>
      </c>
      <c r="G67" s="27">
        <v>0</v>
      </c>
      <c r="H67" s="27">
        <v>0</v>
      </c>
      <c r="I67" s="27">
        <v>2801.03517925187</v>
      </c>
      <c r="J67" s="27">
        <v>2801.03517925187</v>
      </c>
      <c r="K67" s="28">
        <v>150921.24387015801</v>
      </c>
      <c r="L67" s="29">
        <v>0.23471054403563599</v>
      </c>
      <c r="M67" s="27">
        <v>0.13535454686717699</v>
      </c>
      <c r="N67" s="27">
        <v>1.72793038553842E-2</v>
      </c>
      <c r="O67" s="27">
        <v>0.26529905246845498</v>
      </c>
      <c r="P67" s="27">
        <v>1.8337937373994699</v>
      </c>
      <c r="Q67" s="27">
        <v>3.3095372394051998</v>
      </c>
      <c r="R67" s="27">
        <v>0.175908461199109</v>
      </c>
      <c r="S67" s="27">
        <v>4.8327520503919397</v>
      </c>
      <c r="T67" s="27">
        <v>2.5643700645818099</v>
      </c>
      <c r="U67" s="27">
        <v>7.8376270848713503</v>
      </c>
      <c r="V67" s="27">
        <v>2.5108584726460399</v>
      </c>
      <c r="W67" s="27">
        <v>1.33444017490928</v>
      </c>
      <c r="X67" s="27">
        <v>1.4552245708465701</v>
      </c>
      <c r="Y67" s="27">
        <v>1.5091983008463301</v>
      </c>
      <c r="Z67" s="27">
        <v>5.8475862249503097</v>
      </c>
      <c r="AA67" s="27">
        <v>2.4207886866778301</v>
      </c>
      <c r="AB67" s="27">
        <v>5.5363647513960297</v>
      </c>
      <c r="AC67" s="27">
        <v>2.2239196710146398</v>
      </c>
      <c r="AD67" s="27">
        <v>0.483890527336793</v>
      </c>
      <c r="AE67" s="27">
        <v>0.168549888072339</v>
      </c>
      <c r="AF67" s="27">
        <v>16.875755508120101</v>
      </c>
      <c r="AG67" s="27">
        <v>22.735218663324599</v>
      </c>
      <c r="AH67" s="27">
        <v>8.1181566408550108</v>
      </c>
      <c r="AI67" s="27">
        <v>21.082182829761798</v>
      </c>
      <c r="AJ67" s="27">
        <v>14.4060319811136</v>
      </c>
      <c r="AK67" s="27">
        <v>15.1563519873853</v>
      </c>
      <c r="AL67" s="27">
        <v>10.182696516478799</v>
      </c>
      <c r="AM67" s="27">
        <v>6.99397292774895</v>
      </c>
      <c r="AN67" s="27">
        <v>7.2766424386915798</v>
      </c>
      <c r="AO67" s="27">
        <v>18.406008953661399</v>
      </c>
      <c r="AP67" s="27">
        <v>15.650594291840999</v>
      </c>
      <c r="AQ67" s="27">
        <v>21.621367753307702</v>
      </c>
      <c r="AR67" s="27">
        <v>25.000291855355499</v>
      </c>
      <c r="AS67" s="27">
        <v>18.656580515139598</v>
      </c>
      <c r="AT67" s="27">
        <v>16.633541121822201</v>
      </c>
      <c r="AU67" s="27">
        <v>4.2734526352601101</v>
      </c>
      <c r="AV67" s="27">
        <v>1.08727339479223</v>
      </c>
      <c r="AW67" s="27">
        <v>24.753303105248001</v>
      </c>
      <c r="AX67" s="27">
        <v>1.42831380939205</v>
      </c>
      <c r="AY67" s="27">
        <v>5.3880750979274303</v>
      </c>
      <c r="AZ67" s="27">
        <v>223.50583572379699</v>
      </c>
      <c r="BA67" s="27">
        <v>4.0648830757002496</v>
      </c>
      <c r="BB67" s="27">
        <v>1.29450784716587</v>
      </c>
      <c r="BC67" s="27">
        <v>0.57618685333757902</v>
      </c>
      <c r="BD67" s="27">
        <v>2.0466708057591099</v>
      </c>
      <c r="BE67" s="27">
        <v>0.18412037306618201</v>
      </c>
      <c r="BF67" s="27">
        <v>1.97649734729143</v>
      </c>
      <c r="BG67" s="27">
        <v>0.56517661114760298</v>
      </c>
      <c r="BH67" s="27">
        <v>6.2523870933634096E-2</v>
      </c>
      <c r="BI67" s="27">
        <v>8.8935443927762403</v>
      </c>
      <c r="BJ67" s="27">
        <v>46.568445904319297</v>
      </c>
      <c r="BK67" s="27">
        <v>15.2343247506967</v>
      </c>
      <c r="BL67" s="27">
        <v>303.69240491030598</v>
      </c>
      <c r="BM67" s="27">
        <v>0.441671835262128</v>
      </c>
      <c r="BN67" s="27">
        <v>93.153705656033907</v>
      </c>
      <c r="BO67" s="27">
        <v>0.112152331106147</v>
      </c>
      <c r="BP67" s="27">
        <v>4.8480403146901203</v>
      </c>
      <c r="BQ67" s="27">
        <v>2.9084054103902401</v>
      </c>
      <c r="BR67" s="27">
        <v>0.11632091762737801</v>
      </c>
      <c r="BS67" s="27">
        <v>5019.88250900815</v>
      </c>
      <c r="BT67" s="27">
        <v>1054.07298483809</v>
      </c>
      <c r="BU67" s="27">
        <v>143309.252459832</v>
      </c>
      <c r="BV67" s="27">
        <v>30.3262590057391</v>
      </c>
      <c r="BW67" s="27">
        <v>1.0532162876138</v>
      </c>
      <c r="BX67" s="27">
        <v>0.30340239472603697</v>
      </c>
      <c r="BY67" s="27">
        <v>0.44048432106230001</v>
      </c>
      <c r="BZ67" s="30">
        <v>0</v>
      </c>
      <c r="CA67" s="31">
        <v>150446</v>
      </c>
      <c r="CB67" s="31">
        <v>475.24387015752097</v>
      </c>
    </row>
    <row r="68" spans="1:80" ht="15" customHeight="1" x14ac:dyDescent="0.3">
      <c r="A68" s="33" t="s">
        <v>86</v>
      </c>
      <c r="B68" s="11" t="s">
        <v>154</v>
      </c>
      <c r="C68" s="26">
        <v>279245.16757023201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76.290276257912097</v>
      </c>
      <c r="J68" s="27">
        <v>76.290276257912097</v>
      </c>
      <c r="K68" s="28">
        <v>279168.87729397498</v>
      </c>
      <c r="L68" s="29">
        <v>5.62855021668192E-4</v>
      </c>
      <c r="M68" s="27">
        <v>3.2459123948963201E-4</v>
      </c>
      <c r="N68" s="27">
        <v>4.1437179509314697E-5</v>
      </c>
      <c r="O68" s="27">
        <v>0.44019421327618702</v>
      </c>
      <c r="P68" s="27">
        <v>2.3487360982285299</v>
      </c>
      <c r="Q68" s="27">
        <v>7.5904064127199096</v>
      </c>
      <c r="R68" s="27">
        <v>0.40335309516476697</v>
      </c>
      <c r="S68" s="27">
        <v>9.2781225872944599</v>
      </c>
      <c r="T68" s="27">
        <v>4.9876775825853201</v>
      </c>
      <c r="U68" s="27">
        <v>11.260809423640801</v>
      </c>
      <c r="V68" s="27">
        <v>0.29796449799137198</v>
      </c>
      <c r="W68" s="27">
        <v>3.0068381538254001</v>
      </c>
      <c r="X68" s="27">
        <v>1.7250165547588601</v>
      </c>
      <c r="Y68" s="27">
        <v>3.0072041822443998</v>
      </c>
      <c r="Z68" s="27">
        <v>13.3473862125017</v>
      </c>
      <c r="AA68" s="27">
        <v>2.0936867182449901</v>
      </c>
      <c r="AB68" s="27">
        <v>4.9583296877684999</v>
      </c>
      <c r="AC68" s="27">
        <v>0.33491956834644199</v>
      </c>
      <c r="AD68" s="27">
        <v>1.15333482967593E-3</v>
      </c>
      <c r="AE68" s="27">
        <v>3.0387264973497498E-4</v>
      </c>
      <c r="AF68" s="27">
        <v>27.036563658951799</v>
      </c>
      <c r="AG68" s="27">
        <v>46.9043409027447</v>
      </c>
      <c r="AH68" s="27">
        <v>18.5543528767247</v>
      </c>
      <c r="AI68" s="27">
        <v>46.717276146801503</v>
      </c>
      <c r="AJ68" s="27">
        <v>24.320131170955602</v>
      </c>
      <c r="AK68" s="27">
        <v>29.486886493133699</v>
      </c>
      <c r="AL68" s="27">
        <v>13.724102095009201</v>
      </c>
      <c r="AM68" s="27">
        <v>4.5220340224644797</v>
      </c>
      <c r="AN68" s="27">
        <v>8.6620136724613293</v>
      </c>
      <c r="AO68" s="27">
        <v>41.142537124648399</v>
      </c>
      <c r="AP68" s="27">
        <v>31.173107476147599</v>
      </c>
      <c r="AQ68" s="27">
        <v>48.513184834362903</v>
      </c>
      <c r="AR68" s="27">
        <v>56.836615201189502</v>
      </c>
      <c r="AS68" s="27">
        <v>39.092304207744903</v>
      </c>
      <c r="AT68" s="27">
        <v>37.952173640629603</v>
      </c>
      <c r="AU68" s="27">
        <v>8.3251327442847796</v>
      </c>
      <c r="AV68" s="27">
        <v>2.20029771221391</v>
      </c>
      <c r="AW68" s="27">
        <v>14.601489766716099</v>
      </c>
      <c r="AX68" s="27">
        <v>1.28548533635482</v>
      </c>
      <c r="AY68" s="27">
        <v>1.25835087754346</v>
      </c>
      <c r="AZ68" s="27">
        <v>33.965490885944803</v>
      </c>
      <c r="BA68" s="27">
        <v>9.4511300264161994E-3</v>
      </c>
      <c r="BB68" s="27">
        <v>3.1043353649061601E-3</v>
      </c>
      <c r="BC68" s="27">
        <v>1.3605207272224999E-3</v>
      </c>
      <c r="BD68" s="27">
        <v>4.8826809855142504E-3</v>
      </c>
      <c r="BE68" s="27">
        <v>4.21277991678033E-4</v>
      </c>
      <c r="BF68" s="27">
        <v>4.8343376094200502E-3</v>
      </c>
      <c r="BG68" s="27">
        <v>0.84384427489410396</v>
      </c>
      <c r="BH68" s="27">
        <v>1.41577029990159E-4</v>
      </c>
      <c r="BI68" s="27">
        <v>17.7498877471869</v>
      </c>
      <c r="BJ68" s="27">
        <v>104.727026641015</v>
      </c>
      <c r="BK68" s="27">
        <v>4.5786890185779399</v>
      </c>
      <c r="BL68" s="27">
        <v>0.72827914846596098</v>
      </c>
      <c r="BM68" s="27">
        <v>1.03247638944043E-3</v>
      </c>
      <c r="BN68" s="27">
        <v>211.70161055879399</v>
      </c>
      <c r="BO68" s="27">
        <v>2.5898237193321702E-4</v>
      </c>
      <c r="BP68" s="27">
        <v>2.9416954296797799</v>
      </c>
      <c r="BQ68" s="27">
        <v>1.72855252741032</v>
      </c>
      <c r="BR68" s="27">
        <v>2.3135758559367399E-4</v>
      </c>
      <c r="BS68" s="27">
        <v>357.76864106580001</v>
      </c>
      <c r="BT68" s="27">
        <v>510.82837621879298</v>
      </c>
      <c r="BU68" s="27">
        <v>30.3262590057391</v>
      </c>
      <c r="BV68" s="27">
        <v>274090.47013555001</v>
      </c>
      <c r="BW68" s="27">
        <v>3230.2228455825798</v>
      </c>
      <c r="BX68" s="27">
        <v>7.0443205165834997E-4</v>
      </c>
      <c r="BY68" s="27">
        <v>8.3219668847873799E-4</v>
      </c>
      <c r="BZ68" s="30">
        <v>0</v>
      </c>
      <c r="CA68" s="31">
        <v>279166</v>
      </c>
      <c r="CB68" s="31">
        <v>2.87729397456238</v>
      </c>
    </row>
    <row r="69" spans="1:80" ht="15" customHeight="1" x14ac:dyDescent="0.3">
      <c r="A69" s="33" t="s">
        <v>87</v>
      </c>
      <c r="B69" s="11" t="s">
        <v>155</v>
      </c>
      <c r="C69" s="26">
        <v>391311.21811623097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8627.7899380715899</v>
      </c>
      <c r="J69" s="27">
        <v>8627.7899380715899</v>
      </c>
      <c r="K69" s="28">
        <v>382683.42817815999</v>
      </c>
      <c r="L69" s="29">
        <v>0.249907629620677</v>
      </c>
      <c r="M69" s="27">
        <v>0.14411851033339701</v>
      </c>
      <c r="N69" s="27">
        <v>1.8398107702135701E-2</v>
      </c>
      <c r="O69" s="27">
        <v>8.2664325670920302E-2</v>
      </c>
      <c r="P69" s="27">
        <v>0.89980697903707196</v>
      </c>
      <c r="Q69" s="27">
        <v>0.118927383150815</v>
      </c>
      <c r="R69" s="27">
        <v>5.50508161379735E-3</v>
      </c>
      <c r="S69" s="27">
        <v>0.57123781325228595</v>
      </c>
      <c r="T69" s="27">
        <v>0.40842781971464198</v>
      </c>
      <c r="U69" s="27">
        <v>1.74814449073987</v>
      </c>
      <c r="V69" s="27">
        <v>2.05385952886542</v>
      </c>
      <c r="W69" s="27">
        <v>5.1770110613947297E-2</v>
      </c>
      <c r="X69" s="27">
        <v>0.73338203452393202</v>
      </c>
      <c r="Y69" s="27">
        <v>0.21428672864948001</v>
      </c>
      <c r="Z69" s="27">
        <v>0.211298492415252</v>
      </c>
      <c r="AA69" s="27">
        <v>1.6199626482335101</v>
      </c>
      <c r="AB69" s="27">
        <v>3.6582597184604002</v>
      </c>
      <c r="AC69" s="27">
        <v>2.1816135691034102</v>
      </c>
      <c r="AD69" s="27">
        <v>0.51208066437611099</v>
      </c>
      <c r="AE69" s="27">
        <v>0.134919456482329</v>
      </c>
      <c r="AF69" s="27">
        <v>5.6552300812047598</v>
      </c>
      <c r="AG69" s="27">
        <v>3.0272453274472801</v>
      </c>
      <c r="AH69" s="27">
        <v>0.30229537477370699</v>
      </c>
      <c r="AI69" s="27">
        <v>1.3719796757142999</v>
      </c>
      <c r="AJ69" s="27">
        <v>4.3011980194583002</v>
      </c>
      <c r="AK69" s="27">
        <v>2.81865623131926</v>
      </c>
      <c r="AL69" s="27">
        <v>4.6701783516228499</v>
      </c>
      <c r="AM69" s="27">
        <v>5.3065506924320802</v>
      </c>
      <c r="AN69" s="27">
        <v>3.7839319833647398</v>
      </c>
      <c r="AO69" s="27">
        <v>0.79302784652587099</v>
      </c>
      <c r="AP69" s="27">
        <v>2.607101608502</v>
      </c>
      <c r="AQ69" s="27">
        <v>1.0208742797420001</v>
      </c>
      <c r="AR69" s="27">
        <v>0.99649333800616502</v>
      </c>
      <c r="AS69" s="27">
        <v>2.18625579648198</v>
      </c>
      <c r="AT69" s="27">
        <v>0.65749711706970404</v>
      </c>
      <c r="AU69" s="27">
        <v>0.73147464969357401</v>
      </c>
      <c r="AV69" s="27">
        <v>0.11435237819489601</v>
      </c>
      <c r="AW69" s="27">
        <v>19.783469048985101</v>
      </c>
      <c r="AX69" s="27">
        <v>0.94508743208718404</v>
      </c>
      <c r="AY69" s="27">
        <v>5.1776849172553598</v>
      </c>
      <c r="AZ69" s="27">
        <v>5.1227485550546401</v>
      </c>
      <c r="BA69" s="27">
        <v>4.1963017317287896</v>
      </c>
      <c r="BB69" s="27">
        <v>1.3783249020183399</v>
      </c>
      <c r="BC69" s="27">
        <v>0.60407120288678995</v>
      </c>
      <c r="BD69" s="27">
        <v>2.1679103575683301</v>
      </c>
      <c r="BE69" s="27">
        <v>0.187047428305047</v>
      </c>
      <c r="BF69" s="27">
        <v>2.1464458985824999</v>
      </c>
      <c r="BG69" s="27">
        <v>0.220022512483357</v>
      </c>
      <c r="BH69" s="27">
        <v>6.2860201315630401E-2</v>
      </c>
      <c r="BI69" s="27">
        <v>1.28631620310329</v>
      </c>
      <c r="BJ69" s="27">
        <v>2.27103279910046</v>
      </c>
      <c r="BK69" s="27">
        <v>14.1810717693938</v>
      </c>
      <c r="BL69" s="27">
        <v>323.35594191888703</v>
      </c>
      <c r="BM69" s="27">
        <v>0.45841951691154897</v>
      </c>
      <c r="BN69" s="27">
        <v>4.6285746708550999</v>
      </c>
      <c r="BO69" s="27">
        <v>0.114988173138348</v>
      </c>
      <c r="BP69" s="27">
        <v>3.6889949847815098</v>
      </c>
      <c r="BQ69" s="27">
        <v>2.3033538917728502</v>
      </c>
      <c r="BR69" s="27">
        <v>0.10272276800359099</v>
      </c>
      <c r="BS69" s="27">
        <v>869.339146474637</v>
      </c>
      <c r="BT69" s="27">
        <v>212.80635751676601</v>
      </c>
      <c r="BU69" s="27">
        <v>1.0532162876138</v>
      </c>
      <c r="BV69" s="27">
        <v>3230.2228455825798</v>
      </c>
      <c r="BW69" s="27">
        <v>377604.54986624903</v>
      </c>
      <c r="BX69" s="27">
        <v>0.312767830936308</v>
      </c>
      <c r="BY69" s="27">
        <v>0.369495329684559</v>
      </c>
      <c r="BZ69" s="30">
        <v>0</v>
      </c>
      <c r="CA69" s="31">
        <v>382369</v>
      </c>
      <c r="CB69" s="31">
        <v>314.42817815959398</v>
      </c>
    </row>
    <row r="70" spans="1:80" ht="15" customHeight="1" x14ac:dyDescent="0.3">
      <c r="A70" s="33" t="s">
        <v>88</v>
      </c>
      <c r="B70" s="11" t="s">
        <v>156</v>
      </c>
      <c r="C70" s="26">
        <v>55271.379410493399</v>
      </c>
      <c r="D70" s="27">
        <v>-64.5333731761839</v>
      </c>
      <c r="E70" s="27">
        <v>0</v>
      </c>
      <c r="F70" s="27">
        <v>1.8544626593806901</v>
      </c>
      <c r="G70" s="27">
        <v>0</v>
      </c>
      <c r="H70" s="27">
        <v>0</v>
      </c>
      <c r="I70" s="27">
        <v>10564.457544283399</v>
      </c>
      <c r="J70" s="27">
        <v>10566.3120069427</v>
      </c>
      <c r="K70" s="28">
        <v>44769.600776726897</v>
      </c>
      <c r="L70" s="29">
        <v>0.114822424420311</v>
      </c>
      <c r="M70" s="27">
        <v>6.6216612855884899E-2</v>
      </c>
      <c r="N70" s="27">
        <v>8.4531846199001996E-3</v>
      </c>
      <c r="O70" s="27">
        <v>3.6003135421663203E-2</v>
      </c>
      <c r="P70" s="27">
        <v>0.39870854123862598</v>
      </c>
      <c r="Q70" s="27">
        <v>7.0443205165834997E-3</v>
      </c>
      <c r="R70" s="27">
        <v>2.7583511955728502E-4</v>
      </c>
      <c r="S70" s="27">
        <v>0.33723782260753299</v>
      </c>
      <c r="T70" s="27">
        <v>0.18373756482425099</v>
      </c>
      <c r="U70" s="27">
        <v>1.2308135321650699</v>
      </c>
      <c r="V70" s="27">
        <v>1.0989597261750099</v>
      </c>
      <c r="W70" s="27">
        <v>1.14591221911309E-2</v>
      </c>
      <c r="X70" s="27">
        <v>0.33998976841560702</v>
      </c>
      <c r="Y70" s="27">
        <v>9.3714385454741297E-2</v>
      </c>
      <c r="Z70" s="27">
        <v>2.2256905327268001E-2</v>
      </c>
      <c r="AA70" s="27">
        <v>0.737636622411038</v>
      </c>
      <c r="AB70" s="27">
        <v>1.65492878721559</v>
      </c>
      <c r="AC70" s="27">
        <v>1.0126141486950799</v>
      </c>
      <c r="AD70" s="27">
        <v>0.23629170069226599</v>
      </c>
      <c r="AE70" s="27">
        <v>7.6333446762913607E-2</v>
      </c>
      <c r="AF70" s="27">
        <v>2.4902090556995602</v>
      </c>
      <c r="AG70" s="27">
        <v>1.14254336175863</v>
      </c>
      <c r="AH70" s="27">
        <v>2.84722807235488E-2</v>
      </c>
      <c r="AI70" s="27">
        <v>0.37590195192259102</v>
      </c>
      <c r="AJ70" s="27">
        <v>1.8662991626752199</v>
      </c>
      <c r="AK70" s="27">
        <v>1.1405267765648599</v>
      </c>
      <c r="AL70" s="27">
        <v>2.0661954718386899</v>
      </c>
      <c r="AM70" s="27">
        <v>2.4475595150627099</v>
      </c>
      <c r="AN70" s="27">
        <v>1.7106852619527599</v>
      </c>
      <c r="AO70" s="27">
        <v>0.21881802353993099</v>
      </c>
      <c r="AP70" s="27">
        <v>1.02668030003087</v>
      </c>
      <c r="AQ70" s="27">
        <v>0.24170315340468401</v>
      </c>
      <c r="AR70" s="27">
        <v>0.14230778565320701</v>
      </c>
      <c r="AS70" s="27">
        <v>0.80571805177332601</v>
      </c>
      <c r="AT70" s="27">
        <v>7.3297820686152704E-2</v>
      </c>
      <c r="AU70" s="27">
        <v>0.31119379365448602</v>
      </c>
      <c r="AV70" s="27">
        <v>5.6902908212063799E-2</v>
      </c>
      <c r="AW70" s="27">
        <v>9.0120688663018491</v>
      </c>
      <c r="AX70" s="27">
        <v>0.42618139125330201</v>
      </c>
      <c r="AY70" s="27">
        <v>2.3711182858820101</v>
      </c>
      <c r="AZ70" s="27">
        <v>77.9914117020368</v>
      </c>
      <c r="BA70" s="27">
        <v>142.57454604367601</v>
      </c>
      <c r="BB70" s="27">
        <v>0.63328441444085704</v>
      </c>
      <c r="BC70" s="27">
        <v>0.28058041466852002</v>
      </c>
      <c r="BD70" s="27">
        <v>1.39316048560907</v>
      </c>
      <c r="BE70" s="27">
        <v>8.8836979057670198E-2</v>
      </c>
      <c r="BF70" s="27">
        <v>0.97268895146338397</v>
      </c>
      <c r="BG70" s="27">
        <v>9.6906099503764803E-2</v>
      </c>
      <c r="BH70" s="27">
        <v>3.0076999636073899E-2</v>
      </c>
      <c r="BI70" s="27">
        <v>0.55115952314467298</v>
      </c>
      <c r="BJ70" s="27">
        <v>0.494584728107333</v>
      </c>
      <c r="BK70" s="27">
        <v>1841.47791622092</v>
      </c>
      <c r="BL70" s="27">
        <v>148.56894628705601</v>
      </c>
      <c r="BM70" s="27">
        <v>0.21444090259972301</v>
      </c>
      <c r="BN70" s="27">
        <v>0.81339491611228698</v>
      </c>
      <c r="BO70" s="27">
        <v>1554.6109403719699</v>
      </c>
      <c r="BP70" s="27">
        <v>1.7271180548657099</v>
      </c>
      <c r="BQ70" s="27">
        <v>1.05401855864549</v>
      </c>
      <c r="BR70" s="27">
        <v>5.4000880410189203E-2</v>
      </c>
      <c r="BS70" s="27">
        <v>1213.96927906461</v>
      </c>
      <c r="BT70" s="27">
        <v>2.04127116527695</v>
      </c>
      <c r="BU70" s="27">
        <v>0.30340239472603697</v>
      </c>
      <c r="BV70" s="27">
        <v>7.0443205165834997E-4</v>
      </c>
      <c r="BW70" s="27">
        <v>0.312767830936308</v>
      </c>
      <c r="BX70" s="27">
        <v>37779.9208708019</v>
      </c>
      <c r="BY70" s="27">
        <v>0.20181097083823399</v>
      </c>
      <c r="BZ70" s="30">
        <v>0</v>
      </c>
      <c r="CA70" s="31">
        <v>42806</v>
      </c>
      <c r="CB70" s="31">
        <v>1963.60077672686</v>
      </c>
    </row>
    <row r="71" spans="1:80" ht="15" customHeight="1" x14ac:dyDescent="0.3">
      <c r="A71" s="33" t="s">
        <v>89</v>
      </c>
      <c r="B71" s="11" t="s">
        <v>157</v>
      </c>
      <c r="C71" s="26">
        <v>186606.08225151899</v>
      </c>
      <c r="D71" s="27">
        <v>-624.56112191157899</v>
      </c>
      <c r="E71" s="27">
        <v>0</v>
      </c>
      <c r="F71" s="27">
        <v>0</v>
      </c>
      <c r="G71" s="27">
        <v>0</v>
      </c>
      <c r="H71" s="27">
        <v>0</v>
      </c>
      <c r="I71" s="27">
        <v>1900.3894161143501</v>
      </c>
      <c r="J71" s="27">
        <v>1900.3894161143501</v>
      </c>
      <c r="K71" s="28">
        <v>185330.25395731701</v>
      </c>
      <c r="L71" s="29">
        <v>0.13564806022203399</v>
      </c>
      <c r="M71" s="27">
        <v>7.8226488717001302E-2</v>
      </c>
      <c r="N71" s="27">
        <v>9.9863602617448494E-3</v>
      </c>
      <c r="O71" s="27">
        <v>4.9175506487905099E-2</v>
      </c>
      <c r="P71" s="27">
        <v>0.47102332567896499</v>
      </c>
      <c r="Q71" s="27">
        <v>8.3219668847873806E-3</v>
      </c>
      <c r="R71" s="27">
        <v>2.6702371990475998E-3</v>
      </c>
      <c r="S71" s="27">
        <v>1.5283913695997799</v>
      </c>
      <c r="T71" s="27">
        <v>0.449546187081167</v>
      </c>
      <c r="U71" s="27">
        <v>5.6883779770310303</v>
      </c>
      <c r="V71" s="27">
        <v>2.63379209688686</v>
      </c>
      <c r="W71" s="27">
        <v>6.9020990530144405E-2</v>
      </c>
      <c r="X71" s="27">
        <v>0.51926396625120996</v>
      </c>
      <c r="Y71" s="27">
        <v>0.2306653624827</v>
      </c>
      <c r="Z71" s="27">
        <v>0.101704366983794</v>
      </c>
      <c r="AA71" s="27">
        <v>0.92612569728537397</v>
      </c>
      <c r="AB71" s="27">
        <v>1.9988490721327601</v>
      </c>
      <c r="AC71" s="27">
        <v>1.3009898925306</v>
      </c>
      <c r="AD71" s="27">
        <v>0.28774456368174001</v>
      </c>
      <c r="AE71" s="27">
        <v>0.21208564293660401</v>
      </c>
      <c r="AF71" s="27">
        <v>3.4630969191296002</v>
      </c>
      <c r="AG71" s="27">
        <v>1.73854457947012</v>
      </c>
      <c r="AH71" s="27">
        <v>8.4040393810843106E-2</v>
      </c>
      <c r="AI71" s="27">
        <v>0.77112030304845602</v>
      </c>
      <c r="AJ71" s="27">
        <v>2.56621879465796</v>
      </c>
      <c r="AK71" s="27">
        <v>1.60526807293773</v>
      </c>
      <c r="AL71" s="27">
        <v>2.4956486517562699</v>
      </c>
      <c r="AM71" s="27">
        <v>3.2118772884889299</v>
      </c>
      <c r="AN71" s="27">
        <v>2.2452349741948798</v>
      </c>
      <c r="AO71" s="27">
        <v>888.73263483815595</v>
      </c>
      <c r="AP71" s="27">
        <v>1.41919676122143</v>
      </c>
      <c r="AQ71" s="27">
        <v>0.93884012457195698</v>
      </c>
      <c r="AR71" s="27">
        <v>0.51547646813315795</v>
      </c>
      <c r="AS71" s="27">
        <v>1.3457078796200801</v>
      </c>
      <c r="AT71" s="27">
        <v>0.16473780528648499</v>
      </c>
      <c r="AU71" s="27">
        <v>0.59972874816264399</v>
      </c>
      <c r="AV71" s="27">
        <v>0.221561433470298</v>
      </c>
      <c r="AW71" s="27">
        <v>10.7626572399802</v>
      </c>
      <c r="AX71" s="27">
        <v>0.50347899652963601</v>
      </c>
      <c r="AY71" s="27">
        <v>2.8011740534194298</v>
      </c>
      <c r="AZ71" s="27">
        <v>6654.3132959972199</v>
      </c>
      <c r="BA71" s="27">
        <v>2.6884938254864599</v>
      </c>
      <c r="BB71" s="27">
        <v>0.74814482294238505</v>
      </c>
      <c r="BC71" s="27">
        <v>0.357258104450146</v>
      </c>
      <c r="BD71" s="27">
        <v>1.2118842406297301</v>
      </c>
      <c r="BE71" s="27">
        <v>0.129565486584406</v>
      </c>
      <c r="BF71" s="27">
        <v>1.0342337411169</v>
      </c>
      <c r="BG71" s="27">
        <v>0.123859698429299</v>
      </c>
      <c r="BH71" s="27">
        <v>4.5691092090167897E-2</v>
      </c>
      <c r="BI71" s="27">
        <v>1.2583173794073499</v>
      </c>
      <c r="BJ71" s="27">
        <v>156.621115024917</v>
      </c>
      <c r="BK71" s="27">
        <v>8.4158345161451198</v>
      </c>
      <c r="BL71" s="27">
        <v>175.51527478029701</v>
      </c>
      <c r="BM71" s="27">
        <v>0.28576509110863402</v>
      </c>
      <c r="BN71" s="27">
        <v>1.03086289136945</v>
      </c>
      <c r="BO71" s="27">
        <v>7.6210977164317906E-2</v>
      </c>
      <c r="BP71" s="27">
        <v>38.329501158204799</v>
      </c>
      <c r="BQ71" s="27">
        <v>1.3006720894786801</v>
      </c>
      <c r="BR71" s="27">
        <v>0.121623029037916</v>
      </c>
      <c r="BS71" s="27">
        <v>3.72394504904713</v>
      </c>
      <c r="BT71" s="27">
        <v>0.10957857047963</v>
      </c>
      <c r="BU71" s="27">
        <v>0.44048432106230001</v>
      </c>
      <c r="BV71" s="27">
        <v>8.3219668847873799E-4</v>
      </c>
      <c r="BW71" s="27">
        <v>0.36949532968456</v>
      </c>
      <c r="BX71" s="27">
        <v>0.20181097083823399</v>
      </c>
      <c r="BY71" s="27">
        <v>177310.65839615901</v>
      </c>
      <c r="BZ71" s="30">
        <v>0</v>
      </c>
      <c r="CA71" s="31">
        <v>185302</v>
      </c>
      <c r="CB71" s="31">
        <v>28.2539573166247</v>
      </c>
    </row>
    <row r="72" spans="1:80" ht="15" customHeight="1" x14ac:dyDescent="0.3">
      <c r="A72" s="34" t="s">
        <v>90</v>
      </c>
      <c r="B72" s="35" t="s">
        <v>158</v>
      </c>
      <c r="C72" s="36">
        <v>61371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8">
        <v>61371</v>
      </c>
      <c r="L72" s="39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AZ72" s="37">
        <v>0</v>
      </c>
      <c r="BA72" s="37">
        <v>0</v>
      </c>
      <c r="BB72" s="37">
        <v>0</v>
      </c>
      <c r="BC72" s="37">
        <v>0</v>
      </c>
      <c r="BD72" s="37">
        <v>0</v>
      </c>
      <c r="BE72" s="37">
        <v>0</v>
      </c>
      <c r="BF72" s="37">
        <v>0</v>
      </c>
      <c r="BG72" s="37">
        <v>0</v>
      </c>
      <c r="BH72" s="37">
        <v>0</v>
      </c>
      <c r="BI72" s="37">
        <v>0</v>
      </c>
      <c r="BJ72" s="37">
        <v>0</v>
      </c>
      <c r="BK72" s="37">
        <v>0</v>
      </c>
      <c r="BL72" s="37">
        <v>0</v>
      </c>
      <c r="BM72" s="37">
        <v>0</v>
      </c>
      <c r="BN72" s="37">
        <v>0</v>
      </c>
      <c r="BO72" s="37">
        <v>0</v>
      </c>
      <c r="BP72" s="37">
        <v>0</v>
      </c>
      <c r="BQ72" s="37">
        <v>0</v>
      </c>
      <c r="BR72" s="37">
        <v>0</v>
      </c>
      <c r="BS72" s="37">
        <v>0</v>
      </c>
      <c r="BT72" s="37">
        <v>0</v>
      </c>
      <c r="BU72" s="37">
        <v>0</v>
      </c>
      <c r="BV72" s="37">
        <v>0</v>
      </c>
      <c r="BW72" s="37">
        <v>0</v>
      </c>
      <c r="BX72" s="37">
        <v>0</v>
      </c>
      <c r="BY72" s="37">
        <v>0</v>
      </c>
      <c r="BZ72" s="40">
        <v>61371</v>
      </c>
      <c r="CA72" s="41">
        <v>61371</v>
      </c>
      <c r="CB72" s="41">
        <v>0</v>
      </c>
    </row>
    <row r="73" spans="1:80" ht="15" customHeight="1" x14ac:dyDescent="0.3">
      <c r="A73" s="42"/>
      <c r="B73" s="42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</row>
    <row r="74" spans="1:80" ht="15" customHeight="1" x14ac:dyDescent="0.2">
      <c r="A74" s="44" t="s">
        <v>159</v>
      </c>
      <c r="B74" s="45"/>
      <c r="C74" s="46">
        <v>19551489</v>
      </c>
      <c r="D74" s="47">
        <v>-9.5154994994572901E-12</v>
      </c>
      <c r="E74" s="47">
        <v>-4.9022313985957997E-12</v>
      </c>
      <c r="F74" s="47">
        <v>61876</v>
      </c>
      <c r="G74" s="47">
        <v>70414</v>
      </c>
      <c r="H74" s="47">
        <v>652462</v>
      </c>
      <c r="I74" s="47">
        <v>513391</v>
      </c>
      <c r="J74" s="47">
        <v>1298143</v>
      </c>
      <c r="K74" s="48">
        <v>18253346</v>
      </c>
      <c r="L74" s="49">
        <v>769160</v>
      </c>
      <c r="M74" s="47">
        <v>272241</v>
      </c>
      <c r="N74" s="47">
        <v>54743</v>
      </c>
      <c r="O74" s="47">
        <v>30081</v>
      </c>
      <c r="P74" s="47">
        <v>406701</v>
      </c>
      <c r="Q74" s="47">
        <v>279099</v>
      </c>
      <c r="R74" s="47">
        <v>30712</v>
      </c>
      <c r="S74" s="47">
        <v>495404</v>
      </c>
      <c r="T74" s="47">
        <v>94655</v>
      </c>
      <c r="U74" s="47">
        <v>513838</v>
      </c>
      <c r="V74" s="47">
        <v>110108</v>
      </c>
      <c r="W74" s="47">
        <v>18653</v>
      </c>
      <c r="X74" s="47">
        <v>82836</v>
      </c>
      <c r="Y74" s="47">
        <v>80645</v>
      </c>
      <c r="Z74" s="47">
        <v>50739</v>
      </c>
      <c r="AA74" s="47">
        <v>61516</v>
      </c>
      <c r="AB74" s="47">
        <v>156926</v>
      </c>
      <c r="AC74" s="47">
        <v>22332</v>
      </c>
      <c r="AD74" s="47">
        <v>678319</v>
      </c>
      <c r="AE74" s="47">
        <v>105728</v>
      </c>
      <c r="AF74" s="47">
        <v>353156</v>
      </c>
      <c r="AG74" s="47">
        <v>138097</v>
      </c>
      <c r="AH74" s="47">
        <v>67872</v>
      </c>
      <c r="AI74" s="47">
        <v>99278</v>
      </c>
      <c r="AJ74" s="47">
        <v>197694</v>
      </c>
      <c r="AK74" s="47">
        <v>143010</v>
      </c>
      <c r="AL74" s="47">
        <v>305615</v>
      </c>
      <c r="AM74" s="47">
        <v>121205</v>
      </c>
      <c r="AN74" s="47">
        <v>189661</v>
      </c>
      <c r="AO74" s="47">
        <v>146376</v>
      </c>
      <c r="AP74" s="47">
        <v>137668</v>
      </c>
      <c r="AQ74" s="47">
        <v>242983</v>
      </c>
      <c r="AR74" s="47">
        <v>241683</v>
      </c>
      <c r="AS74" s="47">
        <v>145523</v>
      </c>
      <c r="AT74" s="47">
        <v>50525</v>
      </c>
      <c r="AU74" s="47">
        <v>113057</v>
      </c>
      <c r="AV74" s="47">
        <v>107939</v>
      </c>
      <c r="AW74" s="47">
        <v>455696</v>
      </c>
      <c r="AX74" s="47">
        <v>107088</v>
      </c>
      <c r="AY74" s="47">
        <v>704341</v>
      </c>
      <c r="AZ74" s="47">
        <v>1668202</v>
      </c>
      <c r="BA74" s="47">
        <v>506364</v>
      </c>
      <c r="BB74" s="47">
        <v>34706</v>
      </c>
      <c r="BC74" s="47">
        <v>35749</v>
      </c>
      <c r="BD74" s="47">
        <v>188012</v>
      </c>
      <c r="BE74" s="47">
        <v>31722</v>
      </c>
      <c r="BF74" s="47">
        <v>287344</v>
      </c>
      <c r="BG74" s="47">
        <v>17626</v>
      </c>
      <c r="BH74" s="47">
        <v>46662</v>
      </c>
      <c r="BI74" s="47">
        <v>182343</v>
      </c>
      <c r="BJ74" s="47">
        <v>267495</v>
      </c>
      <c r="BK74" s="47">
        <v>717847</v>
      </c>
      <c r="BL74" s="47">
        <v>758313</v>
      </c>
      <c r="BM74" s="47">
        <v>285030</v>
      </c>
      <c r="BN74" s="47">
        <v>85091</v>
      </c>
      <c r="BO74" s="47">
        <v>146292</v>
      </c>
      <c r="BP74" s="47">
        <v>75203</v>
      </c>
      <c r="BQ74" s="47">
        <v>319061</v>
      </c>
      <c r="BR74" s="47">
        <v>46889</v>
      </c>
      <c r="BS74" s="47">
        <v>993216</v>
      </c>
      <c r="BT74" s="47">
        <v>404343</v>
      </c>
      <c r="BU74" s="47">
        <v>150446</v>
      </c>
      <c r="BV74" s="47">
        <v>279166</v>
      </c>
      <c r="BW74" s="47">
        <v>382369</v>
      </c>
      <c r="BX74" s="47">
        <v>42806</v>
      </c>
      <c r="BY74" s="47">
        <v>185302</v>
      </c>
      <c r="BZ74" s="50">
        <v>61371</v>
      </c>
      <c r="CA74" s="51">
        <v>16581873</v>
      </c>
      <c r="CB74" s="51">
        <v>1671473</v>
      </c>
    </row>
    <row r="75" spans="1:80" ht="15" customHeight="1" x14ac:dyDescent="0.2">
      <c r="A75" s="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</row>
    <row r="76" spans="1:80" ht="15" customHeight="1" x14ac:dyDescent="0.2">
      <c r="A76" s="53" t="s">
        <v>160</v>
      </c>
    </row>
    <row r="77" spans="1:80" ht="15" customHeight="1" x14ac:dyDescent="0.2"/>
  </sheetData>
  <mergeCells count="14">
    <mergeCell ref="A3:A5"/>
    <mergeCell ref="B3:B5"/>
    <mergeCell ref="C3:K3"/>
    <mergeCell ref="CB3:C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CA4:CA5"/>
  </mergeCells>
  <pageMargins left="0" right="0" top="0" bottom="0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CB96"/>
  <sheetViews>
    <sheetView showGridLines="0" tabSelected="1" zoomScale="90" zoomScaleNormal="90" workbookViewId="0">
      <pane xSplit="2" ySplit="5" topLeftCell="C6" activePane="bottomRight" state="frozen"/>
      <selection pane="topRight"/>
      <selection pane="bottomLeft"/>
      <selection pane="bottomRight" activeCell="A95" sqref="A95:XFD95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78" width="20.7109375" customWidth="1"/>
  </cols>
  <sheetData>
    <row r="1" spans="1:78" ht="15" customHeight="1" x14ac:dyDescent="0.3">
      <c r="A1" s="12" t="s">
        <v>196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78" ht="15" customHeight="1" x14ac:dyDescent="0.3">
      <c r="A2" s="12" t="s">
        <v>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</row>
    <row r="3" spans="1:78" ht="15" customHeight="1" x14ac:dyDescent="0.2">
      <c r="A3" s="126" t="s">
        <v>189</v>
      </c>
      <c r="B3" s="126" t="s">
        <v>190</v>
      </c>
      <c r="C3" s="14" t="s">
        <v>161</v>
      </c>
      <c r="D3" s="15"/>
      <c r="E3" s="15"/>
      <c r="F3" s="15"/>
      <c r="G3" s="15"/>
      <c r="H3" s="15"/>
      <c r="I3" s="15"/>
      <c r="J3" s="15"/>
      <c r="K3" s="15"/>
      <c r="L3" s="16" t="s">
        <v>161</v>
      </c>
      <c r="M3" s="15"/>
      <c r="N3" s="15"/>
      <c r="O3" s="15"/>
      <c r="P3" s="15"/>
      <c r="Q3" s="15"/>
      <c r="R3" s="15"/>
      <c r="S3" s="15"/>
      <c r="T3" s="15"/>
      <c r="U3" s="16" t="s">
        <v>161</v>
      </c>
      <c r="V3" s="15"/>
      <c r="W3" s="15"/>
      <c r="X3" s="15"/>
      <c r="Y3" s="15"/>
      <c r="Z3" s="15"/>
      <c r="AA3" s="15"/>
      <c r="AB3" s="15"/>
      <c r="AC3" s="15"/>
      <c r="AD3" s="16" t="s">
        <v>161</v>
      </c>
      <c r="AE3" s="15"/>
      <c r="AF3" s="15"/>
      <c r="AG3" s="15"/>
      <c r="AH3" s="15"/>
      <c r="AI3" s="15"/>
      <c r="AJ3" s="15"/>
      <c r="AK3" s="15"/>
      <c r="AL3" s="15"/>
      <c r="AM3" s="16" t="s">
        <v>161</v>
      </c>
      <c r="AN3" s="15"/>
      <c r="AO3" s="15"/>
      <c r="AP3" s="15"/>
      <c r="AQ3" s="15"/>
      <c r="AR3" s="15"/>
      <c r="AS3" s="15"/>
      <c r="AT3" s="15"/>
      <c r="AU3" s="15"/>
      <c r="AV3" s="16" t="s">
        <v>161</v>
      </c>
      <c r="AW3" s="15"/>
      <c r="AX3" s="15"/>
      <c r="AY3" s="15"/>
      <c r="AZ3" s="15"/>
      <c r="BA3" s="15"/>
      <c r="BB3" s="15"/>
      <c r="BC3" s="15"/>
      <c r="BD3" s="15"/>
      <c r="BE3" s="16" t="s">
        <v>161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59" t="s">
        <v>161</v>
      </c>
      <c r="BS3" s="127" t="s">
        <v>162</v>
      </c>
      <c r="BT3" s="127"/>
      <c r="BU3" s="127"/>
      <c r="BV3" s="127"/>
      <c r="BW3" s="127"/>
      <c r="BX3" s="127"/>
      <c r="BY3" s="127"/>
      <c r="BZ3" s="128" t="s">
        <v>163</v>
      </c>
    </row>
    <row r="4" spans="1:78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  <c r="BR4" s="128" t="s">
        <v>164</v>
      </c>
      <c r="BS4" s="128" t="s">
        <v>165</v>
      </c>
      <c r="BT4" s="128" t="s">
        <v>166</v>
      </c>
      <c r="BU4" s="128" t="s">
        <v>167</v>
      </c>
      <c r="BV4" s="128" t="s">
        <v>168</v>
      </c>
      <c r="BW4" s="128" t="s">
        <v>169</v>
      </c>
      <c r="BX4" s="128" t="s">
        <v>170</v>
      </c>
      <c r="BY4" s="128" t="s">
        <v>207</v>
      </c>
      <c r="BZ4" s="128"/>
    </row>
    <row r="5" spans="1:78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  <c r="BR5" s="128"/>
      <c r="BS5" s="128"/>
      <c r="BT5" s="128"/>
      <c r="BU5" s="128"/>
      <c r="BV5" s="128"/>
      <c r="BW5" s="128"/>
      <c r="BX5" s="128"/>
      <c r="BY5" s="128"/>
      <c r="BZ5" s="128"/>
    </row>
    <row r="6" spans="1:78" ht="15" customHeight="1" x14ac:dyDescent="0.3">
      <c r="A6" s="19" t="s">
        <v>24</v>
      </c>
      <c r="B6" s="11" t="s">
        <v>92</v>
      </c>
      <c r="C6" s="60">
        <v>21763.314085628201</v>
      </c>
      <c r="D6" s="61">
        <v>17112.898985719399</v>
      </c>
      <c r="E6" s="61">
        <v>326.406616699979</v>
      </c>
      <c r="F6" s="61">
        <v>3.1620347488984102</v>
      </c>
      <c r="G6" s="61">
        <v>11.2471454902881</v>
      </c>
      <c r="H6" s="61">
        <v>19.109114925099899</v>
      </c>
      <c r="I6" s="61">
        <v>2.6823929848526502</v>
      </c>
      <c r="J6" s="61">
        <v>15863.446963897501</v>
      </c>
      <c r="K6" s="61">
        <v>42790.2312632143</v>
      </c>
      <c r="L6" s="61">
        <v>193303.67795198099</v>
      </c>
      <c r="M6" s="61">
        <v>4429.6644419019003</v>
      </c>
      <c r="N6" s="61">
        <v>7692.6095272882703</v>
      </c>
      <c r="O6" s="61">
        <v>14497.2700188616</v>
      </c>
      <c r="P6" s="61">
        <v>1296.6729176792301</v>
      </c>
      <c r="Q6" s="61">
        <v>11.6386485605766</v>
      </c>
      <c r="R6" s="61">
        <v>163.48789419480499</v>
      </c>
      <c r="S6" s="61">
        <v>313.14024354778002</v>
      </c>
      <c r="T6" s="61">
        <v>0.30962663476625701</v>
      </c>
      <c r="U6" s="61">
        <v>19.688264140231201</v>
      </c>
      <c r="V6" s="61">
        <v>39735.052646237004</v>
      </c>
      <c r="W6" s="61">
        <v>34.007363869583898</v>
      </c>
      <c r="X6" s="61">
        <v>30.319621514153202</v>
      </c>
      <c r="Y6" s="61">
        <v>5.5720955994580699</v>
      </c>
      <c r="Z6" s="61">
        <v>40.865609863469501</v>
      </c>
      <c r="AA6" s="61">
        <v>60.160667997956899</v>
      </c>
      <c r="AB6" s="61">
        <v>31.5345538553353</v>
      </c>
      <c r="AC6" s="61">
        <v>67.2538793159259</v>
      </c>
      <c r="AD6" s="61">
        <v>41.288780351070898</v>
      </c>
      <c r="AE6" s="61">
        <v>7.9404264817239296</v>
      </c>
      <c r="AF6" s="61">
        <v>0.51340577881899596</v>
      </c>
      <c r="AG6" s="61">
        <v>0.64431220222827201</v>
      </c>
      <c r="AH6" s="61">
        <v>1.7510737247758801</v>
      </c>
      <c r="AI6" s="61">
        <v>0.86895386356638904</v>
      </c>
      <c r="AJ6" s="61">
        <v>0.71755076197026402</v>
      </c>
      <c r="AK6" s="61">
        <v>0.70420743762309101</v>
      </c>
      <c r="AL6" s="61">
        <v>24.7652073488482</v>
      </c>
      <c r="AM6" s="61">
        <v>0.16545958068651501</v>
      </c>
      <c r="AN6" s="61">
        <v>1.13106001481646</v>
      </c>
      <c r="AO6" s="61">
        <v>88.148561747609506</v>
      </c>
      <c r="AP6" s="61">
        <v>489.70523596324801</v>
      </c>
      <c r="AQ6" s="61">
        <v>24335.4713458607</v>
      </c>
      <c r="AR6" s="61">
        <v>2.4765859091981799</v>
      </c>
      <c r="AS6" s="61">
        <v>0.117715767268344</v>
      </c>
      <c r="AT6" s="61">
        <v>0.44073394426486001</v>
      </c>
      <c r="AU6" s="61">
        <v>20.617996600723199</v>
      </c>
      <c r="AV6" s="61">
        <v>559.20551792549702</v>
      </c>
      <c r="AW6" s="61">
        <v>7788.8308885750102</v>
      </c>
      <c r="AX6" s="61">
        <v>0.25224449724122899</v>
      </c>
      <c r="AY6" s="61">
        <v>1.102258050166</v>
      </c>
      <c r="AZ6" s="61">
        <v>47.0892244655385</v>
      </c>
      <c r="BA6" s="61">
        <v>6.2377669536380296</v>
      </c>
      <c r="BB6" s="61">
        <v>17.587587056752401</v>
      </c>
      <c r="BC6" s="61">
        <v>20.802821167525899</v>
      </c>
      <c r="BD6" s="61">
        <v>15.6277613374137</v>
      </c>
      <c r="BE6" s="61">
        <v>17.623154775843901</v>
      </c>
      <c r="BF6" s="61">
        <v>2.5334746486878101</v>
      </c>
      <c r="BG6" s="61">
        <v>1.8762792148371199</v>
      </c>
      <c r="BH6" s="61">
        <v>257.196900468482</v>
      </c>
      <c r="BI6" s="61">
        <v>0.54088568224176103</v>
      </c>
      <c r="BJ6" s="61">
        <v>1826.33578366194</v>
      </c>
      <c r="BK6" s="61">
        <v>643.71859237546903</v>
      </c>
      <c r="BL6" s="61">
        <v>114.597551233852</v>
      </c>
      <c r="BM6" s="61">
        <v>832.13591499650897</v>
      </c>
      <c r="BN6" s="61">
        <v>349.22373147625598</v>
      </c>
      <c r="BO6" s="61">
        <v>5.8969499083026298</v>
      </c>
      <c r="BP6" s="61">
        <v>610.59415719215201</v>
      </c>
      <c r="BQ6" s="62">
        <v>0</v>
      </c>
      <c r="BR6" s="63">
        <v>397761.90263535402</v>
      </c>
      <c r="BS6" s="64">
        <v>288934.792142572</v>
      </c>
      <c r="BT6" s="65">
        <v>177.539612159635</v>
      </c>
      <c r="BU6" s="65">
        <v>0</v>
      </c>
      <c r="BV6" s="120">
        <v>168172.102768665</v>
      </c>
      <c r="BW6" s="65">
        <v>5007.46916332614</v>
      </c>
      <c r="BX6" s="66">
        <v>46352.2089413258</v>
      </c>
      <c r="BY6" s="106">
        <v>508644.11262804799</v>
      </c>
      <c r="BZ6" s="67">
        <v>906406.01526340295</v>
      </c>
    </row>
    <row r="7" spans="1:78" ht="15" customHeight="1" x14ac:dyDescent="0.3">
      <c r="A7" s="19" t="s">
        <v>25</v>
      </c>
      <c r="B7" s="11" t="s">
        <v>93</v>
      </c>
      <c r="C7" s="68">
        <v>2360.70923171101</v>
      </c>
      <c r="D7" s="69">
        <v>13282.042923863901</v>
      </c>
      <c r="E7" s="69">
        <v>438.800113344311</v>
      </c>
      <c r="F7" s="69">
        <v>7.8843245705179497</v>
      </c>
      <c r="G7" s="69">
        <v>29.249950202016901</v>
      </c>
      <c r="H7" s="69">
        <v>34.479302923010103</v>
      </c>
      <c r="I7" s="69">
        <v>4.9193311812601896</v>
      </c>
      <c r="J7" s="69">
        <v>176538.75623131401</v>
      </c>
      <c r="K7" s="69">
        <v>242.25269069867099</v>
      </c>
      <c r="L7" s="69">
        <v>10363.8558773315</v>
      </c>
      <c r="M7" s="69">
        <v>131.91233068349001</v>
      </c>
      <c r="N7" s="69">
        <v>362.12401545857801</v>
      </c>
      <c r="O7" s="69">
        <v>726.00685820504305</v>
      </c>
      <c r="P7" s="69">
        <v>605.03345973431203</v>
      </c>
      <c r="Q7" s="69">
        <v>11.3460235148402</v>
      </c>
      <c r="R7" s="69">
        <v>327.14125357939503</v>
      </c>
      <c r="S7" s="69">
        <v>545.89437682020196</v>
      </c>
      <c r="T7" s="69">
        <v>0.53554860019529005</v>
      </c>
      <c r="U7" s="69">
        <v>1.38931844731831</v>
      </c>
      <c r="V7" s="69">
        <v>474.32308415231</v>
      </c>
      <c r="W7" s="69">
        <v>119.115623148244</v>
      </c>
      <c r="X7" s="69">
        <v>14.7373620165334</v>
      </c>
      <c r="Y7" s="69">
        <v>15.0256332787479</v>
      </c>
      <c r="Z7" s="69">
        <v>20.137070153488501</v>
      </c>
      <c r="AA7" s="69">
        <v>95.457876627388899</v>
      </c>
      <c r="AB7" s="69">
        <v>148.032359658611</v>
      </c>
      <c r="AC7" s="69">
        <v>144.73254769456801</v>
      </c>
      <c r="AD7" s="69">
        <v>80.792900916089707</v>
      </c>
      <c r="AE7" s="69">
        <v>6.5297935850073099</v>
      </c>
      <c r="AF7" s="69">
        <v>1.1352704289361299</v>
      </c>
      <c r="AG7" s="69">
        <v>2.07745615899442</v>
      </c>
      <c r="AH7" s="69">
        <v>3.6271095757598499</v>
      </c>
      <c r="AI7" s="69">
        <v>1.6803937450817601</v>
      </c>
      <c r="AJ7" s="69">
        <v>1.68269527996015</v>
      </c>
      <c r="AK7" s="69">
        <v>1.0960172511206501</v>
      </c>
      <c r="AL7" s="69">
        <v>14.650160114974099</v>
      </c>
      <c r="AM7" s="69">
        <v>0.42699741414458697</v>
      </c>
      <c r="AN7" s="69">
        <v>1.6685506259618199</v>
      </c>
      <c r="AO7" s="69">
        <v>15.0492979929935</v>
      </c>
      <c r="AP7" s="69">
        <v>986.28235553367097</v>
      </c>
      <c r="AQ7" s="69">
        <v>879.83479915662394</v>
      </c>
      <c r="AR7" s="69">
        <v>2.5410432277775801</v>
      </c>
      <c r="AS7" s="69">
        <v>0.104647144752448</v>
      </c>
      <c r="AT7" s="69">
        <v>0.49084395818075</v>
      </c>
      <c r="AU7" s="69">
        <v>34.463198343572202</v>
      </c>
      <c r="AV7" s="69">
        <v>578.05528967658904</v>
      </c>
      <c r="AW7" s="69">
        <v>3181.6282929048398</v>
      </c>
      <c r="AX7" s="69">
        <v>0.444753333838034</v>
      </c>
      <c r="AY7" s="69">
        <v>1.8170500473178</v>
      </c>
      <c r="AZ7" s="69">
        <v>84.108436451119204</v>
      </c>
      <c r="BA7" s="69">
        <v>10.8545652818874</v>
      </c>
      <c r="BB7" s="69">
        <v>27.870879738191199</v>
      </c>
      <c r="BC7" s="69">
        <v>38.839340397942799</v>
      </c>
      <c r="BD7" s="69">
        <v>11.8031085706557</v>
      </c>
      <c r="BE7" s="69">
        <v>22.814536259061999</v>
      </c>
      <c r="BF7" s="69">
        <v>12.726877716338</v>
      </c>
      <c r="BG7" s="69">
        <v>2.5315186891596699</v>
      </c>
      <c r="BH7" s="69">
        <v>44.242109769584701</v>
      </c>
      <c r="BI7" s="69">
        <v>0.68820618735674099</v>
      </c>
      <c r="BJ7" s="69">
        <v>507.44615680870299</v>
      </c>
      <c r="BK7" s="69">
        <v>179.114803212076</v>
      </c>
      <c r="BL7" s="69">
        <v>36.068744093361701</v>
      </c>
      <c r="BM7" s="69">
        <v>210.662329162753</v>
      </c>
      <c r="BN7" s="69">
        <v>158.81551686200299</v>
      </c>
      <c r="BO7" s="69">
        <v>5.5628368102702401</v>
      </c>
      <c r="BP7" s="69">
        <v>83.779410630821701</v>
      </c>
      <c r="BQ7" s="70">
        <v>0</v>
      </c>
      <c r="BR7" s="71">
        <v>214279.90301197101</v>
      </c>
      <c r="BS7" s="72">
        <v>13128.773670918999</v>
      </c>
      <c r="BT7" s="73">
        <v>10.6239940742356</v>
      </c>
      <c r="BU7" s="73">
        <v>0</v>
      </c>
      <c r="BV7" s="121">
        <v>50185.289188319803</v>
      </c>
      <c r="BW7" s="73">
        <v>31332.4578011753</v>
      </c>
      <c r="BX7" s="74">
        <v>1033.6844818827101</v>
      </c>
      <c r="BY7" s="107">
        <v>95690.8291363709</v>
      </c>
      <c r="BZ7" s="75">
        <v>309970.73214834201</v>
      </c>
    </row>
    <row r="8" spans="1:78" ht="15" customHeight="1" x14ac:dyDescent="0.3">
      <c r="A8" s="19" t="s">
        <v>26</v>
      </c>
      <c r="B8" s="11" t="s">
        <v>94</v>
      </c>
      <c r="C8" s="68">
        <v>2777.9266741393799</v>
      </c>
      <c r="D8" s="69">
        <v>2784.0452399543801</v>
      </c>
      <c r="E8" s="69">
        <v>4512.2752151733903</v>
      </c>
      <c r="F8" s="69">
        <v>2.6154120847102602</v>
      </c>
      <c r="G8" s="69">
        <v>2.31581556228674</v>
      </c>
      <c r="H8" s="69">
        <v>2.6351451184064598</v>
      </c>
      <c r="I8" s="69">
        <v>0.36466991546764299</v>
      </c>
      <c r="J8" s="69">
        <v>4549.4059831692502</v>
      </c>
      <c r="K8" s="69">
        <v>1.4484283114812</v>
      </c>
      <c r="L8" s="69">
        <v>473.78992727135801</v>
      </c>
      <c r="M8" s="69">
        <v>22.984986888859801</v>
      </c>
      <c r="N8" s="69">
        <v>20.525818446338999</v>
      </c>
      <c r="O8" s="69">
        <v>43.089871422623503</v>
      </c>
      <c r="P8" s="69">
        <v>10.596841214060399</v>
      </c>
      <c r="Q8" s="69">
        <v>7.1700034830914898</v>
      </c>
      <c r="R8" s="69">
        <v>3847.9357597203102</v>
      </c>
      <c r="S8" s="69">
        <v>6246.3106478557902</v>
      </c>
      <c r="T8" s="69">
        <v>4.2726502052391098E-2</v>
      </c>
      <c r="U8" s="69">
        <v>0.11823836762411701</v>
      </c>
      <c r="V8" s="69">
        <v>14.196615565887001</v>
      </c>
      <c r="W8" s="69">
        <v>430.76306618643798</v>
      </c>
      <c r="X8" s="69">
        <v>4.8145641869733398</v>
      </c>
      <c r="Y8" s="69">
        <v>0.18822283329463299</v>
      </c>
      <c r="Z8" s="69">
        <v>0.29995924877077101</v>
      </c>
      <c r="AA8" s="69">
        <v>1028.5835366323799</v>
      </c>
      <c r="AB8" s="69">
        <v>124.987578554466</v>
      </c>
      <c r="AC8" s="69">
        <v>1558.8023596062001</v>
      </c>
      <c r="AD8" s="69">
        <v>5.9732383464370198</v>
      </c>
      <c r="AE8" s="69">
        <v>10.0226429317584</v>
      </c>
      <c r="AF8" s="69">
        <v>0.123593122650445</v>
      </c>
      <c r="AG8" s="69">
        <v>0.199661727099955</v>
      </c>
      <c r="AH8" s="69">
        <v>0.41648054592316303</v>
      </c>
      <c r="AI8" s="69">
        <v>0.18322750735540899</v>
      </c>
      <c r="AJ8" s="69">
        <v>0.1663092632905</v>
      </c>
      <c r="AK8" s="69">
        <v>9.7864775150968003E-2</v>
      </c>
      <c r="AL8" s="69">
        <v>3.2042458142180998</v>
      </c>
      <c r="AM8" s="69">
        <v>5.0841502363446901E-2</v>
      </c>
      <c r="AN8" s="69">
        <v>0.226306313032096</v>
      </c>
      <c r="AO8" s="69">
        <v>1.0479282523206299</v>
      </c>
      <c r="AP8" s="69">
        <v>1168.66020399174</v>
      </c>
      <c r="AQ8" s="69">
        <v>289.50084649337703</v>
      </c>
      <c r="AR8" s="69">
        <v>0.28539583062030399</v>
      </c>
      <c r="AS8" s="69">
        <v>1.2090687965377401E-2</v>
      </c>
      <c r="AT8" s="69">
        <v>4.5236979458009197E-2</v>
      </c>
      <c r="AU8" s="69">
        <v>2.69511491933237</v>
      </c>
      <c r="AV8" s="69">
        <v>70.612539211411601</v>
      </c>
      <c r="AW8" s="69">
        <v>889.01129240785201</v>
      </c>
      <c r="AX8" s="69">
        <v>5.2633971062572497E-2</v>
      </c>
      <c r="AY8" s="69">
        <v>0.19586468302167301</v>
      </c>
      <c r="AZ8" s="69">
        <v>6.2234647106559899</v>
      </c>
      <c r="BA8" s="69">
        <v>1.07452691326355</v>
      </c>
      <c r="BB8" s="69">
        <v>2.3499400809217499</v>
      </c>
      <c r="BC8" s="69">
        <v>2.9762221331551002</v>
      </c>
      <c r="BD8" s="69">
        <v>1.0867400922882899</v>
      </c>
      <c r="BE8" s="69">
        <v>5.2977743428524899</v>
      </c>
      <c r="BF8" s="69">
        <v>0.318834080388398</v>
      </c>
      <c r="BG8" s="69">
        <v>0.26556341315312698</v>
      </c>
      <c r="BH8" s="69">
        <v>3.0592281397149401</v>
      </c>
      <c r="BI8" s="69">
        <v>7.1800630719278197E-2</v>
      </c>
      <c r="BJ8" s="69">
        <v>192.97067567065699</v>
      </c>
      <c r="BK8" s="69">
        <v>124.071448261838</v>
      </c>
      <c r="BL8" s="69">
        <v>17.899088800868</v>
      </c>
      <c r="BM8" s="69">
        <v>154.96756897508499</v>
      </c>
      <c r="BN8" s="69">
        <v>31.549105787342601</v>
      </c>
      <c r="BO8" s="69">
        <v>0.53273047340965696</v>
      </c>
      <c r="BP8" s="69">
        <v>6.2016657130892803</v>
      </c>
      <c r="BQ8" s="70">
        <v>0</v>
      </c>
      <c r="BR8" s="71">
        <v>31461.933244912099</v>
      </c>
      <c r="BS8" s="72">
        <v>6688.6278639211696</v>
      </c>
      <c r="BT8" s="73">
        <v>5.0223877275351096</v>
      </c>
      <c r="BU8" s="73">
        <v>0</v>
      </c>
      <c r="BV8" s="121">
        <v>34559.580371293603</v>
      </c>
      <c r="BW8" s="73">
        <v>2181.9304392476902</v>
      </c>
      <c r="BX8" s="74">
        <v>-951.40684719945898</v>
      </c>
      <c r="BY8" s="107">
        <v>42483.7542149906</v>
      </c>
      <c r="BZ8" s="75">
        <v>73945.687459902707</v>
      </c>
    </row>
    <row r="9" spans="1:78" ht="15" customHeight="1" x14ac:dyDescent="0.3">
      <c r="A9" s="19" t="s">
        <v>27</v>
      </c>
      <c r="B9" s="11" t="s">
        <v>95</v>
      </c>
      <c r="C9" s="68">
        <v>249.79760590349099</v>
      </c>
      <c r="D9" s="69">
        <v>1137.40640225367</v>
      </c>
      <c r="E9" s="69">
        <v>35.214173305609997</v>
      </c>
      <c r="F9" s="69">
        <v>529.81218645947297</v>
      </c>
      <c r="G9" s="69">
        <v>1072.39618073579</v>
      </c>
      <c r="H9" s="69">
        <v>2.6522006019475701</v>
      </c>
      <c r="I9" s="69">
        <v>22.0857255679086</v>
      </c>
      <c r="J9" s="69">
        <v>158.20152893487</v>
      </c>
      <c r="K9" s="69">
        <v>28.818489188124399</v>
      </c>
      <c r="L9" s="69">
        <v>477.05886656586</v>
      </c>
      <c r="M9" s="69">
        <v>40.661769404960801</v>
      </c>
      <c r="N9" s="69">
        <v>1.7652693512350999E-2</v>
      </c>
      <c r="O9" s="69">
        <v>0.72652666569870294</v>
      </c>
      <c r="P9" s="69">
        <v>0.14011780736225399</v>
      </c>
      <c r="Q9" s="69">
        <v>0.57799161285408196</v>
      </c>
      <c r="R9" s="69">
        <v>0.17984182848979599</v>
      </c>
      <c r="S9" s="69">
        <v>29.939155191795301</v>
      </c>
      <c r="T9" s="69">
        <v>2.39637865283134</v>
      </c>
      <c r="U9" s="69">
        <v>101.440591828759</v>
      </c>
      <c r="V9" s="69">
        <v>807.67399061485605</v>
      </c>
      <c r="W9" s="69">
        <v>6556.5997276586504</v>
      </c>
      <c r="X9" s="69">
        <v>186.05573605723299</v>
      </c>
      <c r="Y9" s="69">
        <v>10.1985624581247</v>
      </c>
      <c r="Z9" s="69">
        <v>2.1930926533690802</v>
      </c>
      <c r="AA9" s="69">
        <v>12.194855641264599</v>
      </c>
      <c r="AB9" s="69">
        <v>10491.0484546032</v>
      </c>
      <c r="AC9" s="69">
        <v>15847.336834178101</v>
      </c>
      <c r="AD9" s="69">
        <v>1919.74053203056</v>
      </c>
      <c r="AE9" s="69">
        <v>29.941949469571298</v>
      </c>
      <c r="AF9" s="69">
        <v>1.53583053636005</v>
      </c>
      <c r="AG9" s="69">
        <v>144.117923313212</v>
      </c>
      <c r="AH9" s="69">
        <v>20.3406880464631</v>
      </c>
      <c r="AI9" s="69">
        <v>38.352838051174103</v>
      </c>
      <c r="AJ9" s="69">
        <v>186.99506110762101</v>
      </c>
      <c r="AK9" s="69">
        <v>8.3354313615140594</v>
      </c>
      <c r="AL9" s="69">
        <v>75.807036165711594</v>
      </c>
      <c r="AM9" s="69">
        <v>9.6435026880088799</v>
      </c>
      <c r="AN9" s="69">
        <v>4151.1631236183202</v>
      </c>
      <c r="AO9" s="69">
        <v>817.48557706558904</v>
      </c>
      <c r="AP9" s="69">
        <v>11159.3318004864</v>
      </c>
      <c r="AQ9" s="69">
        <v>174.756494086385</v>
      </c>
      <c r="AR9" s="69">
        <v>0.62806229793966795</v>
      </c>
      <c r="AS9" s="69">
        <v>0.18763092850114199</v>
      </c>
      <c r="AT9" s="69">
        <v>4.5234480997706897E-2</v>
      </c>
      <c r="AU9" s="69">
        <v>9.7716412405653603</v>
      </c>
      <c r="AV9" s="69">
        <v>3.9304085846127799</v>
      </c>
      <c r="AW9" s="69">
        <v>19.606693967577499</v>
      </c>
      <c r="AX9" s="69">
        <v>9.7169310815910903E-2</v>
      </c>
      <c r="AY9" s="69">
        <v>0.13526985578547901</v>
      </c>
      <c r="AZ9" s="69">
        <v>0.61907919667375</v>
      </c>
      <c r="BA9" s="69">
        <v>0.95593506236755899</v>
      </c>
      <c r="BB9" s="69">
        <v>1.1996308418222099</v>
      </c>
      <c r="BC9" s="69">
        <v>392.96343680561102</v>
      </c>
      <c r="BD9" s="69">
        <v>1.4837361864019301</v>
      </c>
      <c r="BE9" s="69">
        <v>12.523934705372501</v>
      </c>
      <c r="BF9" s="69">
        <v>0.50758344198258498</v>
      </c>
      <c r="BG9" s="69">
        <v>0.46377093410648801</v>
      </c>
      <c r="BH9" s="69">
        <v>2.85661039571194</v>
      </c>
      <c r="BI9" s="69">
        <v>0.10947532900432499</v>
      </c>
      <c r="BJ9" s="69">
        <v>130.752768849272</v>
      </c>
      <c r="BK9" s="69">
        <v>28.1646281739892</v>
      </c>
      <c r="BL9" s="69">
        <v>1.53336077159553</v>
      </c>
      <c r="BM9" s="69">
        <v>19.0469137321811</v>
      </c>
      <c r="BN9" s="69">
        <v>6.0923649227563503</v>
      </c>
      <c r="BO9" s="69">
        <v>1.0271982854530901</v>
      </c>
      <c r="BP9" s="69">
        <v>4.4172370908197003</v>
      </c>
      <c r="BQ9" s="70">
        <v>0</v>
      </c>
      <c r="BR9" s="71">
        <v>57179.492202486603</v>
      </c>
      <c r="BS9" s="72">
        <v>3941.0545475588201</v>
      </c>
      <c r="BT9" s="73">
        <v>4.5260178270296297E-2</v>
      </c>
      <c r="BU9" s="73">
        <v>0</v>
      </c>
      <c r="BV9" s="121">
        <v>305.613481109585</v>
      </c>
      <c r="BW9" s="73">
        <v>25.265463670846</v>
      </c>
      <c r="BX9" s="74">
        <v>1099.6569630157501</v>
      </c>
      <c r="BY9" s="107">
        <v>5371.6357155332698</v>
      </c>
      <c r="BZ9" s="75">
        <v>62551.127918019898</v>
      </c>
    </row>
    <row r="10" spans="1:78" ht="15" customHeight="1" x14ac:dyDescent="0.3">
      <c r="A10" s="19" t="s">
        <v>28</v>
      </c>
      <c r="B10" s="11" t="s">
        <v>96</v>
      </c>
      <c r="C10" s="68">
        <v>67.626452031817493</v>
      </c>
      <c r="D10" s="69">
        <v>45.676109063559203</v>
      </c>
      <c r="E10" s="69">
        <v>2.8570840256915799</v>
      </c>
      <c r="F10" s="69">
        <v>5.0332369759636704</v>
      </c>
      <c r="G10" s="69">
        <v>9940.1890246274197</v>
      </c>
      <c r="H10" s="69">
        <v>1516.9023977736199</v>
      </c>
      <c r="I10" s="69">
        <v>79.629161580826306</v>
      </c>
      <c r="J10" s="69">
        <v>98.443330138000107</v>
      </c>
      <c r="K10" s="69">
        <v>1.3546489067099801</v>
      </c>
      <c r="L10" s="69">
        <v>903.48828072669005</v>
      </c>
      <c r="M10" s="69">
        <v>188.12800444521801</v>
      </c>
      <c r="N10" s="69">
        <v>0.28513686846417602</v>
      </c>
      <c r="O10" s="69">
        <v>155.58829866077099</v>
      </c>
      <c r="P10" s="69">
        <v>1.2402705445061799</v>
      </c>
      <c r="Q10" s="69">
        <v>2.9435956506568601</v>
      </c>
      <c r="R10" s="69">
        <v>83.665140809833403</v>
      </c>
      <c r="S10" s="69">
        <v>1032.64863068154</v>
      </c>
      <c r="T10" s="69">
        <v>0.69526971662030201</v>
      </c>
      <c r="U10" s="69">
        <v>193934.67262301099</v>
      </c>
      <c r="V10" s="69">
        <v>2.0401343064968001</v>
      </c>
      <c r="W10" s="69">
        <v>2704.8482982175901</v>
      </c>
      <c r="X10" s="69">
        <v>129.28253152008</v>
      </c>
      <c r="Y10" s="69">
        <v>36.588870735651902</v>
      </c>
      <c r="Z10" s="69">
        <v>45.722364213105102</v>
      </c>
      <c r="AA10" s="69">
        <v>158.748237368438</v>
      </c>
      <c r="AB10" s="69">
        <v>923.60665305509895</v>
      </c>
      <c r="AC10" s="69">
        <v>575.18697139388098</v>
      </c>
      <c r="AD10" s="69">
        <v>420.897892190655</v>
      </c>
      <c r="AE10" s="69">
        <v>511.75048301279998</v>
      </c>
      <c r="AF10" s="69">
        <v>1.2653127950837699</v>
      </c>
      <c r="AG10" s="69">
        <v>51.399008574305398</v>
      </c>
      <c r="AH10" s="69">
        <v>187.71151533929799</v>
      </c>
      <c r="AI10" s="69">
        <v>75.412667675681107</v>
      </c>
      <c r="AJ10" s="69">
        <v>185.06088469853901</v>
      </c>
      <c r="AK10" s="69">
        <v>3.6448639935568101</v>
      </c>
      <c r="AL10" s="69">
        <v>3.9501158497590598</v>
      </c>
      <c r="AM10" s="69">
        <v>72.064558124440197</v>
      </c>
      <c r="AN10" s="69">
        <v>30352.2932155165</v>
      </c>
      <c r="AO10" s="69">
        <v>1628.6262946025199</v>
      </c>
      <c r="AP10" s="69">
        <v>1898.8580840720899</v>
      </c>
      <c r="AQ10" s="69">
        <v>289.15664948166199</v>
      </c>
      <c r="AR10" s="69">
        <v>207.41840970742001</v>
      </c>
      <c r="AS10" s="69">
        <v>4.9631532716122004</v>
      </c>
      <c r="AT10" s="69">
        <v>0.33445264676795</v>
      </c>
      <c r="AU10" s="69">
        <v>153.59057643303299</v>
      </c>
      <c r="AV10" s="69">
        <v>3.45306610929623</v>
      </c>
      <c r="AW10" s="69">
        <v>78.454894368391805</v>
      </c>
      <c r="AX10" s="69">
        <v>0.65754672746112397</v>
      </c>
      <c r="AY10" s="69">
        <v>1.4394632367676801</v>
      </c>
      <c r="AZ10" s="69">
        <v>202.41201798018801</v>
      </c>
      <c r="BA10" s="69">
        <v>8.7447584228248996</v>
      </c>
      <c r="BB10" s="69">
        <v>13.1789588864865</v>
      </c>
      <c r="BC10" s="69">
        <v>6.0506155397425196</v>
      </c>
      <c r="BD10" s="69">
        <v>15.539586539116399</v>
      </c>
      <c r="BE10" s="69">
        <v>84.989509463842396</v>
      </c>
      <c r="BF10" s="69">
        <v>5.9122029474373203</v>
      </c>
      <c r="BG10" s="69">
        <v>11.4037401794741</v>
      </c>
      <c r="BH10" s="69">
        <v>21.780210341677499</v>
      </c>
      <c r="BI10" s="69">
        <v>0.98761379293269602</v>
      </c>
      <c r="BJ10" s="69">
        <v>3414.5232077585301</v>
      </c>
      <c r="BK10" s="69">
        <v>39.705056666411899</v>
      </c>
      <c r="BL10" s="69">
        <v>14.6674519723293</v>
      </c>
      <c r="BM10" s="69">
        <v>4.3301047257550502</v>
      </c>
      <c r="BN10" s="69">
        <v>9.2426329579376301</v>
      </c>
      <c r="BO10" s="69">
        <v>10.9318641351332</v>
      </c>
      <c r="BP10" s="69">
        <v>42.846155702281301</v>
      </c>
      <c r="BQ10" s="70">
        <v>0</v>
      </c>
      <c r="BR10" s="71">
        <v>252676.73955348899</v>
      </c>
      <c r="BS10" s="72">
        <v>165144.12693467599</v>
      </c>
      <c r="BT10" s="73">
        <v>0</v>
      </c>
      <c r="BU10" s="73">
        <v>0</v>
      </c>
      <c r="BV10" s="121">
        <v>1115.3589846462901</v>
      </c>
      <c r="BW10" s="73">
        <v>58608.187176853397</v>
      </c>
      <c r="BX10" s="74">
        <v>-12658.3565592177</v>
      </c>
      <c r="BY10" s="107">
        <v>212209.31653695801</v>
      </c>
      <c r="BZ10" s="75">
        <v>464886.056090447</v>
      </c>
    </row>
    <row r="11" spans="1:78" ht="15" customHeight="1" x14ac:dyDescent="0.3">
      <c r="A11" s="19" t="s">
        <v>29</v>
      </c>
      <c r="B11" s="11" t="s">
        <v>97</v>
      </c>
      <c r="C11" s="68">
        <v>0.59468298332422598</v>
      </c>
      <c r="D11" s="69">
        <v>1.20877415625567</v>
      </c>
      <c r="E11" s="69">
        <v>8.2631065797242401E-2</v>
      </c>
      <c r="F11" s="69">
        <v>0.17977574888123099</v>
      </c>
      <c r="G11" s="69">
        <v>26.681913100440699</v>
      </c>
      <c r="H11" s="69">
        <v>9060.1727696371399</v>
      </c>
      <c r="I11" s="69">
        <v>134.02359764681</v>
      </c>
      <c r="J11" s="69">
        <v>1.92551304735329</v>
      </c>
      <c r="K11" s="69">
        <v>0.10424183888235899</v>
      </c>
      <c r="L11" s="69">
        <v>2.6549729115331999</v>
      </c>
      <c r="M11" s="69">
        <v>0.37428293408315599</v>
      </c>
      <c r="N11" s="69">
        <v>0.100992418867331</v>
      </c>
      <c r="O11" s="69">
        <v>0.21375188318098201</v>
      </c>
      <c r="P11" s="69">
        <v>8.6831235651449998E-2</v>
      </c>
      <c r="Q11" s="69">
        <v>9.5647879205559602E-2</v>
      </c>
      <c r="R11" s="69">
        <v>0.44115074241511398</v>
      </c>
      <c r="S11" s="69">
        <v>1.5901466642643101</v>
      </c>
      <c r="T11" s="69">
        <v>1.32409924851567</v>
      </c>
      <c r="U11" s="69">
        <v>0.29545900242536899</v>
      </c>
      <c r="V11" s="69">
        <v>1.8094235052400799E-2</v>
      </c>
      <c r="W11" s="69">
        <v>0.60624145279361097</v>
      </c>
      <c r="X11" s="69">
        <v>1.00806737508889</v>
      </c>
      <c r="Y11" s="69">
        <v>0.27164079072696701</v>
      </c>
      <c r="Z11" s="69">
        <v>1.0262497548360301</v>
      </c>
      <c r="AA11" s="69">
        <v>0.86208238184602703</v>
      </c>
      <c r="AB11" s="69">
        <v>463.99709036710402</v>
      </c>
      <c r="AC11" s="69">
        <v>68268.366497085502</v>
      </c>
      <c r="AD11" s="69">
        <v>193.759421188651</v>
      </c>
      <c r="AE11" s="69">
        <v>12.8350279985908</v>
      </c>
      <c r="AF11" s="69">
        <v>1.1007262247084899</v>
      </c>
      <c r="AG11" s="69">
        <v>34.727108474040698</v>
      </c>
      <c r="AH11" s="69">
        <v>68.187645268405504</v>
      </c>
      <c r="AI11" s="69">
        <v>7.2949466693026697</v>
      </c>
      <c r="AJ11" s="69">
        <v>13.2863427332219</v>
      </c>
      <c r="AK11" s="69">
        <v>4.3838377296442799</v>
      </c>
      <c r="AL11" s="69">
        <v>11.564516742181</v>
      </c>
      <c r="AM11" s="69">
        <v>27.9423870042137</v>
      </c>
      <c r="AN11" s="69">
        <v>0.38476816784227102</v>
      </c>
      <c r="AO11" s="69">
        <v>21.772745105708601</v>
      </c>
      <c r="AP11" s="69">
        <v>216.613478304724</v>
      </c>
      <c r="AQ11" s="69">
        <v>5.8648029782961197</v>
      </c>
      <c r="AR11" s="69">
        <v>1.54054278099847</v>
      </c>
      <c r="AS11" s="69">
        <v>0.68526929343171505</v>
      </c>
      <c r="AT11" s="69">
        <v>4.3854348314024804E-3</v>
      </c>
      <c r="AU11" s="69">
        <v>10.6723763548148</v>
      </c>
      <c r="AV11" s="69">
        <v>0.36436978300338702</v>
      </c>
      <c r="AW11" s="69">
        <v>3.4108406252319998</v>
      </c>
      <c r="AX11" s="69">
        <v>1.6152737317117999E-2</v>
      </c>
      <c r="AY11" s="69">
        <v>2.22379530033322E-2</v>
      </c>
      <c r="AZ11" s="69">
        <v>25.400128942159199</v>
      </c>
      <c r="BA11" s="69">
        <v>0.78520618454423896</v>
      </c>
      <c r="BB11" s="69">
        <v>5.2590448403657399</v>
      </c>
      <c r="BC11" s="69">
        <v>8.6002659536194805</v>
      </c>
      <c r="BD11" s="69">
        <v>2.0137998816273299</v>
      </c>
      <c r="BE11" s="69">
        <v>15.729434544972101</v>
      </c>
      <c r="BF11" s="69">
        <v>0.13182895326069599</v>
      </c>
      <c r="BG11" s="69">
        <v>0.21765630079700701</v>
      </c>
      <c r="BH11" s="69">
        <v>11.239392415235599</v>
      </c>
      <c r="BI11" s="69">
        <v>8.0712117048287402E-2</v>
      </c>
      <c r="BJ11" s="69">
        <v>60.049152051088498</v>
      </c>
      <c r="BK11" s="69">
        <v>2.8177640415699901</v>
      </c>
      <c r="BL11" s="69">
        <v>0.263104943046929</v>
      </c>
      <c r="BM11" s="69">
        <v>18.933915935771601</v>
      </c>
      <c r="BN11" s="69">
        <v>0.172361000138395</v>
      </c>
      <c r="BO11" s="69">
        <v>0.93233805632901401</v>
      </c>
      <c r="BP11" s="69">
        <v>0.57970532936036701</v>
      </c>
      <c r="BQ11" s="70">
        <v>0</v>
      </c>
      <c r="BR11" s="71">
        <v>78757.946938631096</v>
      </c>
      <c r="BS11" s="72">
        <v>238522.41942661599</v>
      </c>
      <c r="BT11" s="73">
        <v>0</v>
      </c>
      <c r="BU11" s="73">
        <v>0</v>
      </c>
      <c r="BV11" s="121">
        <v>18.770746253602699</v>
      </c>
      <c r="BW11" s="73">
        <v>1812.8497130875401</v>
      </c>
      <c r="BX11" s="74">
        <v>-7692.8351568166599</v>
      </c>
      <c r="BY11" s="107">
        <v>232661.204729141</v>
      </c>
      <c r="BZ11" s="75">
        <v>311419.15166777198</v>
      </c>
    </row>
    <row r="12" spans="1:78" ht="15" customHeight="1" x14ac:dyDescent="0.3">
      <c r="A12" s="19" t="s">
        <v>30</v>
      </c>
      <c r="B12" s="11" t="s">
        <v>98</v>
      </c>
      <c r="C12" s="68">
        <v>5.6514314461321904</v>
      </c>
      <c r="D12" s="69">
        <v>1.9818868683255</v>
      </c>
      <c r="E12" s="69">
        <v>6.9584293534485503E-2</v>
      </c>
      <c r="F12" s="69">
        <v>6.3934853028021502E-2</v>
      </c>
      <c r="G12" s="69">
        <v>120.569377202612</v>
      </c>
      <c r="H12" s="69">
        <v>60.780042854175598</v>
      </c>
      <c r="I12" s="69">
        <v>2605.3398415982001</v>
      </c>
      <c r="J12" s="69">
        <v>12.578046490988401</v>
      </c>
      <c r="K12" s="69">
        <v>0.22978699971060801</v>
      </c>
      <c r="L12" s="69">
        <v>23.0870456717035</v>
      </c>
      <c r="M12" s="69">
        <v>1.5554655052220201</v>
      </c>
      <c r="N12" s="69">
        <v>6.3430535772229296E-3</v>
      </c>
      <c r="O12" s="69">
        <v>5.8896237622572498E-2</v>
      </c>
      <c r="P12" s="69">
        <v>6.9516393510770198E-3</v>
      </c>
      <c r="Q12" s="69">
        <v>5.6094995342467202E-2</v>
      </c>
      <c r="R12" s="69">
        <v>9.0763277584642692E-3</v>
      </c>
      <c r="S12" s="69">
        <v>13.014887178</v>
      </c>
      <c r="T12" s="69">
        <v>10.551075261360999</v>
      </c>
      <c r="U12" s="69">
        <v>2.9115929286602301E-3</v>
      </c>
      <c r="V12" s="69">
        <v>1.0210760538104401E-2</v>
      </c>
      <c r="W12" s="69">
        <v>16.8134690938898</v>
      </c>
      <c r="X12" s="69">
        <v>9.23456366167742</v>
      </c>
      <c r="Y12" s="69">
        <v>0.59245836881142899</v>
      </c>
      <c r="Z12" s="69">
        <v>0.52925369890506602</v>
      </c>
      <c r="AA12" s="69">
        <v>4.5743456494790697</v>
      </c>
      <c r="AB12" s="69">
        <v>112.18417488898601</v>
      </c>
      <c r="AC12" s="69">
        <v>4277.7152449729901</v>
      </c>
      <c r="AD12" s="69">
        <v>14785.4325530468</v>
      </c>
      <c r="AE12" s="69">
        <v>109.964050596745</v>
      </c>
      <c r="AF12" s="69">
        <v>6.8874202716598401</v>
      </c>
      <c r="AG12" s="69">
        <v>289.71969808909603</v>
      </c>
      <c r="AH12" s="69">
        <v>48.363476616757403</v>
      </c>
      <c r="AI12" s="69">
        <v>26.106149730865301</v>
      </c>
      <c r="AJ12" s="69">
        <v>127.7013211119</v>
      </c>
      <c r="AK12" s="69">
        <v>28.601229261971898</v>
      </c>
      <c r="AL12" s="69">
        <v>101.582679096737</v>
      </c>
      <c r="AM12" s="69">
        <v>15.949667853695599</v>
      </c>
      <c r="AN12" s="69">
        <v>0.54659874137598996</v>
      </c>
      <c r="AO12" s="69">
        <v>4.1720046765571297</v>
      </c>
      <c r="AP12" s="69">
        <v>106.975619610092</v>
      </c>
      <c r="AQ12" s="69">
        <v>1.31204973223663</v>
      </c>
      <c r="AR12" s="69">
        <v>0.61365405391081496</v>
      </c>
      <c r="AS12" s="69">
        <v>4.1963790008003399E-3</v>
      </c>
      <c r="AT12" s="69">
        <v>0</v>
      </c>
      <c r="AU12" s="69">
        <v>6.6549864478219296E-3</v>
      </c>
      <c r="AV12" s="69">
        <v>0.12634565609283099</v>
      </c>
      <c r="AW12" s="69">
        <v>0.43489312684477299</v>
      </c>
      <c r="AX12" s="69">
        <v>1.81030550088674E-3</v>
      </c>
      <c r="AY12" s="69">
        <v>2.3292743429281799E-3</v>
      </c>
      <c r="AZ12" s="69">
        <v>2.41222091485601E-2</v>
      </c>
      <c r="BA12" s="69">
        <v>3.7014298332996402E-2</v>
      </c>
      <c r="BB12" s="69">
        <v>1.9529975107040499E-3</v>
      </c>
      <c r="BC12" s="69">
        <v>1.8097538443038099</v>
      </c>
      <c r="BD12" s="69">
        <v>1.6779969773068101E-3</v>
      </c>
      <c r="BE12" s="69">
        <v>1.1873313159099499</v>
      </c>
      <c r="BF12" s="69">
        <v>2.5283167288460699E-3</v>
      </c>
      <c r="BG12" s="69">
        <v>1.26306208498851E-2</v>
      </c>
      <c r="BH12" s="69">
        <v>8.6105621810007096E-2</v>
      </c>
      <c r="BI12" s="69">
        <v>1.09950943490195E-3</v>
      </c>
      <c r="BJ12" s="69">
        <v>0.54977153959569602</v>
      </c>
      <c r="BK12" s="69">
        <v>0.15810953925403601</v>
      </c>
      <c r="BL12" s="69">
        <v>2.6919955813074298E-4</v>
      </c>
      <c r="BM12" s="69">
        <v>0.249444342009633</v>
      </c>
      <c r="BN12" s="69">
        <v>0.25294299570537798</v>
      </c>
      <c r="BO12" s="69">
        <v>6.3718333622522999E-4</v>
      </c>
      <c r="BP12" s="69">
        <v>0.17295506466357199</v>
      </c>
      <c r="BQ12" s="70">
        <v>0</v>
      </c>
      <c r="BR12" s="71">
        <v>22936.319149978699</v>
      </c>
      <c r="BS12" s="72">
        <v>22409.989101164199</v>
      </c>
      <c r="BT12" s="73">
        <v>0</v>
      </c>
      <c r="BU12" s="73">
        <v>0</v>
      </c>
      <c r="BV12" s="121">
        <v>13.302391535881901</v>
      </c>
      <c r="BW12" s="73">
        <v>11.1683666493348</v>
      </c>
      <c r="BX12" s="74">
        <v>-3283.9580347453898</v>
      </c>
      <c r="BY12" s="107">
        <v>19150.501824604002</v>
      </c>
      <c r="BZ12" s="75">
        <v>42086.820974582697</v>
      </c>
    </row>
    <row r="13" spans="1:78" ht="15" customHeight="1" x14ac:dyDescent="0.3">
      <c r="A13" s="19" t="s">
        <v>31</v>
      </c>
      <c r="B13" s="11" t="s">
        <v>99</v>
      </c>
      <c r="C13" s="68">
        <v>100.151352380568</v>
      </c>
      <c r="D13" s="69">
        <v>5271.5196970168099</v>
      </c>
      <c r="E13" s="69">
        <v>54.165641990878903</v>
      </c>
      <c r="F13" s="69">
        <v>21.054952152295002</v>
      </c>
      <c r="G13" s="69">
        <v>21.135649470184799</v>
      </c>
      <c r="H13" s="69">
        <v>20.601654135504798</v>
      </c>
      <c r="I13" s="69">
        <v>2.99919265572998</v>
      </c>
      <c r="J13" s="69">
        <v>58615.538040906897</v>
      </c>
      <c r="K13" s="69">
        <v>2.25099406453656</v>
      </c>
      <c r="L13" s="69">
        <v>6878.33602229398</v>
      </c>
      <c r="M13" s="69">
        <v>103.561140268689</v>
      </c>
      <c r="N13" s="69">
        <v>0.74808011450783396</v>
      </c>
      <c r="O13" s="69">
        <v>10.410659995419801</v>
      </c>
      <c r="P13" s="69">
        <v>4.8014200433752796</v>
      </c>
      <c r="Q13" s="69">
        <v>2463.6264938231602</v>
      </c>
      <c r="R13" s="69">
        <v>10.255182346533299</v>
      </c>
      <c r="S13" s="69">
        <v>37.9292924732272</v>
      </c>
      <c r="T13" s="69">
        <v>1.99737695305818</v>
      </c>
      <c r="U13" s="69">
        <v>6.3263462234206198</v>
      </c>
      <c r="V13" s="69">
        <v>2137.7703290587701</v>
      </c>
      <c r="W13" s="69">
        <v>167.48380186847399</v>
      </c>
      <c r="X13" s="69">
        <v>154.796429959965</v>
      </c>
      <c r="Y13" s="69">
        <v>5968.7315650276296</v>
      </c>
      <c r="Z13" s="69">
        <v>41.181530031819001</v>
      </c>
      <c r="AA13" s="69">
        <v>35.585438068421801</v>
      </c>
      <c r="AB13" s="69">
        <v>10.001295488209999</v>
      </c>
      <c r="AC13" s="69">
        <v>15.921528113691901</v>
      </c>
      <c r="AD13" s="69">
        <v>5.4672648564478896</v>
      </c>
      <c r="AE13" s="69">
        <v>179.08223336659</v>
      </c>
      <c r="AF13" s="69">
        <v>4.7281935601637199</v>
      </c>
      <c r="AG13" s="69">
        <v>9.9773187264504806</v>
      </c>
      <c r="AH13" s="69">
        <v>31.017499031502499</v>
      </c>
      <c r="AI13" s="69">
        <v>9.4365201082466204</v>
      </c>
      <c r="AJ13" s="69">
        <v>5.0760771830362996</v>
      </c>
      <c r="AK13" s="69">
        <v>2.8151337185342702</v>
      </c>
      <c r="AL13" s="69">
        <v>13.2059855523229</v>
      </c>
      <c r="AM13" s="69">
        <v>8.2218515710468303</v>
      </c>
      <c r="AN13" s="69">
        <v>4.9031508345987698</v>
      </c>
      <c r="AO13" s="69">
        <v>7.0644243033083001</v>
      </c>
      <c r="AP13" s="69">
        <v>35.494697428536497</v>
      </c>
      <c r="AQ13" s="69">
        <v>940.63383186825604</v>
      </c>
      <c r="AR13" s="69">
        <v>18.5139193542018</v>
      </c>
      <c r="AS13" s="69">
        <v>0.33223776725744403</v>
      </c>
      <c r="AT13" s="69">
        <v>0.41225360824332002</v>
      </c>
      <c r="AU13" s="69">
        <v>8.4205233122262708</v>
      </c>
      <c r="AV13" s="69">
        <v>926.22886175234703</v>
      </c>
      <c r="AW13" s="69">
        <v>33859.8801631717</v>
      </c>
      <c r="AX13" s="69">
        <v>0.91966110893486896</v>
      </c>
      <c r="AY13" s="69">
        <v>1.876896376593</v>
      </c>
      <c r="AZ13" s="69">
        <v>9.4169629683437694</v>
      </c>
      <c r="BA13" s="69">
        <v>6.0890404004888996</v>
      </c>
      <c r="BB13" s="69">
        <v>9.2240854329377306</v>
      </c>
      <c r="BC13" s="69">
        <v>3.7646672160999599</v>
      </c>
      <c r="BD13" s="69">
        <v>9.9196279983281492</v>
      </c>
      <c r="BE13" s="69">
        <v>7.8685417149940102</v>
      </c>
      <c r="BF13" s="69">
        <v>6.6879322432456698</v>
      </c>
      <c r="BG13" s="69">
        <v>4.8495470166970298</v>
      </c>
      <c r="BH13" s="69">
        <v>8.8128325804966998</v>
      </c>
      <c r="BI13" s="69">
        <v>1.22427105665271</v>
      </c>
      <c r="BJ13" s="69">
        <v>4865.8700907790699</v>
      </c>
      <c r="BK13" s="69">
        <v>2362.9082925521798</v>
      </c>
      <c r="BL13" s="69">
        <v>501.30877850627502</v>
      </c>
      <c r="BM13" s="69">
        <v>3235.1780789396098</v>
      </c>
      <c r="BN13" s="69">
        <v>1463.96839028555</v>
      </c>
      <c r="BO13" s="69">
        <v>13.104670954252899</v>
      </c>
      <c r="BP13" s="69">
        <v>412.849071750078</v>
      </c>
      <c r="BQ13" s="70">
        <v>0</v>
      </c>
      <c r="BR13" s="71">
        <v>131155.634687882</v>
      </c>
      <c r="BS13" s="72">
        <v>114930.969363454</v>
      </c>
      <c r="BT13" s="73">
        <v>101.020112997224</v>
      </c>
      <c r="BU13" s="73">
        <v>0</v>
      </c>
      <c r="BV13" s="121">
        <v>406060.51426310698</v>
      </c>
      <c r="BW13" s="73">
        <v>255.221134067956</v>
      </c>
      <c r="BX13" s="74">
        <v>2345.7900400596</v>
      </c>
      <c r="BY13" s="107">
        <v>523693.51491368603</v>
      </c>
      <c r="BZ13" s="75">
        <v>654849.14960156695</v>
      </c>
    </row>
    <row r="14" spans="1:78" ht="15" customHeight="1" x14ac:dyDescent="0.3">
      <c r="A14" s="19" t="s">
        <v>32</v>
      </c>
      <c r="B14" s="11" t="s">
        <v>100</v>
      </c>
      <c r="C14" s="68">
        <v>107.674932157616</v>
      </c>
      <c r="D14" s="69">
        <v>221.520634059309</v>
      </c>
      <c r="E14" s="69">
        <v>5.8870263481443699</v>
      </c>
      <c r="F14" s="69">
        <v>3.1741749214774502</v>
      </c>
      <c r="G14" s="69">
        <v>556.65548409555095</v>
      </c>
      <c r="H14" s="69">
        <v>77.243334123674998</v>
      </c>
      <c r="I14" s="69">
        <v>8.9053058210477491</v>
      </c>
      <c r="J14" s="69">
        <v>715.70942481699501</v>
      </c>
      <c r="K14" s="69">
        <v>3164.1118037190199</v>
      </c>
      <c r="L14" s="69">
        <v>7667.4426758203899</v>
      </c>
      <c r="M14" s="69">
        <v>1752.1187926355101</v>
      </c>
      <c r="N14" s="69">
        <v>0.200204371286718</v>
      </c>
      <c r="O14" s="69">
        <v>0.87791872394910098</v>
      </c>
      <c r="P14" s="69">
        <v>0.98358962155826601</v>
      </c>
      <c r="Q14" s="69">
        <v>0.50347000603989001</v>
      </c>
      <c r="R14" s="69">
        <v>58.185908449429199</v>
      </c>
      <c r="S14" s="69">
        <v>8.7733158984362998</v>
      </c>
      <c r="T14" s="69">
        <v>8.7717373031009696E-2</v>
      </c>
      <c r="U14" s="69">
        <v>18298.417934125901</v>
      </c>
      <c r="V14" s="69">
        <v>2800.3140994937398</v>
      </c>
      <c r="W14" s="69">
        <v>290.81822513276802</v>
      </c>
      <c r="X14" s="69">
        <v>1001.91888259795</v>
      </c>
      <c r="Y14" s="69">
        <v>1178.55933951815</v>
      </c>
      <c r="Z14" s="69">
        <v>546.593275897372</v>
      </c>
      <c r="AA14" s="69">
        <v>2.5308211869159098</v>
      </c>
      <c r="AB14" s="69">
        <v>2.5557860005874198</v>
      </c>
      <c r="AC14" s="69">
        <v>1.8815432305311901</v>
      </c>
      <c r="AD14" s="69">
        <v>1.1445144019184299</v>
      </c>
      <c r="AE14" s="69">
        <v>31.9408382959184</v>
      </c>
      <c r="AF14" s="69">
        <v>1.5319163251155901</v>
      </c>
      <c r="AG14" s="69">
        <v>7.6118446954496104</v>
      </c>
      <c r="AH14" s="69">
        <v>222.101838093368</v>
      </c>
      <c r="AI14" s="69">
        <v>23.2733844123766</v>
      </c>
      <c r="AJ14" s="69">
        <v>2.2970088875163102</v>
      </c>
      <c r="AK14" s="69">
        <v>4.3687096541964596</v>
      </c>
      <c r="AL14" s="69">
        <v>3.5228837430579198</v>
      </c>
      <c r="AM14" s="69">
        <v>93.556109484839595</v>
      </c>
      <c r="AN14" s="69">
        <v>7.8291367944708803</v>
      </c>
      <c r="AO14" s="69">
        <v>37.848110321769298</v>
      </c>
      <c r="AP14" s="69">
        <v>395.21957226739198</v>
      </c>
      <c r="AQ14" s="69">
        <v>1039.23748474896</v>
      </c>
      <c r="AR14" s="69">
        <v>672.59226180125995</v>
      </c>
      <c r="AS14" s="69">
        <v>11.357167350777299</v>
      </c>
      <c r="AT14" s="69">
        <v>23.776004289732999</v>
      </c>
      <c r="AU14" s="69">
        <v>66.289187098279896</v>
      </c>
      <c r="AV14" s="69">
        <v>19.290529664482399</v>
      </c>
      <c r="AW14" s="69">
        <v>1660.2269626765799</v>
      </c>
      <c r="AX14" s="69">
        <v>6.1529032307782296</v>
      </c>
      <c r="AY14" s="69">
        <v>12.081339877040801</v>
      </c>
      <c r="AZ14" s="69">
        <v>29.829894472268698</v>
      </c>
      <c r="BA14" s="69">
        <v>71.985724766013604</v>
      </c>
      <c r="BB14" s="69">
        <v>116.832953426015</v>
      </c>
      <c r="BC14" s="69">
        <v>24.349459311856101</v>
      </c>
      <c r="BD14" s="69">
        <v>131.70625640613699</v>
      </c>
      <c r="BE14" s="69">
        <v>159.795015421427</v>
      </c>
      <c r="BF14" s="69">
        <v>60.365466908345098</v>
      </c>
      <c r="BG14" s="69">
        <v>155.32130114683201</v>
      </c>
      <c r="BH14" s="69">
        <v>195.27624124783401</v>
      </c>
      <c r="BI14" s="69">
        <v>74.174375134892102</v>
      </c>
      <c r="BJ14" s="69">
        <v>595.74297867663699</v>
      </c>
      <c r="BK14" s="69">
        <v>154.07611030835801</v>
      </c>
      <c r="BL14" s="69">
        <v>24.182171803582801</v>
      </c>
      <c r="BM14" s="69">
        <v>168.61031510343801</v>
      </c>
      <c r="BN14" s="69">
        <v>114.433404648691</v>
      </c>
      <c r="BO14" s="69">
        <v>27.970078761174602</v>
      </c>
      <c r="BP14" s="69">
        <v>177.90082858212099</v>
      </c>
      <c r="BQ14" s="70">
        <v>0</v>
      </c>
      <c r="BR14" s="71">
        <v>45099.4479043873</v>
      </c>
      <c r="BS14" s="72">
        <v>43445.093075640703</v>
      </c>
      <c r="BT14" s="73">
        <v>3.4380725595953003E-2</v>
      </c>
      <c r="BU14" s="73">
        <v>0</v>
      </c>
      <c r="BV14" s="121">
        <v>28436.383962407199</v>
      </c>
      <c r="BW14" s="73">
        <v>655.52769937811604</v>
      </c>
      <c r="BX14" s="74">
        <v>503.77962265687</v>
      </c>
      <c r="BY14" s="107">
        <v>73040.818740808405</v>
      </c>
      <c r="BZ14" s="75">
        <v>118140.266645196</v>
      </c>
    </row>
    <row r="15" spans="1:78" ht="15" customHeight="1" x14ac:dyDescent="0.3">
      <c r="A15" s="19" t="s">
        <v>33</v>
      </c>
      <c r="B15" s="11" t="s">
        <v>101</v>
      </c>
      <c r="C15" s="68">
        <v>4788.4352634894703</v>
      </c>
      <c r="D15" s="69">
        <v>33543.2157253728</v>
      </c>
      <c r="E15" s="69">
        <v>2505.9331382804498</v>
      </c>
      <c r="F15" s="69">
        <v>407.557769186543</v>
      </c>
      <c r="G15" s="69">
        <v>427.50378134339098</v>
      </c>
      <c r="H15" s="69">
        <v>189.438209282884</v>
      </c>
      <c r="I15" s="69">
        <v>35.112664704090399</v>
      </c>
      <c r="J15" s="69">
        <v>60910.735696805998</v>
      </c>
      <c r="K15" s="69">
        <v>78.004932326956805</v>
      </c>
      <c r="L15" s="69">
        <v>69362.873488571597</v>
      </c>
      <c r="M15" s="69">
        <v>5176.6392787292898</v>
      </c>
      <c r="N15" s="69">
        <v>4.0053188565007503</v>
      </c>
      <c r="O15" s="69">
        <v>85.246062128060004</v>
      </c>
      <c r="P15" s="69">
        <v>37.944023046226498</v>
      </c>
      <c r="Q15" s="69">
        <v>63.974200248057997</v>
      </c>
      <c r="R15" s="69">
        <v>158.301895245395</v>
      </c>
      <c r="S15" s="69">
        <v>2098.3272309679401</v>
      </c>
      <c r="T15" s="69">
        <v>32.8284323226681</v>
      </c>
      <c r="U15" s="69">
        <v>6578.6252317614999</v>
      </c>
      <c r="V15" s="69">
        <v>10760.221568278501</v>
      </c>
      <c r="W15" s="69">
        <v>1805.86282218212</v>
      </c>
      <c r="X15" s="69">
        <v>2417.9679750631099</v>
      </c>
      <c r="Y15" s="69">
        <v>2249.1115740154</v>
      </c>
      <c r="Z15" s="69">
        <v>505.91380667048202</v>
      </c>
      <c r="AA15" s="69">
        <v>350.08746518113003</v>
      </c>
      <c r="AB15" s="69">
        <v>164.48257184558099</v>
      </c>
      <c r="AC15" s="69">
        <v>184.882347615301</v>
      </c>
      <c r="AD15" s="69">
        <v>44.643786065222301</v>
      </c>
      <c r="AE15" s="69">
        <v>264.46402280187499</v>
      </c>
      <c r="AF15" s="69">
        <v>20.654924098239</v>
      </c>
      <c r="AG15" s="69">
        <v>72.624646097772995</v>
      </c>
      <c r="AH15" s="69">
        <v>207.93098871326799</v>
      </c>
      <c r="AI15" s="69">
        <v>76.542647635009502</v>
      </c>
      <c r="AJ15" s="69">
        <v>65.539143508386601</v>
      </c>
      <c r="AK15" s="69">
        <v>17.747661885958401</v>
      </c>
      <c r="AL15" s="69">
        <v>122.200277276083</v>
      </c>
      <c r="AM15" s="69">
        <v>77.423944696352805</v>
      </c>
      <c r="AN15" s="69">
        <v>25.636853514180899</v>
      </c>
      <c r="AO15" s="69">
        <v>81.529178523005598</v>
      </c>
      <c r="AP15" s="69">
        <v>468.47348672474698</v>
      </c>
      <c r="AQ15" s="69">
        <v>8089.4698553345797</v>
      </c>
      <c r="AR15" s="69">
        <v>316.45450294956902</v>
      </c>
      <c r="AS15" s="69">
        <v>6.0665683684096701</v>
      </c>
      <c r="AT15" s="69">
        <v>42.817925005644398</v>
      </c>
      <c r="AU15" s="69">
        <v>85.488750358879898</v>
      </c>
      <c r="AV15" s="69">
        <v>437.12694624514199</v>
      </c>
      <c r="AW15" s="69">
        <v>23085.452480836098</v>
      </c>
      <c r="AX15" s="69">
        <v>6.35195123326654</v>
      </c>
      <c r="AY15" s="69">
        <v>11.7184145831338</v>
      </c>
      <c r="AZ15" s="69">
        <v>61.7975524114511</v>
      </c>
      <c r="BA15" s="69">
        <v>47.097631066548402</v>
      </c>
      <c r="BB15" s="69">
        <v>257.87736530795701</v>
      </c>
      <c r="BC15" s="69">
        <v>49.484191182061501</v>
      </c>
      <c r="BD15" s="69">
        <v>125.503046743138</v>
      </c>
      <c r="BE15" s="69">
        <v>84.831709272440193</v>
      </c>
      <c r="BF15" s="69">
        <v>142.213932152251</v>
      </c>
      <c r="BG15" s="69">
        <v>80.850201854329001</v>
      </c>
      <c r="BH15" s="69">
        <v>121.468086521559</v>
      </c>
      <c r="BI15" s="69">
        <v>30.949762263693898</v>
      </c>
      <c r="BJ15" s="69">
        <v>3654.2468240632202</v>
      </c>
      <c r="BK15" s="69">
        <v>2317.7976492663101</v>
      </c>
      <c r="BL15" s="69">
        <v>356.05946885305298</v>
      </c>
      <c r="BM15" s="69">
        <v>4848.9649450973402</v>
      </c>
      <c r="BN15" s="69">
        <v>1333.9866180005699</v>
      </c>
      <c r="BO15" s="69">
        <v>84.539402275290001</v>
      </c>
      <c r="BP15" s="69">
        <v>1449.2713179316099</v>
      </c>
      <c r="BQ15" s="70">
        <v>0</v>
      </c>
      <c r="BR15" s="71">
        <v>253596.53113423899</v>
      </c>
      <c r="BS15" s="72">
        <v>77693.4025523936</v>
      </c>
      <c r="BT15" s="73">
        <v>128.069510704777</v>
      </c>
      <c r="BU15" s="73">
        <v>0</v>
      </c>
      <c r="BV15" s="121">
        <v>384417.106261532</v>
      </c>
      <c r="BW15" s="73">
        <v>432.49347507505303</v>
      </c>
      <c r="BX15" s="74">
        <v>8902.0645846412008</v>
      </c>
      <c r="BY15" s="107">
        <v>471573.136384346</v>
      </c>
      <c r="BZ15" s="75">
        <v>725169.66751858499</v>
      </c>
    </row>
    <row r="16" spans="1:78" ht="15" customHeight="1" x14ac:dyDescent="0.3">
      <c r="A16" s="19" t="s">
        <v>34</v>
      </c>
      <c r="B16" s="11" t="s">
        <v>102</v>
      </c>
      <c r="C16" s="68">
        <v>29.789357348288402</v>
      </c>
      <c r="D16" s="69">
        <v>7.9365173927306598</v>
      </c>
      <c r="E16" s="69">
        <v>0.50304841126696898</v>
      </c>
      <c r="F16" s="69">
        <v>33.653909768715501</v>
      </c>
      <c r="G16" s="69">
        <v>33.588506243477802</v>
      </c>
      <c r="H16" s="69">
        <v>42.538329807479798</v>
      </c>
      <c r="I16" s="69">
        <v>5.9725370296462303</v>
      </c>
      <c r="J16" s="69">
        <v>752.53966778354595</v>
      </c>
      <c r="K16" s="69">
        <v>4.6220815237834199</v>
      </c>
      <c r="L16" s="69">
        <v>179.52371675583899</v>
      </c>
      <c r="M16" s="69">
        <v>15135.8577680813</v>
      </c>
      <c r="N16" s="69">
        <v>0.966809647348149</v>
      </c>
      <c r="O16" s="69">
        <v>6.1929172467356404</v>
      </c>
      <c r="P16" s="69">
        <v>4.8743694831546804</v>
      </c>
      <c r="Q16" s="69">
        <v>3.9318069445134598</v>
      </c>
      <c r="R16" s="69">
        <v>18.1488161112044</v>
      </c>
      <c r="S16" s="69">
        <v>20.082511498407499</v>
      </c>
      <c r="T16" s="69">
        <v>3.5172706012603001</v>
      </c>
      <c r="U16" s="69">
        <v>62.660143485928003</v>
      </c>
      <c r="V16" s="69">
        <v>11.2401444938022</v>
      </c>
      <c r="W16" s="69">
        <v>27.376207417113399</v>
      </c>
      <c r="X16" s="69">
        <v>64.7542229210366</v>
      </c>
      <c r="Y16" s="69">
        <v>24.1763026363761</v>
      </c>
      <c r="Z16" s="69">
        <v>21.223354683797702</v>
      </c>
      <c r="AA16" s="69">
        <v>30.875647388540798</v>
      </c>
      <c r="AB16" s="69">
        <v>15.0649023753913</v>
      </c>
      <c r="AC16" s="69">
        <v>25.525582729596699</v>
      </c>
      <c r="AD16" s="69">
        <v>3.66090266654773</v>
      </c>
      <c r="AE16" s="69">
        <v>58.981365992844701</v>
      </c>
      <c r="AF16" s="69">
        <v>9.60608613475239</v>
      </c>
      <c r="AG16" s="69">
        <v>20.716713648990002</v>
      </c>
      <c r="AH16" s="69">
        <v>104.087943720577</v>
      </c>
      <c r="AI16" s="69">
        <v>27.1401026654286</v>
      </c>
      <c r="AJ16" s="69">
        <v>13.9444169893964</v>
      </c>
      <c r="AK16" s="69">
        <v>8.6418463353640806</v>
      </c>
      <c r="AL16" s="69">
        <v>16.756168381274001</v>
      </c>
      <c r="AM16" s="69">
        <v>39.833348604402097</v>
      </c>
      <c r="AN16" s="69">
        <v>14.5535230280331</v>
      </c>
      <c r="AO16" s="69">
        <v>11.3131546415055</v>
      </c>
      <c r="AP16" s="69">
        <v>127.740254339928</v>
      </c>
      <c r="AQ16" s="69">
        <v>401.67342212636498</v>
      </c>
      <c r="AR16" s="69">
        <v>34.937774632249301</v>
      </c>
      <c r="AS16" s="69">
        <v>1.27393703580218</v>
      </c>
      <c r="AT16" s="69">
        <v>10.045339589430901</v>
      </c>
      <c r="AU16" s="69">
        <v>27.525678277750899</v>
      </c>
      <c r="AV16" s="69">
        <v>898.413547427141</v>
      </c>
      <c r="AW16" s="69">
        <v>51534.5105036268</v>
      </c>
      <c r="AX16" s="69">
        <v>1.90059021641468</v>
      </c>
      <c r="AY16" s="69">
        <v>4.3774104877611801</v>
      </c>
      <c r="AZ16" s="69">
        <v>19.609663582345899</v>
      </c>
      <c r="BA16" s="69">
        <v>19.807990481750402</v>
      </c>
      <c r="BB16" s="69">
        <v>151.93729615287</v>
      </c>
      <c r="BC16" s="69">
        <v>15.0551915676538</v>
      </c>
      <c r="BD16" s="69">
        <v>38.899817365825797</v>
      </c>
      <c r="BE16" s="69">
        <v>7.3924569913037699</v>
      </c>
      <c r="BF16" s="69">
        <v>11.8867877541404</v>
      </c>
      <c r="BG16" s="69">
        <v>10.789060895464401</v>
      </c>
      <c r="BH16" s="69">
        <v>33.577808976218797</v>
      </c>
      <c r="BI16" s="69">
        <v>3.3481481285068702</v>
      </c>
      <c r="BJ16" s="69">
        <v>274.89409235894499</v>
      </c>
      <c r="BK16" s="69">
        <v>151.31601201587301</v>
      </c>
      <c r="BL16" s="69">
        <v>47.559639402882297</v>
      </c>
      <c r="BM16" s="69">
        <v>213.474910076372</v>
      </c>
      <c r="BN16" s="69">
        <v>269.39209002952902</v>
      </c>
      <c r="BO16" s="69">
        <v>72.303747411139099</v>
      </c>
      <c r="BP16" s="69">
        <v>39.160730323927297</v>
      </c>
      <c r="BQ16" s="70">
        <v>0</v>
      </c>
      <c r="BR16" s="71">
        <v>71319.175923893694</v>
      </c>
      <c r="BS16" s="72">
        <v>4450.8909364048304</v>
      </c>
      <c r="BT16" s="73">
        <v>0.52454047039991503</v>
      </c>
      <c r="BU16" s="73">
        <v>0</v>
      </c>
      <c r="BV16" s="121">
        <v>105256.70001581901</v>
      </c>
      <c r="BW16" s="73">
        <v>158.65430580345401</v>
      </c>
      <c r="BX16" s="74">
        <v>1594.1753637622301</v>
      </c>
      <c r="BY16" s="107">
        <v>111460.94516226</v>
      </c>
      <c r="BZ16" s="75">
        <v>182780.12108615399</v>
      </c>
    </row>
    <row r="17" spans="1:78" ht="15" customHeight="1" x14ac:dyDescent="0.3">
      <c r="A17" s="19" t="s">
        <v>35</v>
      </c>
      <c r="B17" s="11" t="s">
        <v>103</v>
      </c>
      <c r="C17" s="68">
        <v>12.4454792803425</v>
      </c>
      <c r="D17" s="69">
        <v>1.31110199514054</v>
      </c>
      <c r="E17" s="69">
        <v>9.3345236054765496E-2</v>
      </c>
      <c r="F17" s="69">
        <v>2.9789157031218601E-2</v>
      </c>
      <c r="G17" s="69">
        <v>1.62591445993192</v>
      </c>
      <c r="H17" s="69">
        <v>2.5932720473601001</v>
      </c>
      <c r="I17" s="69">
        <v>0.202318414833561</v>
      </c>
      <c r="J17" s="69">
        <v>3.1026138737804998</v>
      </c>
      <c r="K17" s="69">
        <v>0.15291659518654499</v>
      </c>
      <c r="L17" s="69">
        <v>2.8049377831687998</v>
      </c>
      <c r="M17" s="69">
        <v>0.30074727544903801</v>
      </c>
      <c r="N17" s="69">
        <v>1953.13150800368</v>
      </c>
      <c r="O17" s="69">
        <v>0.43274466057750999</v>
      </c>
      <c r="P17" s="69">
        <v>0.29170654139059998</v>
      </c>
      <c r="Q17" s="69">
        <v>0.42436732446897202</v>
      </c>
      <c r="R17" s="69">
        <v>1.05358378517507</v>
      </c>
      <c r="S17" s="69">
        <v>5.8479955282972202</v>
      </c>
      <c r="T17" s="69">
        <v>0.63577307685462103</v>
      </c>
      <c r="U17" s="69">
        <v>0.16634306312490599</v>
      </c>
      <c r="V17" s="69">
        <v>0.15640530966840099</v>
      </c>
      <c r="W17" s="69">
        <v>0.78139312498711699</v>
      </c>
      <c r="X17" s="69">
        <v>0.307965609231866</v>
      </c>
      <c r="Y17" s="69">
        <v>0.99297294369915801</v>
      </c>
      <c r="Z17" s="69">
        <v>1.08278882984904</v>
      </c>
      <c r="AA17" s="69">
        <v>1.67846224172937</v>
      </c>
      <c r="AB17" s="69">
        <v>1.3957584270355501</v>
      </c>
      <c r="AC17" s="69">
        <v>0.25883576823779902</v>
      </c>
      <c r="AD17" s="69">
        <v>0.28888867122463602</v>
      </c>
      <c r="AE17" s="69">
        <v>0.96925640584224504</v>
      </c>
      <c r="AF17" s="69">
        <v>0.61574007949049903</v>
      </c>
      <c r="AG17" s="69">
        <v>0.68196542919344205</v>
      </c>
      <c r="AH17" s="69">
        <v>6.0809070236010596</v>
      </c>
      <c r="AI17" s="69">
        <v>0.87809797526014699</v>
      </c>
      <c r="AJ17" s="69">
        <v>0.61639666277980099</v>
      </c>
      <c r="AK17" s="69">
        <v>0.16569872606467101</v>
      </c>
      <c r="AL17" s="69">
        <v>0.68640025540300098</v>
      </c>
      <c r="AM17" s="69">
        <v>2.1184510683029498</v>
      </c>
      <c r="AN17" s="69">
        <v>0.165189140023982</v>
      </c>
      <c r="AO17" s="69">
        <v>0.17792176610530799</v>
      </c>
      <c r="AP17" s="69">
        <v>1.0745091819924699</v>
      </c>
      <c r="AQ17" s="69">
        <v>6.9000902857421202</v>
      </c>
      <c r="AR17" s="69">
        <v>0.92364293764762195</v>
      </c>
      <c r="AS17" s="69">
        <v>8.8726185256416207E-2</v>
      </c>
      <c r="AT17" s="69">
        <v>7.29947844827427E-3</v>
      </c>
      <c r="AU17" s="69">
        <v>0.43084586190687602</v>
      </c>
      <c r="AV17" s="69">
        <v>0.110361569842583</v>
      </c>
      <c r="AW17" s="69">
        <v>0.76407903053231996</v>
      </c>
      <c r="AX17" s="69">
        <v>0.42387076745920099</v>
      </c>
      <c r="AY17" s="69">
        <v>0.131649793977614</v>
      </c>
      <c r="AZ17" s="69">
        <v>0.44528008994134699</v>
      </c>
      <c r="BA17" s="69">
        <v>0.87178913348929299</v>
      </c>
      <c r="BB17" s="69">
        <v>0.86529597914589895</v>
      </c>
      <c r="BC17" s="69">
        <v>0.20947919651937999</v>
      </c>
      <c r="BD17" s="69">
        <v>0.99761153305949501</v>
      </c>
      <c r="BE17" s="69">
        <v>1.64997561598568</v>
      </c>
      <c r="BF17" s="69">
        <v>0.42768855934088801</v>
      </c>
      <c r="BG17" s="69">
        <v>0.48777208979886799</v>
      </c>
      <c r="BH17" s="69">
        <v>1.7578269114171301</v>
      </c>
      <c r="BI17" s="69">
        <v>5.7017967394619701E-2</v>
      </c>
      <c r="BJ17" s="69">
        <v>0.64633811416304199</v>
      </c>
      <c r="BK17" s="69">
        <v>0.358189053019491</v>
      </c>
      <c r="BL17" s="69">
        <v>0.44307927864407498</v>
      </c>
      <c r="BM17" s="69">
        <v>0.29736912902602403</v>
      </c>
      <c r="BN17" s="69">
        <v>0.52234689481589003</v>
      </c>
      <c r="BO17" s="69">
        <v>0.14872012993876599</v>
      </c>
      <c r="BP17" s="69">
        <v>0.40059234960734103</v>
      </c>
      <c r="BQ17" s="70">
        <v>0</v>
      </c>
      <c r="BR17" s="71">
        <v>2028.1874006777</v>
      </c>
      <c r="BS17" s="72">
        <v>7614.0069603440998</v>
      </c>
      <c r="BT17" s="73">
        <v>0</v>
      </c>
      <c r="BU17" s="73">
        <v>0</v>
      </c>
      <c r="BV17" s="121">
        <v>40628.587338475903</v>
      </c>
      <c r="BW17" s="73">
        <v>88.438054245478895</v>
      </c>
      <c r="BX17" s="74">
        <v>-79.166052450574398</v>
      </c>
      <c r="BY17" s="107">
        <v>48251.8663006149</v>
      </c>
      <c r="BZ17" s="75">
        <v>50280.0537012926</v>
      </c>
    </row>
    <row r="18" spans="1:78" ht="15" customHeight="1" x14ac:dyDescent="0.3">
      <c r="A18" s="19" t="s">
        <v>36</v>
      </c>
      <c r="B18" s="11" t="s">
        <v>104</v>
      </c>
      <c r="C18" s="68">
        <v>2209.6418249213398</v>
      </c>
      <c r="D18" s="69">
        <v>44.680837762442103</v>
      </c>
      <c r="E18" s="69">
        <v>6.3424193424852904</v>
      </c>
      <c r="F18" s="69">
        <v>466.69558807302201</v>
      </c>
      <c r="G18" s="69">
        <v>314.84070711879502</v>
      </c>
      <c r="H18" s="69">
        <v>15.922215389196801</v>
      </c>
      <c r="I18" s="69">
        <v>14.3560461052778</v>
      </c>
      <c r="J18" s="69">
        <v>29.310494888304799</v>
      </c>
      <c r="K18" s="69">
        <v>439.45469015343502</v>
      </c>
      <c r="L18" s="69">
        <v>613.77863964228698</v>
      </c>
      <c r="M18" s="69">
        <v>27.188460637313899</v>
      </c>
      <c r="N18" s="69">
        <v>0.989564594131491</v>
      </c>
      <c r="O18" s="69">
        <v>22613.699985237901</v>
      </c>
      <c r="P18" s="69">
        <v>32465.5468289827</v>
      </c>
      <c r="Q18" s="69">
        <v>5877.75884282886</v>
      </c>
      <c r="R18" s="69">
        <v>26.821926918378001</v>
      </c>
      <c r="S18" s="69">
        <v>387.21485622782598</v>
      </c>
      <c r="T18" s="69">
        <v>7.6699502659527203</v>
      </c>
      <c r="U18" s="69">
        <v>1.9162480456517199</v>
      </c>
      <c r="V18" s="69">
        <v>1.7316237639999299</v>
      </c>
      <c r="W18" s="69">
        <v>62.598843512195003</v>
      </c>
      <c r="X18" s="69">
        <v>112.369859710654</v>
      </c>
      <c r="Y18" s="69">
        <v>24.4113586613561</v>
      </c>
      <c r="Z18" s="69">
        <v>290.92840339972298</v>
      </c>
      <c r="AA18" s="69">
        <v>1795.17197233455</v>
      </c>
      <c r="AB18" s="69">
        <v>97.867452165025</v>
      </c>
      <c r="AC18" s="69">
        <v>10.5874178929022</v>
      </c>
      <c r="AD18" s="69">
        <v>20.159643886584501</v>
      </c>
      <c r="AE18" s="69">
        <v>145.92481417748999</v>
      </c>
      <c r="AF18" s="69">
        <v>21.740460220112201</v>
      </c>
      <c r="AG18" s="69">
        <v>119.12105716225</v>
      </c>
      <c r="AH18" s="69">
        <v>81.693948605064193</v>
      </c>
      <c r="AI18" s="69">
        <v>101.359826741126</v>
      </c>
      <c r="AJ18" s="69">
        <v>3030.2578475510099</v>
      </c>
      <c r="AK18" s="69">
        <v>150.799480963664</v>
      </c>
      <c r="AL18" s="69">
        <v>3343.1794123814202</v>
      </c>
      <c r="AM18" s="69">
        <v>31.390568919689301</v>
      </c>
      <c r="AN18" s="69">
        <v>62.2744351910167</v>
      </c>
      <c r="AO18" s="69">
        <v>36.458113236083697</v>
      </c>
      <c r="AP18" s="69">
        <v>1289.9818351051199</v>
      </c>
      <c r="AQ18" s="69">
        <v>484.55999107227001</v>
      </c>
      <c r="AR18" s="69">
        <v>160.448943846925</v>
      </c>
      <c r="AS18" s="69">
        <v>43.709649265514102</v>
      </c>
      <c r="AT18" s="69">
        <v>3.8800523194578602</v>
      </c>
      <c r="AU18" s="69">
        <v>14.181256864039501</v>
      </c>
      <c r="AV18" s="69">
        <v>531.32650636326196</v>
      </c>
      <c r="AW18" s="69">
        <v>388.79643595232</v>
      </c>
      <c r="AX18" s="69">
        <v>2.8354782539140002</v>
      </c>
      <c r="AY18" s="69">
        <v>12.3299804720202</v>
      </c>
      <c r="AZ18" s="69">
        <v>9.8601377030779709</v>
      </c>
      <c r="BA18" s="69">
        <v>9.8975755111477408</v>
      </c>
      <c r="BB18" s="69">
        <v>21.174592692837201</v>
      </c>
      <c r="BC18" s="69">
        <v>12.1588979243359</v>
      </c>
      <c r="BD18" s="69">
        <v>22.799952738651001</v>
      </c>
      <c r="BE18" s="69">
        <v>15.0976423882641</v>
      </c>
      <c r="BF18" s="69">
        <v>17.659486305549699</v>
      </c>
      <c r="BG18" s="69">
        <v>12.6497915415991</v>
      </c>
      <c r="BH18" s="69">
        <v>47.767543270154803</v>
      </c>
      <c r="BI18" s="69">
        <v>3.4705615087188</v>
      </c>
      <c r="BJ18" s="69">
        <v>95.215489187307597</v>
      </c>
      <c r="BK18" s="69">
        <v>104.58516356036201</v>
      </c>
      <c r="BL18" s="69">
        <v>12.7958818335944</v>
      </c>
      <c r="BM18" s="69">
        <v>140.75910532075099</v>
      </c>
      <c r="BN18" s="69">
        <v>212.13578170192</v>
      </c>
      <c r="BO18" s="69">
        <v>12.4520774690479</v>
      </c>
      <c r="BP18" s="69">
        <v>1907.57690662102</v>
      </c>
      <c r="BQ18" s="70">
        <v>0</v>
      </c>
      <c r="BR18" s="71">
        <v>80693.963384404298</v>
      </c>
      <c r="BS18" s="72">
        <v>3781.3259457854501</v>
      </c>
      <c r="BT18" s="73">
        <v>1.41364683944825</v>
      </c>
      <c r="BU18" s="73">
        <v>0</v>
      </c>
      <c r="BV18" s="121">
        <v>56625.153373374102</v>
      </c>
      <c r="BW18" s="73">
        <v>265.48987128780999</v>
      </c>
      <c r="BX18" s="74">
        <v>8305.2697349141199</v>
      </c>
      <c r="BY18" s="107">
        <v>68978.652572200896</v>
      </c>
      <c r="BZ18" s="75">
        <v>149672.615956605</v>
      </c>
    </row>
    <row r="19" spans="1:78" ht="15" customHeight="1" x14ac:dyDescent="0.3">
      <c r="A19" s="19" t="s">
        <v>37</v>
      </c>
      <c r="B19" s="11" t="s">
        <v>105</v>
      </c>
      <c r="C19" s="68">
        <v>32.753442230563699</v>
      </c>
      <c r="D19" s="69">
        <v>2.33876665699399</v>
      </c>
      <c r="E19" s="69">
        <v>24.454997320677901</v>
      </c>
      <c r="F19" s="69">
        <v>10.155030209818699</v>
      </c>
      <c r="G19" s="69">
        <v>263.88955336650798</v>
      </c>
      <c r="H19" s="69">
        <v>6.7427487826552497</v>
      </c>
      <c r="I19" s="69">
        <v>0.66857774114397595</v>
      </c>
      <c r="J19" s="69">
        <v>21.758605195219602</v>
      </c>
      <c r="K19" s="69">
        <v>6.0745990174470403</v>
      </c>
      <c r="L19" s="69">
        <v>27.578603343235599</v>
      </c>
      <c r="M19" s="69">
        <v>1.06870578983204</v>
      </c>
      <c r="N19" s="69">
        <v>0.47883246920023498</v>
      </c>
      <c r="O19" s="69">
        <v>237.58288492135699</v>
      </c>
      <c r="P19" s="69">
        <v>4715.6544838346399</v>
      </c>
      <c r="Q19" s="69">
        <v>190.32579231421099</v>
      </c>
      <c r="R19" s="69">
        <v>1.2577957162689899</v>
      </c>
      <c r="S19" s="69">
        <v>8.6181531018072501</v>
      </c>
      <c r="T19" s="69">
        <v>0.73685009687703895</v>
      </c>
      <c r="U19" s="69">
        <v>0.46631111254669699</v>
      </c>
      <c r="V19" s="69">
        <v>0.488307813902359</v>
      </c>
      <c r="W19" s="69">
        <v>2.71072928373406</v>
      </c>
      <c r="X19" s="69">
        <v>23.492837994095002</v>
      </c>
      <c r="Y19" s="69">
        <v>1.3048791974321901</v>
      </c>
      <c r="Z19" s="69">
        <v>3.4061910742534001</v>
      </c>
      <c r="AA19" s="69">
        <v>15.0988109561477</v>
      </c>
      <c r="AB19" s="69">
        <v>39.027203857596803</v>
      </c>
      <c r="AC19" s="69">
        <v>15.463996727225</v>
      </c>
      <c r="AD19" s="69">
        <v>0.38833896246604899</v>
      </c>
      <c r="AE19" s="69">
        <v>122.47644602667199</v>
      </c>
      <c r="AF19" s="69">
        <v>1.29574726305049</v>
      </c>
      <c r="AG19" s="69">
        <v>3.6346973912185798</v>
      </c>
      <c r="AH19" s="69">
        <v>22.266675118330699</v>
      </c>
      <c r="AI19" s="69">
        <v>7.1330570403970102</v>
      </c>
      <c r="AJ19" s="69">
        <v>93.282481181239106</v>
      </c>
      <c r="AK19" s="69">
        <v>3.1899010932890102</v>
      </c>
      <c r="AL19" s="69">
        <v>87.950457889997594</v>
      </c>
      <c r="AM19" s="69">
        <v>7.5642335585570901</v>
      </c>
      <c r="AN19" s="69">
        <v>171.03846331452201</v>
      </c>
      <c r="AO19" s="69">
        <v>300.43743875019697</v>
      </c>
      <c r="AP19" s="69">
        <v>93.578859059628201</v>
      </c>
      <c r="AQ19" s="69">
        <v>870.34102375255202</v>
      </c>
      <c r="AR19" s="69">
        <v>493.11436305233599</v>
      </c>
      <c r="AS19" s="69">
        <v>23.198477698760701</v>
      </c>
      <c r="AT19" s="69">
        <v>257.73163903131302</v>
      </c>
      <c r="AU19" s="69">
        <v>261.70730231400302</v>
      </c>
      <c r="AV19" s="69">
        <v>185.57934626254001</v>
      </c>
      <c r="AW19" s="69">
        <v>420.31154444643499</v>
      </c>
      <c r="AX19" s="69">
        <v>0.50073933844487395</v>
      </c>
      <c r="AY19" s="69">
        <v>267.448518178624</v>
      </c>
      <c r="AZ19" s="69">
        <v>64.934541461681704</v>
      </c>
      <c r="BA19" s="69">
        <v>3.5671547791471001</v>
      </c>
      <c r="BB19" s="69">
        <v>964.52483395653701</v>
      </c>
      <c r="BC19" s="69">
        <v>74.598762651839905</v>
      </c>
      <c r="BD19" s="69">
        <v>21.135607214267299</v>
      </c>
      <c r="BE19" s="69">
        <v>390.708537688989</v>
      </c>
      <c r="BF19" s="69">
        <v>107.529492092436</v>
      </c>
      <c r="BG19" s="69">
        <v>7.3007757902192898</v>
      </c>
      <c r="BH19" s="69">
        <v>333.42868928719298</v>
      </c>
      <c r="BI19" s="69">
        <v>476.01684447961799</v>
      </c>
      <c r="BJ19" s="69">
        <v>1527.6065912485101</v>
      </c>
      <c r="BK19" s="69">
        <v>1262.5991972163199</v>
      </c>
      <c r="BL19" s="69">
        <v>3.47115122051326</v>
      </c>
      <c r="BM19" s="69">
        <v>233.30591386251601</v>
      </c>
      <c r="BN19" s="69">
        <v>213.798095687824</v>
      </c>
      <c r="BO19" s="69">
        <v>257.04683461298799</v>
      </c>
      <c r="BP19" s="69">
        <v>2117.6130897128101</v>
      </c>
      <c r="BQ19" s="70">
        <v>0</v>
      </c>
      <c r="BR19" s="71">
        <v>17406.953553813401</v>
      </c>
      <c r="BS19" s="72">
        <v>2514.3095356509898</v>
      </c>
      <c r="BT19" s="73">
        <v>38.850537727559598</v>
      </c>
      <c r="BU19" s="73">
        <v>0</v>
      </c>
      <c r="BV19" s="121">
        <v>160027.46441550701</v>
      </c>
      <c r="BW19" s="73">
        <v>144.78924817309601</v>
      </c>
      <c r="BX19" s="74">
        <v>-1279.23955766929</v>
      </c>
      <c r="BY19" s="107">
        <v>161446.174179389</v>
      </c>
      <c r="BZ19" s="75">
        <v>178853.127733203</v>
      </c>
    </row>
    <row r="20" spans="1:78" ht="15" customHeight="1" x14ac:dyDescent="0.3">
      <c r="A20" s="19" t="s">
        <v>38</v>
      </c>
      <c r="B20" s="11" t="s">
        <v>106</v>
      </c>
      <c r="C20" s="68">
        <v>7.1495142930960904</v>
      </c>
      <c r="D20" s="69">
        <v>7.7196902331780199</v>
      </c>
      <c r="E20" s="69">
        <v>0.219141230625987</v>
      </c>
      <c r="F20" s="69">
        <v>3.0455215251503902</v>
      </c>
      <c r="G20" s="69">
        <v>14.8812342783355</v>
      </c>
      <c r="H20" s="69">
        <v>6.5480112149179099</v>
      </c>
      <c r="I20" s="69">
        <v>0.47969716499083798</v>
      </c>
      <c r="J20" s="69">
        <v>35.084110009842398</v>
      </c>
      <c r="K20" s="69">
        <v>1.4238244781696501</v>
      </c>
      <c r="L20" s="69">
        <v>45.973516393646896</v>
      </c>
      <c r="M20" s="69">
        <v>7.9822215592468604</v>
      </c>
      <c r="N20" s="69">
        <v>1.62134873997496</v>
      </c>
      <c r="O20" s="69">
        <v>17.0252017241719</v>
      </c>
      <c r="P20" s="69">
        <v>14.3710988027005</v>
      </c>
      <c r="Q20" s="69">
        <v>11697.3083647032</v>
      </c>
      <c r="R20" s="69">
        <v>2.96982470937736</v>
      </c>
      <c r="S20" s="69">
        <v>190.47913902771899</v>
      </c>
      <c r="T20" s="69">
        <v>2.3685570970188898</v>
      </c>
      <c r="U20" s="69">
        <v>0.88354674242197395</v>
      </c>
      <c r="V20" s="69">
        <v>3.9396433559380801</v>
      </c>
      <c r="W20" s="69">
        <v>9.2079725812666293</v>
      </c>
      <c r="X20" s="69">
        <v>10.2509763578808</v>
      </c>
      <c r="Y20" s="69">
        <v>12.7485501926013</v>
      </c>
      <c r="Z20" s="69">
        <v>3.9203414357581199</v>
      </c>
      <c r="AA20" s="69">
        <v>53.540745777324098</v>
      </c>
      <c r="AB20" s="69">
        <v>7.7145457989635799</v>
      </c>
      <c r="AC20" s="69">
        <v>2.4400145494299301</v>
      </c>
      <c r="AD20" s="69">
        <v>1.36649371437939</v>
      </c>
      <c r="AE20" s="69">
        <v>79.438651775861999</v>
      </c>
      <c r="AF20" s="69">
        <v>3.0520232810010501</v>
      </c>
      <c r="AG20" s="69">
        <v>7.9239341476719396</v>
      </c>
      <c r="AH20" s="69">
        <v>11.6406281265487</v>
      </c>
      <c r="AI20" s="69">
        <v>118.00553616781499</v>
      </c>
      <c r="AJ20" s="69">
        <v>47.025598069080203</v>
      </c>
      <c r="AK20" s="69">
        <v>1.9310062821201599</v>
      </c>
      <c r="AL20" s="69">
        <v>100.366598697857</v>
      </c>
      <c r="AM20" s="69">
        <v>4.6629997687534104</v>
      </c>
      <c r="AN20" s="69">
        <v>186.285270382882</v>
      </c>
      <c r="AO20" s="69">
        <v>3.12649527584946</v>
      </c>
      <c r="AP20" s="69">
        <v>87.8357833127276</v>
      </c>
      <c r="AQ20" s="69">
        <v>78.816824226823897</v>
      </c>
      <c r="AR20" s="69">
        <v>42.208044387999102</v>
      </c>
      <c r="AS20" s="69">
        <v>0.32879250729833398</v>
      </c>
      <c r="AT20" s="69">
        <v>1.4872199567692601</v>
      </c>
      <c r="AU20" s="69">
        <v>1.7243024477337401</v>
      </c>
      <c r="AV20" s="69">
        <v>3.18589415668795</v>
      </c>
      <c r="AW20" s="69">
        <v>30.698611113129999</v>
      </c>
      <c r="AX20" s="69">
        <v>0.77017281432015405</v>
      </c>
      <c r="AY20" s="69">
        <v>51.2258711475993</v>
      </c>
      <c r="AZ20" s="69">
        <v>1.45821716441324</v>
      </c>
      <c r="BA20" s="69">
        <v>12.8875298180694</v>
      </c>
      <c r="BB20" s="69">
        <v>4.2617375694902204</v>
      </c>
      <c r="BC20" s="69">
        <v>1.1042158868893299</v>
      </c>
      <c r="BD20" s="69">
        <v>2.1363172776065298</v>
      </c>
      <c r="BE20" s="69">
        <v>8.0023627945632807</v>
      </c>
      <c r="BF20" s="69">
        <v>3.68776273608835</v>
      </c>
      <c r="BG20" s="69">
        <v>2.2764529474760802</v>
      </c>
      <c r="BH20" s="69">
        <v>13.9062642857987</v>
      </c>
      <c r="BI20" s="69">
        <v>147.17057322639701</v>
      </c>
      <c r="BJ20" s="69">
        <v>48.205107834476898</v>
      </c>
      <c r="BK20" s="69">
        <v>8.56963016821312</v>
      </c>
      <c r="BL20" s="69">
        <v>0.929326944508306</v>
      </c>
      <c r="BM20" s="69">
        <v>11.375450176347099</v>
      </c>
      <c r="BN20" s="69">
        <v>19.139833637015599</v>
      </c>
      <c r="BO20" s="69">
        <v>1.4150016210020699</v>
      </c>
      <c r="BP20" s="69">
        <v>9.8682993306810705</v>
      </c>
      <c r="BQ20" s="70">
        <v>0</v>
      </c>
      <c r="BR20" s="71">
        <v>13320.7971891569</v>
      </c>
      <c r="BS20" s="72">
        <v>13321.3365569917</v>
      </c>
      <c r="BT20" s="73">
        <v>0.17720125416132501</v>
      </c>
      <c r="BU20" s="73">
        <v>0</v>
      </c>
      <c r="BV20" s="121">
        <v>71334.644960446705</v>
      </c>
      <c r="BW20" s="73">
        <v>357.816982550342</v>
      </c>
      <c r="BX20" s="74">
        <v>-806.34424537948598</v>
      </c>
      <c r="BY20" s="107">
        <v>84207.631455863506</v>
      </c>
      <c r="BZ20" s="75">
        <v>97528.428645020394</v>
      </c>
    </row>
    <row r="21" spans="1:78" ht="15" customHeight="1" x14ac:dyDescent="0.3">
      <c r="A21" s="19" t="s">
        <v>39</v>
      </c>
      <c r="B21" s="11" t="s">
        <v>107</v>
      </c>
      <c r="C21" s="68">
        <v>1154.04482313978</v>
      </c>
      <c r="D21" s="69">
        <v>769.58472201415304</v>
      </c>
      <c r="E21" s="69">
        <v>50.225887951358999</v>
      </c>
      <c r="F21" s="69">
        <v>7.3609304233970896</v>
      </c>
      <c r="G21" s="69">
        <v>14.1894498435537</v>
      </c>
      <c r="H21" s="69">
        <v>8.2748766514516596</v>
      </c>
      <c r="I21" s="69">
        <v>1.11467483394984</v>
      </c>
      <c r="J21" s="69">
        <v>86.608254935232395</v>
      </c>
      <c r="K21" s="69">
        <v>1.93421461274714</v>
      </c>
      <c r="L21" s="69">
        <v>580.64013956355996</v>
      </c>
      <c r="M21" s="69">
        <v>213.71339296700799</v>
      </c>
      <c r="N21" s="69">
        <v>0.24099211606041901</v>
      </c>
      <c r="O21" s="69">
        <v>48.021304718757001</v>
      </c>
      <c r="P21" s="69">
        <v>2.87226514159146</v>
      </c>
      <c r="Q21" s="69">
        <v>0.81635382210718299</v>
      </c>
      <c r="R21" s="69">
        <v>10921.1944156433</v>
      </c>
      <c r="S21" s="69">
        <v>1381.91793595012</v>
      </c>
      <c r="T21" s="69">
        <v>0.75869978645420599</v>
      </c>
      <c r="U21" s="69">
        <v>2.4162165522202801</v>
      </c>
      <c r="V21" s="69">
        <v>2.3531480095630699</v>
      </c>
      <c r="W21" s="69">
        <v>43.626627237828998</v>
      </c>
      <c r="X21" s="69">
        <v>80.894606458185706</v>
      </c>
      <c r="Y21" s="69">
        <v>3.6668760525355002</v>
      </c>
      <c r="Z21" s="69">
        <v>2.5037091476029398</v>
      </c>
      <c r="AA21" s="69">
        <v>10.6440073964782</v>
      </c>
      <c r="AB21" s="69">
        <v>79.259921984633195</v>
      </c>
      <c r="AC21" s="69">
        <v>33.956497088823497</v>
      </c>
      <c r="AD21" s="69">
        <v>1.06841951099542</v>
      </c>
      <c r="AE21" s="69">
        <v>552.62685530970998</v>
      </c>
      <c r="AF21" s="69">
        <v>3.5020799174802102</v>
      </c>
      <c r="AG21" s="69">
        <v>12.5847172065561</v>
      </c>
      <c r="AH21" s="69">
        <v>592.63783598286898</v>
      </c>
      <c r="AI21" s="69">
        <v>324.34577694134498</v>
      </c>
      <c r="AJ21" s="69">
        <v>132.588987109398</v>
      </c>
      <c r="AK21" s="69">
        <v>168.22190493786101</v>
      </c>
      <c r="AL21" s="69">
        <v>12192.0204175442</v>
      </c>
      <c r="AM21" s="69">
        <v>10.7199357319077</v>
      </c>
      <c r="AN21" s="69">
        <v>460.61923786001103</v>
      </c>
      <c r="AO21" s="69">
        <v>12.508700396180799</v>
      </c>
      <c r="AP21" s="69">
        <v>9733.9465204723401</v>
      </c>
      <c r="AQ21" s="69">
        <v>4995.5179238146302</v>
      </c>
      <c r="AR21" s="69">
        <v>7.9285812397567001</v>
      </c>
      <c r="AS21" s="69">
        <v>0.803819788423349</v>
      </c>
      <c r="AT21" s="69">
        <v>0.47692638975842699</v>
      </c>
      <c r="AU21" s="69">
        <v>188.85761842635199</v>
      </c>
      <c r="AV21" s="69">
        <v>5.6985193630998801</v>
      </c>
      <c r="AW21" s="69">
        <v>27.879669087573099</v>
      </c>
      <c r="AX21" s="69">
        <v>0.92589763664750802</v>
      </c>
      <c r="AY21" s="69">
        <v>217.23991728598901</v>
      </c>
      <c r="AZ21" s="69">
        <v>10.513477277952999</v>
      </c>
      <c r="BA21" s="69">
        <v>14.589245105573699</v>
      </c>
      <c r="BB21" s="69">
        <v>23.951032498770399</v>
      </c>
      <c r="BC21" s="69">
        <v>620.01156891641699</v>
      </c>
      <c r="BD21" s="69">
        <v>28.1268641168088</v>
      </c>
      <c r="BE21" s="69">
        <v>6.0112230803529103</v>
      </c>
      <c r="BF21" s="69">
        <v>8.5363139484980408</v>
      </c>
      <c r="BG21" s="69">
        <v>6.5642298270160202</v>
      </c>
      <c r="BH21" s="69">
        <v>227.99774148932701</v>
      </c>
      <c r="BI21" s="69">
        <v>1.7969803689489301</v>
      </c>
      <c r="BJ21" s="69">
        <v>144.20811976221401</v>
      </c>
      <c r="BK21" s="69">
        <v>42.218647967807001</v>
      </c>
      <c r="BL21" s="69">
        <v>26.928059937882001</v>
      </c>
      <c r="BM21" s="69">
        <v>13.5089829929511</v>
      </c>
      <c r="BN21" s="69">
        <v>20.837158534079801</v>
      </c>
      <c r="BO21" s="69">
        <v>19.558679848782401</v>
      </c>
      <c r="BP21" s="69">
        <v>492.47439460205101</v>
      </c>
      <c r="BQ21" s="70">
        <v>0</v>
      </c>
      <c r="BR21" s="71">
        <v>46853.387926271003</v>
      </c>
      <c r="BS21" s="72">
        <v>22612.1315513597</v>
      </c>
      <c r="BT21" s="73">
        <v>5.0272946553256304E-3</v>
      </c>
      <c r="BU21" s="73">
        <v>0</v>
      </c>
      <c r="BV21" s="121">
        <v>4744.23159628344</v>
      </c>
      <c r="BW21" s="73">
        <v>256.17294984117899</v>
      </c>
      <c r="BX21" s="74">
        <v>1916.1918974455</v>
      </c>
      <c r="BY21" s="107">
        <v>29528.7330222245</v>
      </c>
      <c r="BZ21" s="75">
        <v>76382.120948495503</v>
      </c>
    </row>
    <row r="22" spans="1:78" ht="15" customHeight="1" x14ac:dyDescent="0.3">
      <c r="A22" s="19" t="s">
        <v>40</v>
      </c>
      <c r="B22" s="11" t="s">
        <v>108</v>
      </c>
      <c r="C22" s="68">
        <v>1071.04317628025</v>
      </c>
      <c r="D22" s="69">
        <v>355.05646578080899</v>
      </c>
      <c r="E22" s="69">
        <v>40.175825392257501</v>
      </c>
      <c r="F22" s="69">
        <v>9.8204885710609098</v>
      </c>
      <c r="G22" s="69">
        <v>302.99128123634</v>
      </c>
      <c r="H22" s="69">
        <v>664.23086759149703</v>
      </c>
      <c r="I22" s="69">
        <v>71.802599217123003</v>
      </c>
      <c r="J22" s="69">
        <v>7728.6541703425301</v>
      </c>
      <c r="K22" s="69">
        <v>51.767544367315402</v>
      </c>
      <c r="L22" s="69">
        <v>8625.6731578128292</v>
      </c>
      <c r="M22" s="69">
        <v>536.76627702277904</v>
      </c>
      <c r="N22" s="69">
        <v>1699.1033780948101</v>
      </c>
      <c r="O22" s="69">
        <v>1394.1030455433199</v>
      </c>
      <c r="P22" s="69">
        <v>690.93424716003597</v>
      </c>
      <c r="Q22" s="69">
        <v>1187.69790328675</v>
      </c>
      <c r="R22" s="69">
        <v>3671.4901024819401</v>
      </c>
      <c r="S22" s="69">
        <v>37036.508787197097</v>
      </c>
      <c r="T22" s="69">
        <v>2485.9203272905402</v>
      </c>
      <c r="U22" s="69">
        <v>355.71785048311801</v>
      </c>
      <c r="V22" s="69">
        <v>201.56220185222799</v>
      </c>
      <c r="W22" s="69">
        <v>276.49582622011297</v>
      </c>
      <c r="X22" s="69">
        <v>457.72025581908701</v>
      </c>
      <c r="Y22" s="69">
        <v>3462.9115671191798</v>
      </c>
      <c r="Z22" s="69">
        <v>2098.73186007498</v>
      </c>
      <c r="AA22" s="69">
        <v>5490.1803835882201</v>
      </c>
      <c r="AB22" s="69">
        <v>4475.9361502109996</v>
      </c>
      <c r="AC22" s="69">
        <v>80.751268829511702</v>
      </c>
      <c r="AD22" s="69">
        <v>39.309314473750597</v>
      </c>
      <c r="AE22" s="69">
        <v>3010.6649995925</v>
      </c>
      <c r="AF22" s="69">
        <v>1632.08847081511</v>
      </c>
      <c r="AG22" s="69">
        <v>849.85635839836004</v>
      </c>
      <c r="AH22" s="69">
        <v>889.59261855826503</v>
      </c>
      <c r="AI22" s="69">
        <v>735.00800431221001</v>
      </c>
      <c r="AJ22" s="69">
        <v>1516.5048678990699</v>
      </c>
      <c r="AK22" s="69">
        <v>106.346935752752</v>
      </c>
      <c r="AL22" s="69">
        <v>2208.7100372718801</v>
      </c>
      <c r="AM22" s="69">
        <v>282.23234291515899</v>
      </c>
      <c r="AN22" s="69">
        <v>78.510086993093907</v>
      </c>
      <c r="AO22" s="69">
        <v>108.54809944094001</v>
      </c>
      <c r="AP22" s="69">
        <v>837.25595345627801</v>
      </c>
      <c r="AQ22" s="69">
        <v>14547.528996250199</v>
      </c>
      <c r="AR22" s="69">
        <v>364.95037970022702</v>
      </c>
      <c r="AS22" s="69">
        <v>128.42370178581999</v>
      </c>
      <c r="AT22" s="69">
        <v>19.1716514541626</v>
      </c>
      <c r="AU22" s="69">
        <v>806.41735008738101</v>
      </c>
      <c r="AV22" s="69">
        <v>297.85688527371298</v>
      </c>
      <c r="AW22" s="69">
        <v>2373.9982740235</v>
      </c>
      <c r="AX22" s="69">
        <v>1525.1327545341501</v>
      </c>
      <c r="AY22" s="69">
        <v>250.76081891466799</v>
      </c>
      <c r="AZ22" s="69">
        <v>92.120064933522798</v>
      </c>
      <c r="BA22" s="69">
        <v>1865.85249320305</v>
      </c>
      <c r="BB22" s="69">
        <v>2752.5674186614701</v>
      </c>
      <c r="BC22" s="69">
        <v>575.379563488484</v>
      </c>
      <c r="BD22" s="69">
        <v>3106.4676079809201</v>
      </c>
      <c r="BE22" s="69">
        <v>852.11590986330896</v>
      </c>
      <c r="BF22" s="69">
        <v>1455.8757160211801</v>
      </c>
      <c r="BG22" s="69">
        <v>1101.1214535663601</v>
      </c>
      <c r="BH22" s="69">
        <v>4881.8949239997</v>
      </c>
      <c r="BI22" s="69">
        <v>84.963570673223501</v>
      </c>
      <c r="BJ22" s="69">
        <v>1547.01703310521</v>
      </c>
      <c r="BK22" s="69">
        <v>1201.39504845431</v>
      </c>
      <c r="BL22" s="69">
        <v>1077.6202633964599</v>
      </c>
      <c r="BM22" s="69">
        <v>435.83619897026699</v>
      </c>
      <c r="BN22" s="69">
        <v>1466.6977496029001</v>
      </c>
      <c r="BO22" s="69">
        <v>98.267116814517806</v>
      </c>
      <c r="BP22" s="69">
        <v>1145.3186389217501</v>
      </c>
      <c r="BQ22" s="70">
        <v>0</v>
      </c>
      <c r="BR22" s="71">
        <v>140873.12668242701</v>
      </c>
      <c r="BS22" s="72">
        <v>47127.235141032601</v>
      </c>
      <c r="BT22" s="73">
        <v>7.0643361022599596</v>
      </c>
      <c r="BU22" s="73">
        <v>0</v>
      </c>
      <c r="BV22" s="121">
        <v>26156.0119302407</v>
      </c>
      <c r="BW22" s="73">
        <v>1595.62051843361</v>
      </c>
      <c r="BX22" s="74">
        <v>-2495.7717464770299</v>
      </c>
      <c r="BY22" s="107">
        <v>72390.160179332102</v>
      </c>
      <c r="BZ22" s="75">
        <v>213263.286861759</v>
      </c>
    </row>
    <row r="23" spans="1:78" ht="15" customHeight="1" x14ac:dyDescent="0.3">
      <c r="A23" s="19" t="s">
        <v>41</v>
      </c>
      <c r="B23" s="11" t="s">
        <v>109</v>
      </c>
      <c r="C23" s="68">
        <v>25.4984710794348</v>
      </c>
      <c r="D23" s="69">
        <v>3.52938505497153</v>
      </c>
      <c r="E23" s="69">
        <v>4.4409193759852297</v>
      </c>
      <c r="F23" s="69">
        <v>2.3766207627023399</v>
      </c>
      <c r="G23" s="69">
        <v>33.471724581610403</v>
      </c>
      <c r="H23" s="69">
        <v>61.304815620035598</v>
      </c>
      <c r="I23" s="69">
        <v>9.1116986861675002</v>
      </c>
      <c r="J23" s="69">
        <v>167.29335303826599</v>
      </c>
      <c r="K23" s="69">
        <v>41.311242658995297</v>
      </c>
      <c r="L23" s="69">
        <v>216.39946632030299</v>
      </c>
      <c r="M23" s="69">
        <v>450.304573342406</v>
      </c>
      <c r="N23" s="69">
        <v>8.9219621199030996</v>
      </c>
      <c r="O23" s="69">
        <v>29.326661094208902</v>
      </c>
      <c r="P23" s="69">
        <v>36.2763280881925</v>
      </c>
      <c r="Q23" s="69">
        <v>16.033690352442601</v>
      </c>
      <c r="R23" s="69">
        <v>74.820977175482696</v>
      </c>
      <c r="S23" s="69">
        <v>422.06180344894</v>
      </c>
      <c r="T23" s="69">
        <v>1609.7393961712201</v>
      </c>
      <c r="U23" s="69">
        <v>11.0991821860573</v>
      </c>
      <c r="V23" s="69">
        <v>26.796869726927799</v>
      </c>
      <c r="W23" s="69">
        <v>17.0455432548621</v>
      </c>
      <c r="X23" s="69">
        <v>47.1199940795508</v>
      </c>
      <c r="Y23" s="69">
        <v>27.677344772644901</v>
      </c>
      <c r="Z23" s="69">
        <v>31.5217822934009</v>
      </c>
      <c r="AA23" s="69">
        <v>164.65442774990501</v>
      </c>
      <c r="AB23" s="69">
        <v>59.639446539741797</v>
      </c>
      <c r="AC23" s="69">
        <v>32.194604010724099</v>
      </c>
      <c r="AD23" s="69">
        <v>2.2623709188271501</v>
      </c>
      <c r="AE23" s="69">
        <v>60.0324831292791</v>
      </c>
      <c r="AF23" s="69">
        <v>268.31232791856701</v>
      </c>
      <c r="AG23" s="69">
        <v>28.269547042206302</v>
      </c>
      <c r="AH23" s="69">
        <v>76.887311735999305</v>
      </c>
      <c r="AI23" s="69">
        <v>51.698383900424403</v>
      </c>
      <c r="AJ23" s="69">
        <v>52.4757897224057</v>
      </c>
      <c r="AK23" s="69">
        <v>8.4984356217306498</v>
      </c>
      <c r="AL23" s="69">
        <v>79.252587642521704</v>
      </c>
      <c r="AM23" s="69">
        <v>23.006065913585299</v>
      </c>
      <c r="AN23" s="69">
        <v>37.283043257272404</v>
      </c>
      <c r="AO23" s="69">
        <v>24.964121845816699</v>
      </c>
      <c r="AP23" s="69">
        <v>231.92304988618901</v>
      </c>
      <c r="AQ23" s="69">
        <v>12390.986553541599</v>
      </c>
      <c r="AR23" s="69">
        <v>75.3603747808137</v>
      </c>
      <c r="AS23" s="69">
        <v>4.1422394649327101</v>
      </c>
      <c r="AT23" s="69">
        <v>39.1463940534492</v>
      </c>
      <c r="AU23" s="69">
        <v>114.751495230218</v>
      </c>
      <c r="AV23" s="69">
        <v>12.138353400841901</v>
      </c>
      <c r="AW23" s="69">
        <v>121.307459680078</v>
      </c>
      <c r="AX23" s="69">
        <v>1679.6950473367201</v>
      </c>
      <c r="AY23" s="69">
        <v>279.87620463827699</v>
      </c>
      <c r="AZ23" s="69">
        <v>819.20556652988205</v>
      </c>
      <c r="BA23" s="69">
        <v>1040.55158466989</v>
      </c>
      <c r="BB23" s="69">
        <v>2312.0667541473899</v>
      </c>
      <c r="BC23" s="69">
        <v>496.32522005509497</v>
      </c>
      <c r="BD23" s="69">
        <v>903.46977175004201</v>
      </c>
      <c r="BE23" s="69">
        <v>424.65263703889502</v>
      </c>
      <c r="BF23" s="69">
        <v>6525.74086236533</v>
      </c>
      <c r="BG23" s="69">
        <v>113.21102580731799</v>
      </c>
      <c r="BH23" s="69">
        <v>2423.6667122807498</v>
      </c>
      <c r="BI23" s="69">
        <v>4.6462767825028797</v>
      </c>
      <c r="BJ23" s="69">
        <v>1916.1486557349299</v>
      </c>
      <c r="BK23" s="69">
        <v>405.87044141907597</v>
      </c>
      <c r="BL23" s="69">
        <v>55.425912204717903</v>
      </c>
      <c r="BM23" s="69">
        <v>249.44077952961399</v>
      </c>
      <c r="BN23" s="69">
        <v>213.429034266564</v>
      </c>
      <c r="BO23" s="69">
        <v>512.55820665144404</v>
      </c>
      <c r="BP23" s="69">
        <v>543.19710848350599</v>
      </c>
      <c r="BQ23" s="70">
        <v>0</v>
      </c>
      <c r="BR23" s="71">
        <v>38251.848473963801</v>
      </c>
      <c r="BS23" s="72">
        <v>351.644570471691</v>
      </c>
      <c r="BT23" s="73">
        <v>0</v>
      </c>
      <c r="BU23" s="73">
        <v>0</v>
      </c>
      <c r="BV23" s="121">
        <v>1927.1829584683201</v>
      </c>
      <c r="BW23" s="73">
        <v>125.644950415642</v>
      </c>
      <c r="BX23" s="74">
        <v>35.924391328802201</v>
      </c>
      <c r="BY23" s="107">
        <v>2440.3968706844598</v>
      </c>
      <c r="BZ23" s="75">
        <v>40692.245344648298</v>
      </c>
    </row>
    <row r="24" spans="1:78" ht="15" customHeight="1" x14ac:dyDescent="0.3">
      <c r="A24" s="19" t="s">
        <v>42</v>
      </c>
      <c r="B24" s="11" t="s">
        <v>110</v>
      </c>
      <c r="C24" s="68">
        <v>25078.983494488199</v>
      </c>
      <c r="D24" s="69">
        <v>9911.3136965129306</v>
      </c>
      <c r="E24" s="69">
        <v>1393.0253129118901</v>
      </c>
      <c r="F24" s="69">
        <v>2595.3574705984302</v>
      </c>
      <c r="G24" s="69">
        <v>6877.3521621812797</v>
      </c>
      <c r="H24" s="69">
        <v>16773.8125399528</v>
      </c>
      <c r="I24" s="69">
        <v>2373.1169595012202</v>
      </c>
      <c r="J24" s="69">
        <v>6865.88835514518</v>
      </c>
      <c r="K24" s="69">
        <v>3175.6387153574801</v>
      </c>
      <c r="L24" s="69">
        <v>7828.34560916595</v>
      </c>
      <c r="M24" s="69">
        <v>1510.13187676705</v>
      </c>
      <c r="N24" s="69">
        <v>48.626605622921801</v>
      </c>
      <c r="O24" s="69">
        <v>527.86505155674695</v>
      </c>
      <c r="P24" s="69">
        <v>182.93544736703501</v>
      </c>
      <c r="Q24" s="69">
        <v>335.74581218604197</v>
      </c>
      <c r="R24" s="69">
        <v>718.14041119899105</v>
      </c>
      <c r="S24" s="69">
        <v>5184.6282328614898</v>
      </c>
      <c r="T24" s="69">
        <v>52.013828706934397</v>
      </c>
      <c r="U24" s="69">
        <v>281977.76712552999</v>
      </c>
      <c r="V24" s="69">
        <v>3290.3810062359798</v>
      </c>
      <c r="W24" s="69">
        <v>39270.829251990297</v>
      </c>
      <c r="X24" s="69">
        <v>2613.51581670322</v>
      </c>
      <c r="Y24" s="69">
        <v>999.15038614939499</v>
      </c>
      <c r="Z24" s="69">
        <v>372.32773525329401</v>
      </c>
      <c r="AA24" s="69">
        <v>4307.9313764461403</v>
      </c>
      <c r="AB24" s="69">
        <v>8478.3816293877207</v>
      </c>
      <c r="AC24" s="69">
        <v>7230.4768561425099</v>
      </c>
      <c r="AD24" s="69">
        <v>5291.0559871621599</v>
      </c>
      <c r="AE24" s="69">
        <v>930.53345147457503</v>
      </c>
      <c r="AF24" s="69">
        <v>338.34765349491698</v>
      </c>
      <c r="AG24" s="69">
        <v>1623.7744097541699</v>
      </c>
      <c r="AH24" s="69">
        <v>1180.3056508544501</v>
      </c>
      <c r="AI24" s="69">
        <v>1356.24167551042</v>
      </c>
      <c r="AJ24" s="69">
        <v>812.93638179406696</v>
      </c>
      <c r="AK24" s="69">
        <v>168.413357533685</v>
      </c>
      <c r="AL24" s="69">
        <v>610.69512513802704</v>
      </c>
      <c r="AM24" s="69">
        <v>740.986739864009</v>
      </c>
      <c r="AN24" s="69">
        <v>9145.05662310359</v>
      </c>
      <c r="AO24" s="69">
        <v>2152.4512340654501</v>
      </c>
      <c r="AP24" s="69">
        <v>13028.19013666</v>
      </c>
      <c r="AQ24" s="69">
        <v>35297.411659167403</v>
      </c>
      <c r="AR24" s="69">
        <v>133271.22412837599</v>
      </c>
      <c r="AS24" s="69">
        <v>4133.1318940618103</v>
      </c>
      <c r="AT24" s="69">
        <v>14994.1464735234</v>
      </c>
      <c r="AU24" s="69">
        <v>4184.0054330850098</v>
      </c>
      <c r="AV24" s="69">
        <v>143.59088003088101</v>
      </c>
      <c r="AW24" s="69">
        <v>4094.7636205358899</v>
      </c>
      <c r="AX24" s="69">
        <v>37.3279920566954</v>
      </c>
      <c r="AY24" s="69">
        <v>109.48213361363401</v>
      </c>
      <c r="AZ24" s="69">
        <v>164.303021790397</v>
      </c>
      <c r="BA24" s="69">
        <v>449.55030296285202</v>
      </c>
      <c r="BB24" s="69">
        <v>1230.15368475889</v>
      </c>
      <c r="BC24" s="69">
        <v>175.15388197195799</v>
      </c>
      <c r="BD24" s="69">
        <v>1379.90989754068</v>
      </c>
      <c r="BE24" s="69">
        <v>1017.47305443747</v>
      </c>
      <c r="BF24" s="69">
        <v>335.04999249068698</v>
      </c>
      <c r="BG24" s="69">
        <v>1583.4225051215201</v>
      </c>
      <c r="BH24" s="69">
        <v>1088.2018990464801</v>
      </c>
      <c r="BI24" s="69">
        <v>811.50502979435305</v>
      </c>
      <c r="BJ24" s="69">
        <v>4865.1413778522001</v>
      </c>
      <c r="BK24" s="69">
        <v>617.25001322404603</v>
      </c>
      <c r="BL24" s="69">
        <v>258.65483526927102</v>
      </c>
      <c r="BM24" s="69">
        <v>306.34052057792701</v>
      </c>
      <c r="BN24" s="69">
        <v>555.26011137055002</v>
      </c>
      <c r="BO24" s="69">
        <v>228.088636441739</v>
      </c>
      <c r="BP24" s="69">
        <v>1375.97465483516</v>
      </c>
      <c r="BQ24" s="70">
        <v>0</v>
      </c>
      <c r="BR24" s="71">
        <v>690059.18882626703</v>
      </c>
      <c r="BS24" s="72">
        <v>40762.856373667099</v>
      </c>
      <c r="BT24" s="73">
        <v>0</v>
      </c>
      <c r="BU24" s="73">
        <v>0</v>
      </c>
      <c r="BV24" s="121">
        <v>268374.86186258</v>
      </c>
      <c r="BW24" s="73">
        <v>4.8124725819822904</v>
      </c>
      <c r="BX24" s="74">
        <v>1713.8267577747899</v>
      </c>
      <c r="BY24" s="107">
        <v>310856.35746660398</v>
      </c>
      <c r="BZ24" s="75">
        <v>1000915.54629287</v>
      </c>
    </row>
    <row r="25" spans="1:78" ht="15" customHeight="1" x14ac:dyDescent="0.3">
      <c r="A25" s="19" t="s">
        <v>43</v>
      </c>
      <c r="B25" s="11" t="s">
        <v>111</v>
      </c>
      <c r="C25" s="68">
        <v>236.448143665744</v>
      </c>
      <c r="D25" s="69">
        <v>425.99716729671098</v>
      </c>
      <c r="E25" s="69">
        <v>9.3124594636113507</v>
      </c>
      <c r="F25" s="69">
        <v>7.8215872443969499</v>
      </c>
      <c r="G25" s="69">
        <v>1256.00823928965</v>
      </c>
      <c r="H25" s="69">
        <v>20.885513689433399</v>
      </c>
      <c r="I25" s="69">
        <v>5.5344167963019997</v>
      </c>
      <c r="J25" s="69">
        <v>1303.29963275825</v>
      </c>
      <c r="K25" s="69">
        <v>715.99377445819505</v>
      </c>
      <c r="L25" s="69">
        <v>3185.2455417825799</v>
      </c>
      <c r="M25" s="69">
        <v>460.43410893123598</v>
      </c>
      <c r="N25" s="69">
        <v>7.5330018693551298E-2</v>
      </c>
      <c r="O25" s="69">
        <v>3.9149968971837099</v>
      </c>
      <c r="P25" s="69">
        <v>1.42006249657776</v>
      </c>
      <c r="Q25" s="69">
        <v>1.5475338700285299</v>
      </c>
      <c r="R25" s="69">
        <v>144.21332807789099</v>
      </c>
      <c r="S25" s="69">
        <v>48.571237331520202</v>
      </c>
      <c r="T25" s="69">
        <v>0.67658999493579797</v>
      </c>
      <c r="U25" s="69">
        <v>46344.203514253597</v>
      </c>
      <c r="V25" s="69">
        <v>2251.1124244745201</v>
      </c>
      <c r="W25" s="69">
        <v>793.51520605173596</v>
      </c>
      <c r="X25" s="69">
        <v>759.05047824729195</v>
      </c>
      <c r="Y25" s="69">
        <v>3053.33469414718</v>
      </c>
      <c r="Z25" s="69">
        <v>1384.51762901644</v>
      </c>
      <c r="AA25" s="69">
        <v>7.5570200514625601</v>
      </c>
      <c r="AB25" s="69">
        <v>5.57406802127423</v>
      </c>
      <c r="AC25" s="69">
        <v>8.8151119563442499</v>
      </c>
      <c r="AD25" s="69">
        <v>3.3250299965086501</v>
      </c>
      <c r="AE25" s="69">
        <v>79.774258282803601</v>
      </c>
      <c r="AF25" s="69">
        <v>0.89928700236648096</v>
      </c>
      <c r="AG25" s="69">
        <v>6.3276955084121296</v>
      </c>
      <c r="AH25" s="69">
        <v>48.608967258250203</v>
      </c>
      <c r="AI25" s="69">
        <v>27.706573888219101</v>
      </c>
      <c r="AJ25" s="69">
        <v>4.0975876340260502</v>
      </c>
      <c r="AK25" s="69">
        <v>2.1310499785665198</v>
      </c>
      <c r="AL25" s="69">
        <v>8.9808259217165691</v>
      </c>
      <c r="AM25" s="69">
        <v>22.905289087198501</v>
      </c>
      <c r="AN25" s="69">
        <v>17.985360769743501</v>
      </c>
      <c r="AO25" s="69">
        <v>93.215168968081798</v>
      </c>
      <c r="AP25" s="69">
        <v>915.33019747311698</v>
      </c>
      <c r="AQ25" s="69">
        <v>2541.1820504713201</v>
      </c>
      <c r="AR25" s="69">
        <v>1693.6751810841499</v>
      </c>
      <c r="AS25" s="69">
        <v>23.4063580478857</v>
      </c>
      <c r="AT25" s="69">
        <v>60.070375366684303</v>
      </c>
      <c r="AU25" s="69">
        <v>154.976651709424</v>
      </c>
      <c r="AV25" s="69">
        <v>36.6038409333243</v>
      </c>
      <c r="AW25" s="69">
        <v>782.95317609844994</v>
      </c>
      <c r="AX25" s="69">
        <v>15.138306052163299</v>
      </c>
      <c r="AY25" s="69">
        <v>29.220795386433299</v>
      </c>
      <c r="AZ25" s="69">
        <v>67.698021851587896</v>
      </c>
      <c r="BA25" s="69">
        <v>175.32557620772999</v>
      </c>
      <c r="BB25" s="69">
        <v>276.96779345458202</v>
      </c>
      <c r="BC25" s="69">
        <v>57.0473955101888</v>
      </c>
      <c r="BD25" s="69">
        <v>321.48589190860901</v>
      </c>
      <c r="BE25" s="69">
        <v>392.871979993053</v>
      </c>
      <c r="BF25" s="69">
        <v>149.431982930407</v>
      </c>
      <c r="BG25" s="69">
        <v>390.319946112943</v>
      </c>
      <c r="BH25" s="69">
        <v>446.20312333369202</v>
      </c>
      <c r="BI25" s="69">
        <v>187.083145178948</v>
      </c>
      <c r="BJ25" s="69">
        <v>1076.5119547869101</v>
      </c>
      <c r="BK25" s="69">
        <v>143.806138729152</v>
      </c>
      <c r="BL25" s="69">
        <v>19.776286162650099</v>
      </c>
      <c r="BM25" s="69">
        <v>103.25387358014</v>
      </c>
      <c r="BN25" s="69">
        <v>210.43197070631399</v>
      </c>
      <c r="BO25" s="69">
        <v>62.500395829820299</v>
      </c>
      <c r="BP25" s="69">
        <v>420.013622316951</v>
      </c>
      <c r="BQ25" s="70">
        <v>0</v>
      </c>
      <c r="BR25" s="71">
        <v>73504.322935795397</v>
      </c>
      <c r="BS25" s="72">
        <v>12486.324031406901</v>
      </c>
      <c r="BT25" s="73">
        <v>0.213305299870333</v>
      </c>
      <c r="BU25" s="73">
        <v>0</v>
      </c>
      <c r="BV25" s="121">
        <v>50043.48855889</v>
      </c>
      <c r="BW25" s="73">
        <v>107.197548605675</v>
      </c>
      <c r="BX25" s="74">
        <v>-650.06159210084104</v>
      </c>
      <c r="BY25" s="107">
        <v>61987.161852101599</v>
      </c>
      <c r="BZ25" s="75">
        <v>135491.484787897</v>
      </c>
    </row>
    <row r="26" spans="1:78" ht="15" customHeight="1" x14ac:dyDescent="0.3">
      <c r="A26" s="19" t="s">
        <v>44</v>
      </c>
      <c r="B26" s="32" t="s">
        <v>112</v>
      </c>
      <c r="C26" s="68">
        <v>157445.601026002</v>
      </c>
      <c r="D26" s="69">
        <v>18100.899804923101</v>
      </c>
      <c r="E26" s="69">
        <v>1120.60704365892</v>
      </c>
      <c r="F26" s="69">
        <v>681.70112845034498</v>
      </c>
      <c r="G26" s="69">
        <v>12038.1729835727</v>
      </c>
      <c r="H26" s="69">
        <v>1919.77014024871</v>
      </c>
      <c r="I26" s="69">
        <v>484.848026733371</v>
      </c>
      <c r="J26" s="69">
        <v>1428.7731635452301</v>
      </c>
      <c r="K26" s="69">
        <v>1041.1234953261101</v>
      </c>
      <c r="L26" s="69">
        <v>3227.7319767680901</v>
      </c>
      <c r="M26" s="69">
        <v>272.90559588854302</v>
      </c>
      <c r="N26" s="69">
        <v>70.385274165533204</v>
      </c>
      <c r="O26" s="69">
        <v>12310.126396232899</v>
      </c>
      <c r="P26" s="69">
        <v>479.57283080691298</v>
      </c>
      <c r="Q26" s="69">
        <v>3792.2108570035798</v>
      </c>
      <c r="R26" s="69">
        <v>3782.7955574480502</v>
      </c>
      <c r="S26" s="69">
        <v>19768.441746504399</v>
      </c>
      <c r="T26" s="69">
        <v>164.22163420442101</v>
      </c>
      <c r="U26" s="69">
        <v>4949.02718621656</v>
      </c>
      <c r="V26" s="69">
        <v>3626.0066526606502</v>
      </c>
      <c r="W26" s="69">
        <v>158876.45871383301</v>
      </c>
      <c r="X26" s="69">
        <v>48600.343338408296</v>
      </c>
      <c r="Y26" s="69">
        <v>14036.1806934088</v>
      </c>
      <c r="Z26" s="69">
        <v>5966.4864787159704</v>
      </c>
      <c r="AA26" s="69">
        <v>69115.252316018596</v>
      </c>
      <c r="AB26" s="69">
        <v>9501.9709526911302</v>
      </c>
      <c r="AC26" s="69">
        <v>4107.8749626236004</v>
      </c>
      <c r="AD26" s="69">
        <v>3775.70852639243</v>
      </c>
      <c r="AE26" s="69">
        <v>4886.8278264567998</v>
      </c>
      <c r="AF26" s="69">
        <v>518.633684805999</v>
      </c>
      <c r="AG26" s="69">
        <v>8415.2370938309796</v>
      </c>
      <c r="AH26" s="69">
        <v>680.12419004443404</v>
      </c>
      <c r="AI26" s="69">
        <v>360.68105439542501</v>
      </c>
      <c r="AJ26" s="69">
        <v>3705.93005575508</v>
      </c>
      <c r="AK26" s="69">
        <v>739.62784324043105</v>
      </c>
      <c r="AL26" s="69">
        <v>6373.2973344505799</v>
      </c>
      <c r="AM26" s="69">
        <v>459.16348023333097</v>
      </c>
      <c r="AN26" s="69">
        <v>365.80928581716199</v>
      </c>
      <c r="AO26" s="69">
        <v>2495.5395062538701</v>
      </c>
      <c r="AP26" s="69">
        <v>794.18073198114303</v>
      </c>
      <c r="AQ26" s="69">
        <v>3198.5362126155401</v>
      </c>
      <c r="AR26" s="69">
        <v>287.56540569842599</v>
      </c>
      <c r="AS26" s="69">
        <v>8.1075090253906694</v>
      </c>
      <c r="AT26" s="69">
        <v>10.990967155494699</v>
      </c>
      <c r="AU26" s="69">
        <v>94.108157888488805</v>
      </c>
      <c r="AV26" s="69">
        <v>28.647624038103501</v>
      </c>
      <c r="AW26" s="69">
        <v>195.16765679007199</v>
      </c>
      <c r="AX26" s="69">
        <v>8.2092057133230902</v>
      </c>
      <c r="AY26" s="69">
        <v>18.469853519617001</v>
      </c>
      <c r="AZ26" s="69">
        <v>44.481692292873298</v>
      </c>
      <c r="BA26" s="69">
        <v>55.485133255027897</v>
      </c>
      <c r="BB26" s="69">
        <v>93.692998331559906</v>
      </c>
      <c r="BC26" s="69">
        <v>91.184691879744193</v>
      </c>
      <c r="BD26" s="69">
        <v>122.377272855366</v>
      </c>
      <c r="BE26" s="69">
        <v>123.124769911743</v>
      </c>
      <c r="BF26" s="69">
        <v>77.455419462919807</v>
      </c>
      <c r="BG26" s="69">
        <v>56.310052389466399</v>
      </c>
      <c r="BH26" s="69">
        <v>433.76624988365802</v>
      </c>
      <c r="BI26" s="69">
        <v>7.3286630282615501</v>
      </c>
      <c r="BJ26" s="69">
        <v>151.003170955694</v>
      </c>
      <c r="BK26" s="69">
        <v>188.496197651681</v>
      </c>
      <c r="BL26" s="69">
        <v>103.948352000383</v>
      </c>
      <c r="BM26" s="69">
        <v>1333.23905091441</v>
      </c>
      <c r="BN26" s="69">
        <v>1660.44274109957</v>
      </c>
      <c r="BO26" s="69">
        <v>82.565391833373099</v>
      </c>
      <c r="BP26" s="69">
        <v>995.15288419413105</v>
      </c>
      <c r="BQ26" s="70">
        <v>0</v>
      </c>
      <c r="BR26" s="71">
        <v>599950.10791410098</v>
      </c>
      <c r="BS26" s="72">
        <v>36519.712704437698</v>
      </c>
      <c r="BT26" s="73">
        <v>19.106343426930199</v>
      </c>
      <c r="BU26" s="73">
        <v>0</v>
      </c>
      <c r="BV26" s="121">
        <v>8024.2379794486096</v>
      </c>
      <c r="BW26" s="73">
        <v>820.13750180146803</v>
      </c>
      <c r="BX26" s="74">
        <v>9316.7631328036296</v>
      </c>
      <c r="BY26" s="107">
        <v>54699.957661918401</v>
      </c>
      <c r="BZ26" s="75">
        <v>654650.065576019</v>
      </c>
    </row>
    <row r="27" spans="1:78" ht="15" customHeight="1" x14ac:dyDescent="0.3">
      <c r="A27" s="19" t="s">
        <v>45</v>
      </c>
      <c r="B27" s="11" t="s">
        <v>113</v>
      </c>
      <c r="C27" s="68">
        <v>69223.522034020105</v>
      </c>
      <c r="D27" s="69">
        <v>7833.7935412379702</v>
      </c>
      <c r="E27" s="69">
        <v>225.294480915973</v>
      </c>
      <c r="F27" s="69">
        <v>4384.5951957820698</v>
      </c>
      <c r="G27" s="69">
        <v>1103.1626959355001</v>
      </c>
      <c r="H27" s="69">
        <v>1254.9620958775699</v>
      </c>
      <c r="I27" s="69">
        <v>322.76902806429598</v>
      </c>
      <c r="J27" s="69">
        <v>2286.8933738553501</v>
      </c>
      <c r="K27" s="69">
        <v>174.75784627433501</v>
      </c>
      <c r="L27" s="69">
        <v>5695.2483733644003</v>
      </c>
      <c r="M27" s="69">
        <v>312.91825365912803</v>
      </c>
      <c r="N27" s="69">
        <v>11.874970562400801</v>
      </c>
      <c r="O27" s="69">
        <v>770.982175086236</v>
      </c>
      <c r="P27" s="69">
        <v>94.122182379582895</v>
      </c>
      <c r="Q27" s="69">
        <v>388.74641469032798</v>
      </c>
      <c r="R27" s="69">
        <v>2559.5693978117001</v>
      </c>
      <c r="S27" s="69">
        <v>4341.3876056102499</v>
      </c>
      <c r="T27" s="69">
        <v>1451.27803428436</v>
      </c>
      <c r="U27" s="69">
        <v>1328.68508303299</v>
      </c>
      <c r="V27" s="69">
        <v>735.37378777721597</v>
      </c>
      <c r="W27" s="69">
        <v>7401.4809657796104</v>
      </c>
      <c r="X27" s="69">
        <v>28687.678758805101</v>
      </c>
      <c r="Y27" s="69">
        <v>3722.7136667090099</v>
      </c>
      <c r="Z27" s="69">
        <v>2040.6832500527701</v>
      </c>
      <c r="AA27" s="69">
        <v>7402.2625220494201</v>
      </c>
      <c r="AB27" s="69">
        <v>2779.5000643251201</v>
      </c>
      <c r="AC27" s="69">
        <v>1021.0215241228</v>
      </c>
      <c r="AD27" s="69">
        <v>236.88219571696999</v>
      </c>
      <c r="AE27" s="69">
        <v>1528.1706205898899</v>
      </c>
      <c r="AF27" s="69">
        <v>403.15572774726002</v>
      </c>
      <c r="AG27" s="69">
        <v>537.10973939272696</v>
      </c>
      <c r="AH27" s="69">
        <v>429.77588930862697</v>
      </c>
      <c r="AI27" s="69">
        <v>985.53980127553996</v>
      </c>
      <c r="AJ27" s="69">
        <v>498.69280227533602</v>
      </c>
      <c r="AK27" s="69">
        <v>194.74402832726099</v>
      </c>
      <c r="AL27" s="69">
        <v>1459.75244420528</v>
      </c>
      <c r="AM27" s="69">
        <v>1436.5421081316399</v>
      </c>
      <c r="AN27" s="69">
        <v>275.54164002284102</v>
      </c>
      <c r="AO27" s="69">
        <v>1021.85516227889</v>
      </c>
      <c r="AP27" s="69">
        <v>17387.8242612504</v>
      </c>
      <c r="AQ27" s="69">
        <v>5847.8588510505597</v>
      </c>
      <c r="AR27" s="69">
        <v>521.46896816703304</v>
      </c>
      <c r="AS27" s="69">
        <v>3.65508408395339</v>
      </c>
      <c r="AT27" s="69">
        <v>3.0154643984542902</v>
      </c>
      <c r="AU27" s="69">
        <v>125.76742925579801</v>
      </c>
      <c r="AV27" s="69">
        <v>53.258431435193401</v>
      </c>
      <c r="AW27" s="69">
        <v>92.121775207608493</v>
      </c>
      <c r="AX27" s="69">
        <v>177.90184730074699</v>
      </c>
      <c r="AY27" s="69">
        <v>300.77258866068598</v>
      </c>
      <c r="AZ27" s="69">
        <v>26.639222995340401</v>
      </c>
      <c r="BA27" s="69">
        <v>33.4107050013722</v>
      </c>
      <c r="BB27" s="69">
        <v>94.631681315146693</v>
      </c>
      <c r="BC27" s="69">
        <v>2250.06847871949</v>
      </c>
      <c r="BD27" s="69">
        <v>54.267169458415303</v>
      </c>
      <c r="BE27" s="69">
        <v>75.236715723805503</v>
      </c>
      <c r="BF27" s="69">
        <v>79.626688145890597</v>
      </c>
      <c r="BG27" s="69">
        <v>45.551155720508604</v>
      </c>
      <c r="BH27" s="69">
        <v>4200.6593141739804</v>
      </c>
      <c r="BI27" s="69">
        <v>4.0120888927192899</v>
      </c>
      <c r="BJ27" s="69">
        <v>454.48141657542999</v>
      </c>
      <c r="BK27" s="69">
        <v>547.25820866096205</v>
      </c>
      <c r="BL27" s="69">
        <v>50.724712666927701</v>
      </c>
      <c r="BM27" s="69">
        <v>2282.5991668798601</v>
      </c>
      <c r="BN27" s="69">
        <v>201.75368434361499</v>
      </c>
      <c r="BO27" s="69">
        <v>57.329853246944602</v>
      </c>
      <c r="BP27" s="69">
        <v>276.68801167197302</v>
      </c>
      <c r="BQ27" s="70">
        <v>0</v>
      </c>
      <c r="BR27" s="71">
        <v>201811.62245634099</v>
      </c>
      <c r="BS27" s="72">
        <v>13071.368202293101</v>
      </c>
      <c r="BT27" s="73">
        <v>29.249421991302299</v>
      </c>
      <c r="BU27" s="73">
        <v>0</v>
      </c>
      <c r="BV27" s="121">
        <v>5987.9648859328499</v>
      </c>
      <c r="BW27" s="73">
        <v>1285.6759956221199</v>
      </c>
      <c r="BX27" s="74">
        <v>7870.4891547556299</v>
      </c>
      <c r="BY27" s="107">
        <v>28244.747660595</v>
      </c>
      <c r="BZ27" s="75">
        <v>230056.37011693601</v>
      </c>
    </row>
    <row r="28" spans="1:78" ht="15" customHeight="1" x14ac:dyDescent="0.3">
      <c r="A28" s="33" t="s">
        <v>46</v>
      </c>
      <c r="B28" s="11" t="s">
        <v>114</v>
      </c>
      <c r="C28" s="68">
        <v>1727.30542089917</v>
      </c>
      <c r="D28" s="69">
        <v>291.09969797921201</v>
      </c>
      <c r="E28" s="69">
        <v>7.5952287475381501</v>
      </c>
      <c r="F28" s="69">
        <v>120.365519770056</v>
      </c>
      <c r="G28" s="69">
        <v>377.88979584560502</v>
      </c>
      <c r="H28" s="69">
        <v>430.15991327107702</v>
      </c>
      <c r="I28" s="69">
        <v>47.541368463634399</v>
      </c>
      <c r="J28" s="69">
        <v>295.19214815552903</v>
      </c>
      <c r="K28" s="69">
        <v>61.276253529690798</v>
      </c>
      <c r="L28" s="69">
        <v>585.73781593578497</v>
      </c>
      <c r="M28" s="69">
        <v>87.028754910792998</v>
      </c>
      <c r="N28" s="69">
        <v>8.8044367165619501</v>
      </c>
      <c r="O28" s="69">
        <v>239.61646017934899</v>
      </c>
      <c r="P28" s="69">
        <v>104.469620169026</v>
      </c>
      <c r="Q28" s="69">
        <v>74.377123919763505</v>
      </c>
      <c r="R28" s="69">
        <v>165.91526147849899</v>
      </c>
      <c r="S28" s="69">
        <v>504.56078746767099</v>
      </c>
      <c r="T28" s="69">
        <v>58.8374815010106</v>
      </c>
      <c r="U28" s="69">
        <v>476.17697188840901</v>
      </c>
      <c r="V28" s="69">
        <v>109.689805755325</v>
      </c>
      <c r="W28" s="69">
        <v>2226.1727169168198</v>
      </c>
      <c r="X28" s="69">
        <v>1778.69038272493</v>
      </c>
      <c r="Y28" s="69">
        <v>3213.1751857844502</v>
      </c>
      <c r="Z28" s="69">
        <v>230.958246979666</v>
      </c>
      <c r="AA28" s="69">
        <v>731.55134893449394</v>
      </c>
      <c r="AB28" s="69">
        <v>280.94105825408002</v>
      </c>
      <c r="AC28" s="69">
        <v>134.487993612031</v>
      </c>
      <c r="AD28" s="69">
        <v>159.875510840441</v>
      </c>
      <c r="AE28" s="69">
        <v>1258.00464705335</v>
      </c>
      <c r="AF28" s="69">
        <v>77.219559863692595</v>
      </c>
      <c r="AG28" s="69">
        <v>101.34942365208499</v>
      </c>
      <c r="AH28" s="69">
        <v>116.38312280578501</v>
      </c>
      <c r="AI28" s="69">
        <v>74.034842180035099</v>
      </c>
      <c r="AJ28" s="69">
        <v>103.79556459486</v>
      </c>
      <c r="AK28" s="69">
        <v>17.0421661552231</v>
      </c>
      <c r="AL28" s="69">
        <v>125.862946749561</v>
      </c>
      <c r="AM28" s="69">
        <v>50.107749925105097</v>
      </c>
      <c r="AN28" s="69">
        <v>39.545469278769701</v>
      </c>
      <c r="AO28" s="69">
        <v>176.49911277653001</v>
      </c>
      <c r="AP28" s="69">
        <v>592.03283926418499</v>
      </c>
      <c r="AQ28" s="69">
        <v>5447.3519070426801</v>
      </c>
      <c r="AR28" s="69">
        <v>698.01382020893698</v>
      </c>
      <c r="AS28" s="69">
        <v>22.2931704814659</v>
      </c>
      <c r="AT28" s="69">
        <v>0.89069159531895503</v>
      </c>
      <c r="AU28" s="69">
        <v>313.96550282194499</v>
      </c>
      <c r="AV28" s="69">
        <v>173.42945081862601</v>
      </c>
      <c r="AW28" s="69">
        <v>192.59376592258801</v>
      </c>
      <c r="AX28" s="69">
        <v>43.739691726732801</v>
      </c>
      <c r="AY28" s="69">
        <v>111.331076816576</v>
      </c>
      <c r="AZ28" s="69">
        <v>216.48156975650301</v>
      </c>
      <c r="BA28" s="69">
        <v>61.4980785713947</v>
      </c>
      <c r="BB28" s="69">
        <v>104.40532147</v>
      </c>
      <c r="BC28" s="69">
        <v>46.0633103463786</v>
      </c>
      <c r="BD28" s="69">
        <v>670.81595224060004</v>
      </c>
      <c r="BE28" s="69">
        <v>267.780890845827</v>
      </c>
      <c r="BF28" s="69">
        <v>913.59756985320996</v>
      </c>
      <c r="BG28" s="69">
        <v>281.39832013274201</v>
      </c>
      <c r="BH28" s="69">
        <v>4186.8231322054498</v>
      </c>
      <c r="BI28" s="69">
        <v>4.1588332004513298</v>
      </c>
      <c r="BJ28" s="69">
        <v>471.26389847183202</v>
      </c>
      <c r="BK28" s="69">
        <v>366.00538118992102</v>
      </c>
      <c r="BL28" s="69">
        <v>394.41256630637599</v>
      </c>
      <c r="BM28" s="69">
        <v>385.34494208880602</v>
      </c>
      <c r="BN28" s="69">
        <v>1843.1153178085799</v>
      </c>
      <c r="BO28" s="69">
        <v>409.09377215553798</v>
      </c>
      <c r="BP28" s="69">
        <v>2923.8564770763701</v>
      </c>
      <c r="BQ28" s="70">
        <v>0</v>
      </c>
      <c r="BR28" s="71">
        <v>37811.094166084702</v>
      </c>
      <c r="BS28" s="72">
        <v>7298.6144490398301</v>
      </c>
      <c r="BT28" s="73">
        <v>15.017686025777</v>
      </c>
      <c r="BU28" s="73">
        <v>0</v>
      </c>
      <c r="BV28" s="121">
        <v>107847.869897585</v>
      </c>
      <c r="BW28" s="73">
        <v>591.45682468900202</v>
      </c>
      <c r="BX28" s="74">
        <v>-2144.6545356993602</v>
      </c>
      <c r="BY28" s="107">
        <v>113608.304321641</v>
      </c>
      <c r="BZ28" s="75">
        <v>151419.398487725</v>
      </c>
    </row>
    <row r="29" spans="1:78" ht="15" customHeight="1" x14ac:dyDescent="0.3">
      <c r="A29" s="33" t="s">
        <v>47</v>
      </c>
      <c r="B29" s="11" t="s">
        <v>115</v>
      </c>
      <c r="C29" s="68">
        <v>1113.38768126439</v>
      </c>
      <c r="D29" s="69">
        <v>6301.5108832066398</v>
      </c>
      <c r="E29" s="69">
        <v>44.257651443447699</v>
      </c>
      <c r="F29" s="69">
        <v>14.6807140230488</v>
      </c>
      <c r="G29" s="69">
        <v>941.12773499267905</v>
      </c>
      <c r="H29" s="69">
        <v>31.0976471168999</v>
      </c>
      <c r="I29" s="69">
        <v>3.5842621610868699</v>
      </c>
      <c r="J29" s="69">
        <v>176.61520291043601</v>
      </c>
      <c r="K29" s="69">
        <v>3.6811530384575599</v>
      </c>
      <c r="L29" s="69">
        <v>1033.0317405042799</v>
      </c>
      <c r="M29" s="69">
        <v>13.4424098153002</v>
      </c>
      <c r="N29" s="69">
        <v>0.88139036635106505</v>
      </c>
      <c r="O29" s="69">
        <v>23.832101999678599</v>
      </c>
      <c r="P29" s="69">
        <v>11.961260987851301</v>
      </c>
      <c r="Q29" s="69">
        <v>11.0525789574824</v>
      </c>
      <c r="R29" s="69">
        <v>9.0781056961158093</v>
      </c>
      <c r="S29" s="69">
        <v>49.905149841104297</v>
      </c>
      <c r="T29" s="69">
        <v>2.8530977447545798</v>
      </c>
      <c r="U29" s="69">
        <v>5.2000072268702899</v>
      </c>
      <c r="V29" s="69">
        <v>24.012432283295801</v>
      </c>
      <c r="W29" s="69">
        <v>428.981973972047</v>
      </c>
      <c r="X29" s="69">
        <v>1183.21524983626</v>
      </c>
      <c r="Y29" s="69">
        <v>126.802419076006</v>
      </c>
      <c r="Z29" s="69">
        <v>11928.8985078182</v>
      </c>
      <c r="AA29" s="69">
        <v>79.762726823867496</v>
      </c>
      <c r="AB29" s="69">
        <v>15.217876111485101</v>
      </c>
      <c r="AC29" s="69">
        <v>17.010166631307602</v>
      </c>
      <c r="AD29" s="69">
        <v>13.4712953211518</v>
      </c>
      <c r="AE29" s="69">
        <v>34.473864466278897</v>
      </c>
      <c r="AF29" s="69">
        <v>13.5663873377797</v>
      </c>
      <c r="AG29" s="69">
        <v>12.0052485538762</v>
      </c>
      <c r="AH29" s="69">
        <v>19.418868864341199</v>
      </c>
      <c r="AI29" s="69">
        <v>12.1973220066543</v>
      </c>
      <c r="AJ29" s="69">
        <v>8.33215062209716</v>
      </c>
      <c r="AK29" s="69">
        <v>1.7890996426738399</v>
      </c>
      <c r="AL29" s="69">
        <v>16.945391118437701</v>
      </c>
      <c r="AM29" s="69">
        <v>5.0655366161054296</v>
      </c>
      <c r="AN29" s="69">
        <v>4.5009596590208201</v>
      </c>
      <c r="AO29" s="69">
        <v>10.3385125778304</v>
      </c>
      <c r="AP29" s="69">
        <v>22.161016746277401</v>
      </c>
      <c r="AQ29" s="69">
        <v>1080.1817870743</v>
      </c>
      <c r="AR29" s="69">
        <v>23.928832042019199</v>
      </c>
      <c r="AS29" s="69">
        <v>1.2877372423596001</v>
      </c>
      <c r="AT29" s="69">
        <v>0.44804900632312</v>
      </c>
      <c r="AU29" s="69">
        <v>16.649725782493899</v>
      </c>
      <c r="AV29" s="69">
        <v>8.1472616605407602</v>
      </c>
      <c r="AW29" s="69">
        <v>69.732818811815406</v>
      </c>
      <c r="AX29" s="69">
        <v>0.91919980678375002</v>
      </c>
      <c r="AY29" s="69">
        <v>3.7090666737945499</v>
      </c>
      <c r="AZ29" s="69">
        <v>11.775705414533901</v>
      </c>
      <c r="BA29" s="69">
        <v>12.4026156250823</v>
      </c>
      <c r="BB29" s="69">
        <v>13.4020697492439</v>
      </c>
      <c r="BC29" s="69">
        <v>5.5845273975348997</v>
      </c>
      <c r="BD29" s="69">
        <v>27.007912611998901</v>
      </c>
      <c r="BE29" s="69">
        <v>54.5228592843469</v>
      </c>
      <c r="BF29" s="69">
        <v>195.902583033903</v>
      </c>
      <c r="BG29" s="69">
        <v>12.360308914097001</v>
      </c>
      <c r="BH29" s="69">
        <v>103.949422694037</v>
      </c>
      <c r="BI29" s="69">
        <v>0.99144687002182597</v>
      </c>
      <c r="BJ29" s="69">
        <v>3804.9331319654798</v>
      </c>
      <c r="BK29" s="69">
        <v>1103.6744510810099</v>
      </c>
      <c r="BL29" s="69">
        <v>669.77739853964295</v>
      </c>
      <c r="BM29" s="69">
        <v>26059.709455435201</v>
      </c>
      <c r="BN29" s="69">
        <v>25206.636449999402</v>
      </c>
      <c r="BO29" s="69">
        <v>31.4035860506944</v>
      </c>
      <c r="BP29" s="69">
        <v>1806.03671240637</v>
      </c>
      <c r="BQ29" s="70">
        <v>0</v>
      </c>
      <c r="BR29" s="71">
        <v>84094.422894554998</v>
      </c>
      <c r="BS29" s="72">
        <v>5529.6997126440901</v>
      </c>
      <c r="BT29" s="73">
        <v>10441.250085023999</v>
      </c>
      <c r="BU29" s="73">
        <v>0</v>
      </c>
      <c r="BV29" s="121">
        <v>145105.078603726</v>
      </c>
      <c r="BW29" s="73">
        <v>1250.1593279839799</v>
      </c>
      <c r="BX29" s="74">
        <v>3033.21451268087</v>
      </c>
      <c r="BY29" s="107">
        <v>165359.402242059</v>
      </c>
      <c r="BZ29" s="75">
        <v>249453.825136614</v>
      </c>
    </row>
    <row r="30" spans="1:78" ht="15" customHeight="1" x14ac:dyDescent="0.3">
      <c r="A30" s="33" t="s">
        <v>48</v>
      </c>
      <c r="B30" s="11" t="s">
        <v>116</v>
      </c>
      <c r="C30" s="68">
        <v>1701.3155079757601</v>
      </c>
      <c r="D30" s="69">
        <v>519.46228647362398</v>
      </c>
      <c r="E30" s="69">
        <v>111.676895561257</v>
      </c>
      <c r="F30" s="69">
        <v>324.41495068553002</v>
      </c>
      <c r="G30" s="69">
        <v>641.54334137990497</v>
      </c>
      <c r="H30" s="69">
        <v>3420.4518283806801</v>
      </c>
      <c r="I30" s="69">
        <v>212.06194454461999</v>
      </c>
      <c r="J30" s="69">
        <v>6662.8031960398303</v>
      </c>
      <c r="K30" s="69">
        <v>556.27828273725595</v>
      </c>
      <c r="L30" s="69">
        <v>16485.003593495501</v>
      </c>
      <c r="M30" s="69">
        <v>5922.1524054884203</v>
      </c>
      <c r="N30" s="69">
        <v>21.0157637199984</v>
      </c>
      <c r="O30" s="69">
        <v>932.84312061845696</v>
      </c>
      <c r="P30" s="69">
        <v>393.34923796870203</v>
      </c>
      <c r="Q30" s="69">
        <v>1404.86652664845</v>
      </c>
      <c r="R30" s="69">
        <v>956.48164221863306</v>
      </c>
      <c r="S30" s="69">
        <v>2179.9616251181901</v>
      </c>
      <c r="T30" s="69">
        <v>1477.1222673504701</v>
      </c>
      <c r="U30" s="69">
        <v>236.42910914482201</v>
      </c>
      <c r="V30" s="69">
        <v>157.31486504615</v>
      </c>
      <c r="W30" s="69">
        <v>4453.6139772758697</v>
      </c>
      <c r="X30" s="69">
        <v>1769.9205839070801</v>
      </c>
      <c r="Y30" s="69">
        <v>3208.61314324966</v>
      </c>
      <c r="Z30" s="69">
        <v>934.19506401138699</v>
      </c>
      <c r="AA30" s="69">
        <v>35821.964642849198</v>
      </c>
      <c r="AB30" s="69">
        <v>5206.6557375352804</v>
      </c>
      <c r="AC30" s="69">
        <v>1240.92182529718</v>
      </c>
      <c r="AD30" s="69">
        <v>235.16726511656699</v>
      </c>
      <c r="AE30" s="69">
        <v>2070.4606355620199</v>
      </c>
      <c r="AF30" s="69">
        <v>2157.8511097157598</v>
      </c>
      <c r="AG30" s="69">
        <v>4364.50986496101</v>
      </c>
      <c r="AH30" s="69">
        <v>6176.4045147103798</v>
      </c>
      <c r="AI30" s="69">
        <v>17461.8983418301</v>
      </c>
      <c r="AJ30" s="69">
        <v>7781.5749790959799</v>
      </c>
      <c r="AK30" s="69">
        <v>1607.39203286273</v>
      </c>
      <c r="AL30" s="69">
        <v>5302.0995596494604</v>
      </c>
      <c r="AM30" s="69">
        <v>3216.9285958655701</v>
      </c>
      <c r="AN30" s="69">
        <v>601.43720166385503</v>
      </c>
      <c r="AO30" s="69">
        <v>1651.75937435274</v>
      </c>
      <c r="AP30" s="69">
        <v>32472.080861568102</v>
      </c>
      <c r="AQ30" s="69">
        <v>17335.935297379499</v>
      </c>
      <c r="AR30" s="69">
        <v>14763.0286354289</v>
      </c>
      <c r="AS30" s="69">
        <v>12.242502965487899</v>
      </c>
      <c r="AT30" s="69">
        <v>1340.70768935357</v>
      </c>
      <c r="AU30" s="69">
        <v>332.36677042928602</v>
      </c>
      <c r="AV30" s="69">
        <v>53.643781470264699</v>
      </c>
      <c r="AW30" s="69">
        <v>921.25855461558501</v>
      </c>
      <c r="AX30" s="69">
        <v>28.168876956306701</v>
      </c>
      <c r="AY30" s="69">
        <v>13.414778461515301</v>
      </c>
      <c r="AZ30" s="69">
        <v>39.1096112240404</v>
      </c>
      <c r="BA30" s="69">
        <v>75.277433729804002</v>
      </c>
      <c r="BB30" s="69">
        <v>192.98673215857499</v>
      </c>
      <c r="BC30" s="69">
        <v>331.47267172795898</v>
      </c>
      <c r="BD30" s="69">
        <v>961.23246900931201</v>
      </c>
      <c r="BE30" s="69">
        <v>67.124483132359899</v>
      </c>
      <c r="BF30" s="69">
        <v>87.801640027536607</v>
      </c>
      <c r="BG30" s="69">
        <v>878.33704046765899</v>
      </c>
      <c r="BH30" s="69">
        <v>1289.57326042094</v>
      </c>
      <c r="BI30" s="69">
        <v>6.9560687625889104</v>
      </c>
      <c r="BJ30" s="69">
        <v>341.170651126672</v>
      </c>
      <c r="BK30" s="69">
        <v>384.71342339857</v>
      </c>
      <c r="BL30" s="69">
        <v>78.408570974895198</v>
      </c>
      <c r="BM30" s="69">
        <v>1722.56841860791</v>
      </c>
      <c r="BN30" s="69">
        <v>1184.4499218971901</v>
      </c>
      <c r="BO30" s="69">
        <v>56.608456253295998</v>
      </c>
      <c r="BP30" s="69">
        <v>364.26827453437699</v>
      </c>
      <c r="BQ30" s="70">
        <v>0</v>
      </c>
      <c r="BR30" s="71">
        <v>224914.82371619</v>
      </c>
      <c r="BS30" s="72">
        <v>15675.5334281465</v>
      </c>
      <c r="BT30" s="73">
        <v>1.92559972868417</v>
      </c>
      <c r="BU30" s="73">
        <v>0</v>
      </c>
      <c r="BV30" s="121">
        <v>31054.087634782099</v>
      </c>
      <c r="BW30" s="73">
        <v>2717.8151579248602</v>
      </c>
      <c r="BX30" s="74">
        <v>10651.9994304427</v>
      </c>
      <c r="BY30" s="107">
        <v>60101.3612510249</v>
      </c>
      <c r="BZ30" s="75">
        <v>285016.184967215</v>
      </c>
    </row>
    <row r="31" spans="1:78" ht="15" customHeight="1" x14ac:dyDescent="0.3">
      <c r="A31" s="33" t="s">
        <v>49</v>
      </c>
      <c r="B31" s="11" t="s">
        <v>117</v>
      </c>
      <c r="C31" s="68">
        <v>7688.6249836714996</v>
      </c>
      <c r="D31" s="69">
        <v>4584.6948706063704</v>
      </c>
      <c r="E31" s="69">
        <v>145.88545382692499</v>
      </c>
      <c r="F31" s="69">
        <v>181.15211142681099</v>
      </c>
      <c r="G31" s="69">
        <v>186.82381629975001</v>
      </c>
      <c r="H31" s="69">
        <v>81.8698208076718</v>
      </c>
      <c r="I31" s="69">
        <v>29.988083785228699</v>
      </c>
      <c r="J31" s="69">
        <v>79.957567373555193</v>
      </c>
      <c r="K31" s="69">
        <v>448.80706837730901</v>
      </c>
      <c r="L31" s="69">
        <v>3994.20730823658</v>
      </c>
      <c r="M31" s="69">
        <v>4826.1587113533697</v>
      </c>
      <c r="N31" s="69">
        <v>2.4600153867498</v>
      </c>
      <c r="O31" s="69">
        <v>72.601082656121406</v>
      </c>
      <c r="P31" s="69">
        <v>191.16090372404301</v>
      </c>
      <c r="Q31" s="69">
        <v>45.265833101760201</v>
      </c>
      <c r="R31" s="69">
        <v>40.819629422661897</v>
      </c>
      <c r="S31" s="69">
        <v>791.07280821632799</v>
      </c>
      <c r="T31" s="69">
        <v>27.610024579811199</v>
      </c>
      <c r="U31" s="69">
        <v>28.6345892360895</v>
      </c>
      <c r="V31" s="69">
        <v>47.225201138502698</v>
      </c>
      <c r="W31" s="69">
        <v>2307.9966644547399</v>
      </c>
      <c r="X31" s="69">
        <v>588.55293579250599</v>
      </c>
      <c r="Y31" s="69">
        <v>821.86973059506704</v>
      </c>
      <c r="Z31" s="69">
        <v>176.655670972791</v>
      </c>
      <c r="AA31" s="69">
        <v>1311.69588720048</v>
      </c>
      <c r="AB31" s="69">
        <v>19750.870549794501</v>
      </c>
      <c r="AC31" s="69">
        <v>873.86858565017803</v>
      </c>
      <c r="AD31" s="69">
        <v>77.0562439702597</v>
      </c>
      <c r="AE31" s="69">
        <v>472.60768962140702</v>
      </c>
      <c r="AF31" s="69">
        <v>35.968080373112201</v>
      </c>
      <c r="AG31" s="69">
        <v>829.71793134806398</v>
      </c>
      <c r="AH31" s="69">
        <v>726.72288084169099</v>
      </c>
      <c r="AI31" s="69">
        <v>4263.2990330825696</v>
      </c>
      <c r="AJ31" s="69">
        <v>371.09212636539797</v>
      </c>
      <c r="AK31" s="69">
        <v>257.585055482548</v>
      </c>
      <c r="AL31" s="69">
        <v>1248.4544997626899</v>
      </c>
      <c r="AM31" s="69">
        <v>500.36412593187401</v>
      </c>
      <c r="AN31" s="69">
        <v>2413.17423027428</v>
      </c>
      <c r="AO31" s="69">
        <v>2048.9840580846098</v>
      </c>
      <c r="AP31" s="69">
        <v>96977.346812891701</v>
      </c>
      <c r="AQ31" s="69">
        <v>1088.58009237085</v>
      </c>
      <c r="AR31" s="69">
        <v>105.061945754916</v>
      </c>
      <c r="AS31" s="69">
        <v>3.2607290274045901</v>
      </c>
      <c r="AT31" s="69">
        <v>0.79714073886341297</v>
      </c>
      <c r="AU31" s="69">
        <v>56.940652428233001</v>
      </c>
      <c r="AV31" s="69">
        <v>411.12054748061797</v>
      </c>
      <c r="AW31" s="69">
        <v>1425.54651205147</v>
      </c>
      <c r="AX31" s="69">
        <v>5.3605420273371998</v>
      </c>
      <c r="AY31" s="69">
        <v>8.8757545160069693</v>
      </c>
      <c r="AZ31" s="69">
        <v>19.638764067072302</v>
      </c>
      <c r="BA31" s="69">
        <v>27.679436481003599</v>
      </c>
      <c r="BB31" s="69">
        <v>41.004332258078698</v>
      </c>
      <c r="BC31" s="69">
        <v>3235.5996562127898</v>
      </c>
      <c r="BD31" s="69">
        <v>51.056698776224401</v>
      </c>
      <c r="BE31" s="69">
        <v>35.186942324013003</v>
      </c>
      <c r="BF31" s="69">
        <v>18.296904260094799</v>
      </c>
      <c r="BG31" s="69">
        <v>17.856322329664501</v>
      </c>
      <c r="BH31" s="69">
        <v>237.40647462109001</v>
      </c>
      <c r="BI31" s="69">
        <v>3.1117715092712301</v>
      </c>
      <c r="BJ31" s="69">
        <v>739.65254082578099</v>
      </c>
      <c r="BK31" s="69">
        <v>264.19338764468802</v>
      </c>
      <c r="BL31" s="69">
        <v>43.378487049597602</v>
      </c>
      <c r="BM31" s="69">
        <v>534.36165416747201</v>
      </c>
      <c r="BN31" s="69">
        <v>374.36328978200299</v>
      </c>
      <c r="BO31" s="69">
        <v>32.132948358731497</v>
      </c>
      <c r="BP31" s="69">
        <v>500.12142648979</v>
      </c>
      <c r="BQ31" s="70">
        <v>0</v>
      </c>
      <c r="BR31" s="71">
        <v>168829.487629271</v>
      </c>
      <c r="BS31" s="72">
        <v>13164.720014337099</v>
      </c>
      <c r="BT31" s="73">
        <v>20.856611349529398</v>
      </c>
      <c r="BU31" s="73">
        <v>0</v>
      </c>
      <c r="BV31" s="121">
        <v>6957.0381710075399</v>
      </c>
      <c r="BW31" s="73">
        <v>1174.4086860244799</v>
      </c>
      <c r="BX31" s="74">
        <v>10757.901576558101</v>
      </c>
      <c r="BY31" s="107">
        <v>32074.925059276698</v>
      </c>
      <c r="BZ31" s="75">
        <v>200904.41268854699</v>
      </c>
    </row>
    <row r="32" spans="1:78" ht="15" customHeight="1" x14ac:dyDescent="0.3">
      <c r="A32" s="33" t="s">
        <v>50</v>
      </c>
      <c r="B32" s="11" t="s">
        <v>118</v>
      </c>
      <c r="C32" s="68">
        <v>708.79034977943297</v>
      </c>
      <c r="D32" s="69">
        <v>1022.9114165842</v>
      </c>
      <c r="E32" s="69">
        <v>65.543426665607399</v>
      </c>
      <c r="F32" s="69">
        <v>361.61958769720002</v>
      </c>
      <c r="G32" s="69">
        <v>36624.072360172198</v>
      </c>
      <c r="H32" s="69">
        <v>406.887283613232</v>
      </c>
      <c r="I32" s="69">
        <v>290.49220552675399</v>
      </c>
      <c r="J32" s="69">
        <v>1230.92350068116</v>
      </c>
      <c r="K32" s="69">
        <v>33.818167510285001</v>
      </c>
      <c r="L32" s="69">
        <v>749.06644792987402</v>
      </c>
      <c r="M32" s="69">
        <v>671.19586338816202</v>
      </c>
      <c r="N32" s="69">
        <v>4.2516594496323803</v>
      </c>
      <c r="O32" s="69">
        <v>82.858037933676499</v>
      </c>
      <c r="P32" s="69">
        <v>18.543493663687698</v>
      </c>
      <c r="Q32" s="69">
        <v>31.0574141405699</v>
      </c>
      <c r="R32" s="69">
        <v>156.43755012472499</v>
      </c>
      <c r="S32" s="69">
        <v>879.50225546174397</v>
      </c>
      <c r="T32" s="69">
        <v>26.8677619835866</v>
      </c>
      <c r="U32" s="69">
        <v>174.71642624749899</v>
      </c>
      <c r="V32" s="69">
        <v>34.8796089690101</v>
      </c>
      <c r="W32" s="69">
        <v>657.90907740487501</v>
      </c>
      <c r="X32" s="69">
        <v>352.05478896195399</v>
      </c>
      <c r="Y32" s="69">
        <v>226.427914083666</v>
      </c>
      <c r="Z32" s="69">
        <v>65.973251481897506</v>
      </c>
      <c r="AA32" s="69">
        <v>3668.0926463967298</v>
      </c>
      <c r="AB32" s="69">
        <v>2827.61759841904</v>
      </c>
      <c r="AC32" s="69">
        <v>38729.195028730799</v>
      </c>
      <c r="AD32" s="69">
        <v>2866.3128036554799</v>
      </c>
      <c r="AE32" s="69">
        <v>66730.918877914897</v>
      </c>
      <c r="AF32" s="69">
        <v>328.33597712223502</v>
      </c>
      <c r="AG32" s="69">
        <v>9847.6652326260992</v>
      </c>
      <c r="AH32" s="69">
        <v>32535.640504786101</v>
      </c>
      <c r="AI32" s="69">
        <v>15983.0870154369</v>
      </c>
      <c r="AJ32" s="69">
        <v>24685.898233473301</v>
      </c>
      <c r="AK32" s="69">
        <v>2152.4864149472901</v>
      </c>
      <c r="AL32" s="69">
        <v>4358.7178836721196</v>
      </c>
      <c r="AM32" s="69">
        <v>3783.942819074</v>
      </c>
      <c r="AN32" s="69">
        <v>742.44207789672396</v>
      </c>
      <c r="AO32" s="69">
        <v>438.67363832900298</v>
      </c>
      <c r="AP32" s="69">
        <v>37504.998453943503</v>
      </c>
      <c r="AQ32" s="69">
        <v>5735.6086401820603</v>
      </c>
      <c r="AR32" s="69">
        <v>158.95601814018301</v>
      </c>
      <c r="AS32" s="69">
        <v>3.1010651454369</v>
      </c>
      <c r="AT32" s="69">
        <v>1.72211269732898</v>
      </c>
      <c r="AU32" s="69">
        <v>76.608079709093005</v>
      </c>
      <c r="AV32" s="69">
        <v>32.703908076984703</v>
      </c>
      <c r="AW32" s="69">
        <v>290.58195668987599</v>
      </c>
      <c r="AX32" s="69">
        <v>2.4456977601658698</v>
      </c>
      <c r="AY32" s="69">
        <v>8.0222928596872496</v>
      </c>
      <c r="AZ32" s="69">
        <v>33.473783651927398</v>
      </c>
      <c r="BA32" s="69">
        <v>155.97719721854801</v>
      </c>
      <c r="BB32" s="69">
        <v>68.583818164113595</v>
      </c>
      <c r="BC32" s="69">
        <v>71.888604259899594</v>
      </c>
      <c r="BD32" s="69">
        <v>87.987238260231194</v>
      </c>
      <c r="BE32" s="69">
        <v>63.375815030606603</v>
      </c>
      <c r="BF32" s="69">
        <v>23.822199010736199</v>
      </c>
      <c r="BG32" s="69">
        <v>735.59618598582699</v>
      </c>
      <c r="BH32" s="69">
        <v>102.73542513634401</v>
      </c>
      <c r="BI32" s="69">
        <v>18.717524094986398</v>
      </c>
      <c r="BJ32" s="69">
        <v>407.17427153685998</v>
      </c>
      <c r="BK32" s="69">
        <v>77.788186135572701</v>
      </c>
      <c r="BL32" s="69">
        <v>75.775372808945207</v>
      </c>
      <c r="BM32" s="69">
        <v>75.198258188608605</v>
      </c>
      <c r="BN32" s="69">
        <v>52.124004703764101</v>
      </c>
      <c r="BO32" s="69">
        <v>54.929635487814899</v>
      </c>
      <c r="BP32" s="69">
        <v>67.523156771661107</v>
      </c>
      <c r="BQ32" s="70">
        <v>0</v>
      </c>
      <c r="BR32" s="71">
        <v>300543.24550358602</v>
      </c>
      <c r="BS32" s="72">
        <v>79844.034077650402</v>
      </c>
      <c r="BT32" s="73">
        <v>0</v>
      </c>
      <c r="BU32" s="73">
        <v>0</v>
      </c>
      <c r="BV32" s="121">
        <v>3025.7491794635698</v>
      </c>
      <c r="BW32" s="73">
        <v>2876.1087356913699</v>
      </c>
      <c r="BX32" s="74">
        <v>8252.2627021763692</v>
      </c>
      <c r="BY32" s="107">
        <v>93998.154694981698</v>
      </c>
      <c r="BZ32" s="75">
        <v>394541.40019856801</v>
      </c>
    </row>
    <row r="33" spans="1:78" ht="15" customHeight="1" x14ac:dyDescent="0.3">
      <c r="A33" s="33" t="s">
        <v>51</v>
      </c>
      <c r="B33" s="11" t="s">
        <v>119</v>
      </c>
      <c r="C33" s="68">
        <v>1162.40485152015</v>
      </c>
      <c r="D33" s="69">
        <v>268.54511223033802</v>
      </c>
      <c r="E33" s="69">
        <v>15.427192349081199</v>
      </c>
      <c r="F33" s="69">
        <v>14.235269223929899</v>
      </c>
      <c r="G33" s="69">
        <v>401.58021793273002</v>
      </c>
      <c r="H33" s="69">
        <v>149.732469084195</v>
      </c>
      <c r="I33" s="69">
        <v>231.71100973237199</v>
      </c>
      <c r="J33" s="69">
        <v>988.24338094998404</v>
      </c>
      <c r="K33" s="69">
        <v>40.409479592548102</v>
      </c>
      <c r="L33" s="69">
        <v>1647.0164340773799</v>
      </c>
      <c r="M33" s="69">
        <v>186.68644268737199</v>
      </c>
      <c r="N33" s="69">
        <v>2.1010726207996102</v>
      </c>
      <c r="O33" s="69">
        <v>29.387189951593001</v>
      </c>
      <c r="P33" s="69">
        <v>11.4826299120837</v>
      </c>
      <c r="Q33" s="69">
        <v>20.733781749567001</v>
      </c>
      <c r="R33" s="69">
        <v>35.519083150337103</v>
      </c>
      <c r="S33" s="69">
        <v>1312.73021901884</v>
      </c>
      <c r="T33" s="69">
        <v>702.478168086555</v>
      </c>
      <c r="U33" s="69">
        <v>23.3629153561047</v>
      </c>
      <c r="V33" s="69">
        <v>14.083141273661001</v>
      </c>
      <c r="W33" s="69">
        <v>5273.9307676769704</v>
      </c>
      <c r="X33" s="69">
        <v>1030.44510543725</v>
      </c>
      <c r="Y33" s="69">
        <v>159.338877334171</v>
      </c>
      <c r="Z33" s="69">
        <v>64.501956052928904</v>
      </c>
      <c r="AA33" s="69">
        <v>371.87391093245998</v>
      </c>
      <c r="AB33" s="69">
        <v>598.29722144084997</v>
      </c>
      <c r="AC33" s="69">
        <v>5521.7089166047199</v>
      </c>
      <c r="AD33" s="69">
        <v>37525.779866504701</v>
      </c>
      <c r="AE33" s="69">
        <v>7842.0686526721101</v>
      </c>
      <c r="AF33" s="69">
        <v>503.842482509749</v>
      </c>
      <c r="AG33" s="69">
        <v>21409.729184098302</v>
      </c>
      <c r="AH33" s="69">
        <v>5939.85224628167</v>
      </c>
      <c r="AI33" s="69">
        <v>2114.50621129911</v>
      </c>
      <c r="AJ33" s="69">
        <v>10434.2808599864</v>
      </c>
      <c r="AK33" s="69">
        <v>1998.70761420854</v>
      </c>
      <c r="AL33" s="69">
        <v>6796.0650152373901</v>
      </c>
      <c r="AM33" s="69">
        <v>2962.8997359907698</v>
      </c>
      <c r="AN33" s="69">
        <v>141.14606638728699</v>
      </c>
      <c r="AO33" s="69">
        <v>396.32062523026201</v>
      </c>
      <c r="AP33" s="69">
        <v>7321.6603883632697</v>
      </c>
      <c r="AQ33" s="69">
        <v>1981.1399679096</v>
      </c>
      <c r="AR33" s="69">
        <v>153.41617071891801</v>
      </c>
      <c r="AS33" s="69">
        <v>3.7911624647298301</v>
      </c>
      <c r="AT33" s="69">
        <v>1.5133564089053599</v>
      </c>
      <c r="AU33" s="69">
        <v>66.523857972862999</v>
      </c>
      <c r="AV33" s="69">
        <v>23.018870737477101</v>
      </c>
      <c r="AW33" s="69">
        <v>141.57818948059801</v>
      </c>
      <c r="AX33" s="69">
        <v>3.4679979440320898</v>
      </c>
      <c r="AY33" s="69">
        <v>8.5462934224585094</v>
      </c>
      <c r="AZ33" s="69">
        <v>37.925982369625402</v>
      </c>
      <c r="BA33" s="69">
        <v>48.240385063412603</v>
      </c>
      <c r="BB33" s="69">
        <v>79.717847682296195</v>
      </c>
      <c r="BC33" s="69">
        <v>136.256761603629</v>
      </c>
      <c r="BD33" s="69">
        <v>94.609865285095196</v>
      </c>
      <c r="BE33" s="69">
        <v>21.16509655254</v>
      </c>
      <c r="BF33" s="69">
        <v>28.783609769956499</v>
      </c>
      <c r="BG33" s="69">
        <v>24.081491781173298</v>
      </c>
      <c r="BH33" s="69">
        <v>84.242099546420604</v>
      </c>
      <c r="BI33" s="69">
        <v>9.33735111950676</v>
      </c>
      <c r="BJ33" s="69">
        <v>105.49535665517</v>
      </c>
      <c r="BK33" s="69">
        <v>22.5917415553937</v>
      </c>
      <c r="BL33" s="69">
        <v>88.997882674326107</v>
      </c>
      <c r="BM33" s="69">
        <v>59.562617364190899</v>
      </c>
      <c r="BN33" s="69">
        <v>124.842925142167</v>
      </c>
      <c r="BO33" s="69">
        <v>64.250529830966997</v>
      </c>
      <c r="BP33" s="69">
        <v>112.69644226845899</v>
      </c>
      <c r="BQ33" s="70">
        <v>0</v>
      </c>
      <c r="BR33" s="71">
        <v>129190.619618073</v>
      </c>
      <c r="BS33" s="72">
        <v>58436.288191037202</v>
      </c>
      <c r="BT33" s="73">
        <v>0</v>
      </c>
      <c r="BU33" s="73">
        <v>0</v>
      </c>
      <c r="BV33" s="121">
        <v>2809.4415210068701</v>
      </c>
      <c r="BW33" s="73">
        <v>1151.7778689325201</v>
      </c>
      <c r="BX33" s="74">
        <v>749.35436099164895</v>
      </c>
      <c r="BY33" s="107">
        <v>63146.8619419682</v>
      </c>
      <c r="BZ33" s="75">
        <v>192337.48156004099</v>
      </c>
    </row>
    <row r="34" spans="1:78" ht="15" customHeight="1" x14ac:dyDescent="0.3">
      <c r="A34" s="33" t="s">
        <v>52</v>
      </c>
      <c r="B34" s="11" t="s">
        <v>120</v>
      </c>
      <c r="C34" s="68">
        <v>1110.1085603244901</v>
      </c>
      <c r="D34" s="69">
        <v>1455.08366275048</v>
      </c>
      <c r="E34" s="69">
        <v>129.6544462052</v>
      </c>
      <c r="F34" s="69">
        <v>156.93325001774599</v>
      </c>
      <c r="G34" s="69">
        <v>5269.55341839212</v>
      </c>
      <c r="H34" s="69">
        <v>5031.2374519533696</v>
      </c>
      <c r="I34" s="69">
        <v>703.58472078208399</v>
      </c>
      <c r="J34" s="69">
        <v>7752.7693258126701</v>
      </c>
      <c r="K34" s="69">
        <v>370.19354429196</v>
      </c>
      <c r="L34" s="69">
        <v>6562.4854237842301</v>
      </c>
      <c r="M34" s="69">
        <v>10188.8531544497</v>
      </c>
      <c r="N34" s="69">
        <v>52.955422395196599</v>
      </c>
      <c r="O34" s="69">
        <v>216.439559915156</v>
      </c>
      <c r="P34" s="69">
        <v>204.795984201148</v>
      </c>
      <c r="Q34" s="69">
        <v>124.70289759761199</v>
      </c>
      <c r="R34" s="69">
        <v>1900.99721590696</v>
      </c>
      <c r="S34" s="69">
        <v>493.52687230359402</v>
      </c>
      <c r="T34" s="69">
        <v>63.790747917819701</v>
      </c>
      <c r="U34" s="69">
        <v>1144.92618215985</v>
      </c>
      <c r="V34" s="69">
        <v>292.96146987744203</v>
      </c>
      <c r="W34" s="69">
        <v>1863.89645983541</v>
      </c>
      <c r="X34" s="69">
        <v>2632.53749958768</v>
      </c>
      <c r="Y34" s="69">
        <v>2344.79444224488</v>
      </c>
      <c r="Z34" s="69">
        <v>393.00149249100798</v>
      </c>
      <c r="AA34" s="69">
        <v>939.08659963191496</v>
      </c>
      <c r="AB34" s="69">
        <v>674.35663155065095</v>
      </c>
      <c r="AC34" s="69">
        <v>6111.2407024308504</v>
      </c>
      <c r="AD34" s="69">
        <v>1093.12912288097</v>
      </c>
      <c r="AE34" s="69">
        <v>23963.3418486105</v>
      </c>
      <c r="AF34" s="69">
        <v>2393.93423201116</v>
      </c>
      <c r="AG34" s="69">
        <v>7062.5296744100096</v>
      </c>
      <c r="AH34" s="69">
        <v>17112.588991991601</v>
      </c>
      <c r="AI34" s="69">
        <v>10589.3974952345</v>
      </c>
      <c r="AJ34" s="69">
        <v>6277.0519552757796</v>
      </c>
      <c r="AK34" s="69">
        <v>3410.4391789302699</v>
      </c>
      <c r="AL34" s="69">
        <v>3720.1761973263001</v>
      </c>
      <c r="AM34" s="69">
        <v>7509.6148299074503</v>
      </c>
      <c r="AN34" s="69">
        <v>4269.8210401851502</v>
      </c>
      <c r="AO34" s="69">
        <v>1322.57711429501</v>
      </c>
      <c r="AP34" s="69">
        <v>44408.484582940997</v>
      </c>
      <c r="AQ34" s="69">
        <v>5244.6027829783798</v>
      </c>
      <c r="AR34" s="69">
        <v>505.39982915137801</v>
      </c>
      <c r="AS34" s="69">
        <v>15.2068696444891</v>
      </c>
      <c r="AT34" s="69">
        <v>6.0597325182054798</v>
      </c>
      <c r="AU34" s="69">
        <v>88.683307211427604</v>
      </c>
      <c r="AV34" s="69">
        <v>300.94023185383401</v>
      </c>
      <c r="AW34" s="69">
        <v>3620.3520983595599</v>
      </c>
      <c r="AX34" s="69">
        <v>3.4161716776056599</v>
      </c>
      <c r="AY34" s="69">
        <v>30.021336466669901</v>
      </c>
      <c r="AZ34" s="69">
        <v>81.597682179784101</v>
      </c>
      <c r="BA34" s="69">
        <v>55.104133225570003</v>
      </c>
      <c r="BB34" s="69">
        <v>60.836213812459299</v>
      </c>
      <c r="BC34" s="69">
        <v>646.67510165127101</v>
      </c>
      <c r="BD34" s="69">
        <v>92.332864827730205</v>
      </c>
      <c r="BE34" s="69">
        <v>73.078000559980893</v>
      </c>
      <c r="BF34" s="69">
        <v>29.168093158618401</v>
      </c>
      <c r="BG34" s="69">
        <v>49.935091025814501</v>
      </c>
      <c r="BH34" s="69">
        <v>588.70129726882703</v>
      </c>
      <c r="BI34" s="69">
        <v>244.69476784973901</v>
      </c>
      <c r="BJ34" s="69">
        <v>1969.8866503885699</v>
      </c>
      <c r="BK34" s="69">
        <v>162.01243953264799</v>
      </c>
      <c r="BL34" s="69">
        <v>63.391193132057701</v>
      </c>
      <c r="BM34" s="69">
        <v>354.03390992086099</v>
      </c>
      <c r="BN34" s="69">
        <v>230.32263433833</v>
      </c>
      <c r="BO34" s="69">
        <v>50.657346060426498</v>
      </c>
      <c r="BP34" s="69">
        <v>245.52670721178299</v>
      </c>
      <c r="BQ34" s="70">
        <v>0</v>
      </c>
      <c r="BR34" s="71">
        <v>206130.189888817</v>
      </c>
      <c r="BS34" s="72">
        <v>13205.988284737599</v>
      </c>
      <c r="BT34" s="73">
        <v>0</v>
      </c>
      <c r="BU34" s="73">
        <v>0</v>
      </c>
      <c r="BV34" s="121">
        <v>23820.0075773891</v>
      </c>
      <c r="BW34" s="73">
        <v>20749.169472269401</v>
      </c>
      <c r="BX34" s="74">
        <v>6399.3808014223296</v>
      </c>
      <c r="BY34" s="107">
        <v>64174.546135818498</v>
      </c>
      <c r="BZ34" s="75">
        <v>270304.73602463503</v>
      </c>
    </row>
    <row r="35" spans="1:78" ht="15" customHeight="1" x14ac:dyDescent="0.3">
      <c r="A35" s="33" t="s">
        <v>53</v>
      </c>
      <c r="B35" s="11" t="s">
        <v>121</v>
      </c>
      <c r="C35" s="68">
        <v>13.423443075921501</v>
      </c>
      <c r="D35" s="69">
        <v>13.125753216623499</v>
      </c>
      <c r="E35" s="69">
        <v>2.3466208582076802</v>
      </c>
      <c r="F35" s="69">
        <v>29.755858452697101</v>
      </c>
      <c r="G35" s="69">
        <v>1942.4097472895</v>
      </c>
      <c r="H35" s="69">
        <v>830.272541306025</v>
      </c>
      <c r="I35" s="69">
        <v>85.777112453225897</v>
      </c>
      <c r="J35" s="69">
        <v>145.45123474419299</v>
      </c>
      <c r="K35" s="69">
        <v>9.4219786013603493</v>
      </c>
      <c r="L35" s="69">
        <v>74.917908270544999</v>
      </c>
      <c r="M35" s="69">
        <v>25.387161854525701</v>
      </c>
      <c r="N35" s="69">
        <v>1.9491915614978299</v>
      </c>
      <c r="O35" s="69">
        <v>15.5015485290401</v>
      </c>
      <c r="P35" s="69">
        <v>25.174400464237401</v>
      </c>
      <c r="Q35" s="69">
        <v>10.276978804038601</v>
      </c>
      <c r="R35" s="69">
        <v>35.123087838680902</v>
      </c>
      <c r="S35" s="69">
        <v>46.921878206858203</v>
      </c>
      <c r="T35" s="69">
        <v>1634.1704536021</v>
      </c>
      <c r="U35" s="69">
        <v>11.668965102837699</v>
      </c>
      <c r="V35" s="69">
        <v>9.9783894357614802</v>
      </c>
      <c r="W35" s="69">
        <v>65.613578367982697</v>
      </c>
      <c r="X35" s="69">
        <v>44.715472830851397</v>
      </c>
      <c r="Y35" s="69">
        <v>22.422808638627</v>
      </c>
      <c r="Z35" s="69">
        <v>22.039598038531501</v>
      </c>
      <c r="AA35" s="69">
        <v>134.287440514027</v>
      </c>
      <c r="AB35" s="69">
        <v>46.385776259373401</v>
      </c>
      <c r="AC35" s="69">
        <v>53.889256560674198</v>
      </c>
      <c r="AD35" s="69">
        <v>31.521039669074401</v>
      </c>
      <c r="AE35" s="69">
        <v>47.7700242067882</v>
      </c>
      <c r="AF35" s="69">
        <v>91655.884653160902</v>
      </c>
      <c r="AG35" s="69">
        <v>3635.9984041253801</v>
      </c>
      <c r="AH35" s="69">
        <v>5084.98977171757</v>
      </c>
      <c r="AI35" s="69">
        <v>987.14870501104804</v>
      </c>
      <c r="AJ35" s="69">
        <v>1689.07894654693</v>
      </c>
      <c r="AK35" s="69">
        <v>254.84117227397601</v>
      </c>
      <c r="AL35" s="69">
        <v>442.43327820417801</v>
      </c>
      <c r="AM35" s="69">
        <v>4852.3908643141503</v>
      </c>
      <c r="AN35" s="69">
        <v>1068.2991963148099</v>
      </c>
      <c r="AO35" s="69">
        <v>89.791460608514001</v>
      </c>
      <c r="AP35" s="69">
        <v>2203.0515652963099</v>
      </c>
      <c r="AQ35" s="69">
        <v>1595.4338244764999</v>
      </c>
      <c r="AR35" s="69">
        <v>177.96849343302699</v>
      </c>
      <c r="AS35" s="69">
        <v>32.450418040417603</v>
      </c>
      <c r="AT35" s="69">
        <v>17.064653375995999</v>
      </c>
      <c r="AU35" s="69">
        <v>1895.74535917916</v>
      </c>
      <c r="AV35" s="69">
        <v>6.5227692771538397</v>
      </c>
      <c r="AW35" s="69">
        <v>17.262106235294102</v>
      </c>
      <c r="AX35" s="69">
        <v>6.1339304450298302</v>
      </c>
      <c r="AY35" s="69">
        <v>1057.62084895612</v>
      </c>
      <c r="AZ35" s="69">
        <v>742.37638049679697</v>
      </c>
      <c r="BA35" s="69">
        <v>15488.163646711901</v>
      </c>
      <c r="BB35" s="69">
        <v>1540.46901959709</v>
      </c>
      <c r="BC35" s="69">
        <v>39.821730730858903</v>
      </c>
      <c r="BD35" s="69">
        <v>1513.23735692078</v>
      </c>
      <c r="BE35" s="69">
        <v>4440.3747825862602</v>
      </c>
      <c r="BF35" s="69">
        <v>848.35254633065404</v>
      </c>
      <c r="BG35" s="69">
        <v>221.88469635605401</v>
      </c>
      <c r="BH35" s="69">
        <v>5651.6488701153803</v>
      </c>
      <c r="BI35" s="69">
        <v>581.74375589704903</v>
      </c>
      <c r="BJ35" s="69">
        <v>1025.4148076599199</v>
      </c>
      <c r="BK35" s="69">
        <v>1988.8391221362001</v>
      </c>
      <c r="BL35" s="69">
        <v>564.50107590901303</v>
      </c>
      <c r="BM35" s="69">
        <v>1652.4946621844099</v>
      </c>
      <c r="BN35" s="69">
        <v>861.02253321446199</v>
      </c>
      <c r="BO35" s="69">
        <v>273.81797374929198</v>
      </c>
      <c r="BP35" s="69">
        <v>3682.2527916744002</v>
      </c>
      <c r="BQ35" s="70">
        <v>0</v>
      </c>
      <c r="BR35" s="71">
        <v>163318.22542201701</v>
      </c>
      <c r="BS35" s="72">
        <v>6990.8964401462699</v>
      </c>
      <c r="BT35" s="73">
        <v>0</v>
      </c>
      <c r="BU35" s="73">
        <v>0</v>
      </c>
      <c r="BV35" s="121">
        <v>129242.244455817</v>
      </c>
      <c r="BW35" s="73">
        <v>102898.1695651</v>
      </c>
      <c r="BX35" s="74">
        <v>7697.3321815698</v>
      </c>
      <c r="BY35" s="107">
        <v>246828.642642633</v>
      </c>
      <c r="BZ35" s="75">
        <v>410146.86806464999</v>
      </c>
    </row>
    <row r="36" spans="1:78" ht="15" customHeight="1" x14ac:dyDescent="0.3">
      <c r="A36" s="33" t="s">
        <v>54</v>
      </c>
      <c r="B36" s="11" t="s">
        <v>122</v>
      </c>
      <c r="C36" s="68">
        <v>147.792688741033</v>
      </c>
      <c r="D36" s="69">
        <v>276.20892660360499</v>
      </c>
      <c r="E36" s="69">
        <v>20.471148504289602</v>
      </c>
      <c r="F36" s="69">
        <v>82.7992079296112</v>
      </c>
      <c r="G36" s="69">
        <v>1303.2145016980101</v>
      </c>
      <c r="H36" s="69">
        <v>516.15543465795599</v>
      </c>
      <c r="I36" s="69">
        <v>79.123455748568304</v>
      </c>
      <c r="J36" s="69">
        <v>267.102043330686</v>
      </c>
      <c r="K36" s="69">
        <v>105.33906874722599</v>
      </c>
      <c r="L36" s="69">
        <v>333.59324333094003</v>
      </c>
      <c r="M36" s="69">
        <v>144.18825500151701</v>
      </c>
      <c r="N36" s="69">
        <v>7.7843948079256702</v>
      </c>
      <c r="O36" s="69">
        <v>121.353322998232</v>
      </c>
      <c r="P36" s="69">
        <v>14.2597007840366</v>
      </c>
      <c r="Q36" s="69">
        <v>22.942590485785299</v>
      </c>
      <c r="R36" s="69">
        <v>136.62526380436199</v>
      </c>
      <c r="S36" s="69">
        <v>244.18065346277001</v>
      </c>
      <c r="T36" s="69">
        <v>49.318933259693701</v>
      </c>
      <c r="U36" s="69">
        <v>35.398261985450397</v>
      </c>
      <c r="V36" s="69">
        <v>52.280009465605403</v>
      </c>
      <c r="W36" s="69">
        <v>490.710819847707</v>
      </c>
      <c r="X36" s="69">
        <v>91.933618204134902</v>
      </c>
      <c r="Y36" s="69">
        <v>75.053495392134707</v>
      </c>
      <c r="Z36" s="69">
        <v>39.026194081084597</v>
      </c>
      <c r="AA36" s="69">
        <v>416.45125077597902</v>
      </c>
      <c r="AB36" s="69">
        <v>521.69408896435095</v>
      </c>
      <c r="AC36" s="69">
        <v>313.932476312245</v>
      </c>
      <c r="AD36" s="69">
        <v>579.90956368614502</v>
      </c>
      <c r="AE36" s="69">
        <v>617.63893690611098</v>
      </c>
      <c r="AF36" s="69">
        <v>5648.8404767644597</v>
      </c>
      <c r="AG36" s="69">
        <v>29790.485991441499</v>
      </c>
      <c r="AH36" s="69">
        <v>10807.165567828501</v>
      </c>
      <c r="AI36" s="69">
        <v>2599.7037321750799</v>
      </c>
      <c r="AJ36" s="69">
        <v>3584.96447253106</v>
      </c>
      <c r="AK36" s="69">
        <v>799.591189286445</v>
      </c>
      <c r="AL36" s="69">
        <v>897.99214336707303</v>
      </c>
      <c r="AM36" s="69">
        <v>7133.7451629688803</v>
      </c>
      <c r="AN36" s="69">
        <v>12821.2589335376</v>
      </c>
      <c r="AO36" s="69">
        <v>755.47204015677198</v>
      </c>
      <c r="AP36" s="69">
        <v>24451.828639187399</v>
      </c>
      <c r="AQ36" s="69">
        <v>4162.90143750681</v>
      </c>
      <c r="AR36" s="69">
        <v>3810.3072308583801</v>
      </c>
      <c r="AS36" s="69">
        <v>73.612017262846393</v>
      </c>
      <c r="AT36" s="69">
        <v>1.7624633035271899</v>
      </c>
      <c r="AU36" s="69">
        <v>306.91850413408599</v>
      </c>
      <c r="AV36" s="69">
        <v>78.070432168512099</v>
      </c>
      <c r="AW36" s="69">
        <v>103.756827284411</v>
      </c>
      <c r="AX36" s="69">
        <v>10.054055581740799</v>
      </c>
      <c r="AY36" s="69">
        <v>167.38543354280699</v>
      </c>
      <c r="AZ36" s="69">
        <v>2099.2631002360699</v>
      </c>
      <c r="BA36" s="69">
        <v>170.43403794653</v>
      </c>
      <c r="BB36" s="69">
        <v>188.43469829383699</v>
      </c>
      <c r="BC36" s="69">
        <v>1108.9624142763801</v>
      </c>
      <c r="BD36" s="69">
        <v>1558.8186682932401</v>
      </c>
      <c r="BE36" s="69">
        <v>210.14556918948901</v>
      </c>
      <c r="BF36" s="69">
        <v>158.66569269458199</v>
      </c>
      <c r="BG36" s="69">
        <v>104.076324076322</v>
      </c>
      <c r="BH36" s="69">
        <v>1898.4844218922699</v>
      </c>
      <c r="BI36" s="69">
        <v>9.3374581150723106</v>
      </c>
      <c r="BJ36" s="69">
        <v>266.44247577468599</v>
      </c>
      <c r="BK36" s="69">
        <v>130.75504106409099</v>
      </c>
      <c r="BL36" s="69">
        <v>38.637708804721797</v>
      </c>
      <c r="BM36" s="69">
        <v>81.9459523750171</v>
      </c>
      <c r="BN36" s="69">
        <v>42.821857151489098</v>
      </c>
      <c r="BO36" s="69">
        <v>164.232938963962</v>
      </c>
      <c r="BP36" s="69">
        <v>2905.98264830783</v>
      </c>
      <c r="BQ36" s="70">
        <v>0</v>
      </c>
      <c r="BR36" s="71">
        <v>126249.739307861</v>
      </c>
      <c r="BS36" s="72">
        <v>15848.601816799701</v>
      </c>
      <c r="BT36" s="73">
        <v>0</v>
      </c>
      <c r="BU36" s="73">
        <v>0</v>
      </c>
      <c r="BV36" s="121">
        <v>58440.662351462903</v>
      </c>
      <c r="BW36" s="73">
        <v>50834.959301257702</v>
      </c>
      <c r="BX36" s="74">
        <v>14752.7306962362</v>
      </c>
      <c r="BY36" s="107">
        <v>139876.954165756</v>
      </c>
      <c r="BZ36" s="75">
        <v>266126.69347361702</v>
      </c>
    </row>
    <row r="37" spans="1:78" ht="15" customHeight="1" x14ac:dyDescent="0.3">
      <c r="A37" s="33" t="s">
        <v>55</v>
      </c>
      <c r="B37" s="11" t="s">
        <v>123</v>
      </c>
      <c r="C37" s="68">
        <v>112.66962602300799</v>
      </c>
      <c r="D37" s="69">
        <v>120.929237249965</v>
      </c>
      <c r="E37" s="69">
        <v>19.079588786073501</v>
      </c>
      <c r="F37" s="69">
        <v>343.51952501768699</v>
      </c>
      <c r="G37" s="69">
        <v>16076.961596192599</v>
      </c>
      <c r="H37" s="69">
        <v>19723.8820202184</v>
      </c>
      <c r="I37" s="69">
        <v>2229.7118956131098</v>
      </c>
      <c r="J37" s="69">
        <v>245.98503200355299</v>
      </c>
      <c r="K37" s="69">
        <v>45.888247817055998</v>
      </c>
      <c r="L37" s="69">
        <v>259.07855202174102</v>
      </c>
      <c r="M37" s="69">
        <v>259.87691983191098</v>
      </c>
      <c r="N37" s="69">
        <v>3.2005802643417298</v>
      </c>
      <c r="O37" s="69">
        <v>67.663633378368999</v>
      </c>
      <c r="P37" s="69">
        <v>29.390925520192202</v>
      </c>
      <c r="Q37" s="69">
        <v>28.016538487141801</v>
      </c>
      <c r="R37" s="69">
        <v>330.48013175381101</v>
      </c>
      <c r="S37" s="69">
        <v>146.336494462281</v>
      </c>
      <c r="T37" s="69">
        <v>61.300200280427099</v>
      </c>
      <c r="U37" s="69">
        <v>60.742324576821296</v>
      </c>
      <c r="V37" s="69">
        <v>39.455753306668299</v>
      </c>
      <c r="W37" s="69">
        <v>140.85975815588699</v>
      </c>
      <c r="X37" s="69">
        <v>99.850581780810401</v>
      </c>
      <c r="Y37" s="69">
        <v>74.413245076964998</v>
      </c>
      <c r="Z37" s="69">
        <v>43.4005559403371</v>
      </c>
      <c r="AA37" s="69">
        <v>371.101991241517</v>
      </c>
      <c r="AB37" s="69">
        <v>172.53547463335701</v>
      </c>
      <c r="AC37" s="69">
        <v>427.20499942809499</v>
      </c>
      <c r="AD37" s="69">
        <v>243.667134348415</v>
      </c>
      <c r="AE37" s="69">
        <v>693.96594351448095</v>
      </c>
      <c r="AF37" s="69">
        <v>616.26123611023604</v>
      </c>
      <c r="AG37" s="69">
        <v>2105.8093011081801</v>
      </c>
      <c r="AH37" s="69">
        <v>58651.515027052199</v>
      </c>
      <c r="AI37" s="69">
        <v>4077.8105669975398</v>
      </c>
      <c r="AJ37" s="69">
        <v>716.46063151816099</v>
      </c>
      <c r="AK37" s="69">
        <v>928.75341008780003</v>
      </c>
      <c r="AL37" s="69">
        <v>226.51778695314599</v>
      </c>
      <c r="AM37" s="69">
        <v>23413.7184288873</v>
      </c>
      <c r="AN37" s="69">
        <v>544.24525645858296</v>
      </c>
      <c r="AO37" s="69">
        <v>276.970512860621</v>
      </c>
      <c r="AP37" s="69">
        <v>9304.2138485379892</v>
      </c>
      <c r="AQ37" s="69">
        <v>2569.93407555356</v>
      </c>
      <c r="AR37" s="69">
        <v>646.717780669832</v>
      </c>
      <c r="AS37" s="69">
        <v>511.01539857298502</v>
      </c>
      <c r="AT37" s="69">
        <v>14.1237105427555</v>
      </c>
      <c r="AU37" s="69">
        <v>620.10306965736197</v>
      </c>
      <c r="AV37" s="69">
        <v>25.249621828581901</v>
      </c>
      <c r="AW37" s="69">
        <v>97.448071182473598</v>
      </c>
      <c r="AX37" s="69">
        <v>13.3049204461113</v>
      </c>
      <c r="AY37" s="69">
        <v>17.769221152459401</v>
      </c>
      <c r="AZ37" s="69">
        <v>163.999157004523</v>
      </c>
      <c r="BA37" s="69">
        <v>147.7615729318</v>
      </c>
      <c r="BB37" s="69">
        <v>35.492392100236401</v>
      </c>
      <c r="BC37" s="69">
        <v>59.136982159608202</v>
      </c>
      <c r="BD37" s="69">
        <v>91.011948704304103</v>
      </c>
      <c r="BE37" s="69">
        <v>145.26891462661001</v>
      </c>
      <c r="BF37" s="69">
        <v>29.398882239085601</v>
      </c>
      <c r="BG37" s="69">
        <v>58.108795895695302</v>
      </c>
      <c r="BH37" s="69">
        <v>3314.9077830495598</v>
      </c>
      <c r="BI37" s="69">
        <v>13.6539961893273</v>
      </c>
      <c r="BJ37" s="69">
        <v>276.56603286708003</v>
      </c>
      <c r="BK37" s="69">
        <v>61.919728391055898</v>
      </c>
      <c r="BL37" s="69">
        <v>10.002645907976101</v>
      </c>
      <c r="BM37" s="69">
        <v>525.78509537313801</v>
      </c>
      <c r="BN37" s="69">
        <v>133.80423289818299</v>
      </c>
      <c r="BO37" s="69">
        <v>29.1551314659295</v>
      </c>
      <c r="BP37" s="69">
        <v>162.00732195335701</v>
      </c>
      <c r="BQ37" s="70">
        <v>0</v>
      </c>
      <c r="BR37" s="71">
        <v>153107.09099686</v>
      </c>
      <c r="BS37" s="72">
        <v>42149.952589275301</v>
      </c>
      <c r="BT37" s="73">
        <v>0</v>
      </c>
      <c r="BU37" s="73">
        <v>0</v>
      </c>
      <c r="BV37" s="121">
        <v>14690.8160975013</v>
      </c>
      <c r="BW37" s="73">
        <v>221019.04894673001</v>
      </c>
      <c r="BX37" s="74">
        <v>3374.5036846748699</v>
      </c>
      <c r="BY37" s="107">
        <v>281234.321318181</v>
      </c>
      <c r="BZ37" s="75">
        <v>434341.41231504199</v>
      </c>
    </row>
    <row r="38" spans="1:78" ht="15" customHeight="1" x14ac:dyDescent="0.3">
      <c r="A38" s="33" t="s">
        <v>56</v>
      </c>
      <c r="B38" s="11" t="s">
        <v>124</v>
      </c>
      <c r="C38" s="68">
        <v>6.7318101448100904</v>
      </c>
      <c r="D38" s="69">
        <v>6.2850684646763497</v>
      </c>
      <c r="E38" s="69">
        <v>0.60423789101409298</v>
      </c>
      <c r="F38" s="69">
        <v>3.27615687320049</v>
      </c>
      <c r="G38" s="69">
        <v>140.23894977727801</v>
      </c>
      <c r="H38" s="69">
        <v>141.89871387904699</v>
      </c>
      <c r="I38" s="69">
        <v>13.904321633286999</v>
      </c>
      <c r="J38" s="69">
        <v>21.022432621013401</v>
      </c>
      <c r="K38" s="69">
        <v>185.88056731548701</v>
      </c>
      <c r="L38" s="69">
        <v>24.703739187175501</v>
      </c>
      <c r="M38" s="69">
        <v>12.182577691103299</v>
      </c>
      <c r="N38" s="69">
        <v>1.05502833082576</v>
      </c>
      <c r="O38" s="69">
        <v>18.330528809935</v>
      </c>
      <c r="P38" s="69">
        <v>3.84615273301613</v>
      </c>
      <c r="Q38" s="69">
        <v>5.2861090131880504</v>
      </c>
      <c r="R38" s="69">
        <v>6.3814765575394699</v>
      </c>
      <c r="S38" s="69">
        <v>9.3413978592368103</v>
      </c>
      <c r="T38" s="69">
        <v>1.49229092183173</v>
      </c>
      <c r="U38" s="69">
        <v>1.66007401327119</v>
      </c>
      <c r="V38" s="69">
        <v>1.93611376273229</v>
      </c>
      <c r="W38" s="69">
        <v>15.8978295848058</v>
      </c>
      <c r="X38" s="69">
        <v>56.794780732647901</v>
      </c>
      <c r="Y38" s="69">
        <v>5.7256794147345698</v>
      </c>
      <c r="Z38" s="69">
        <v>9.7639712985751501</v>
      </c>
      <c r="AA38" s="69">
        <v>34.438057382850403</v>
      </c>
      <c r="AB38" s="69">
        <v>15.4979245642024</v>
      </c>
      <c r="AC38" s="69">
        <v>12.601121803351999</v>
      </c>
      <c r="AD38" s="69">
        <v>10.009759006152899</v>
      </c>
      <c r="AE38" s="69">
        <v>27.9365366826128</v>
      </c>
      <c r="AF38" s="69">
        <v>90.359392474292903</v>
      </c>
      <c r="AG38" s="69">
        <v>502.31291072395697</v>
      </c>
      <c r="AH38" s="69">
        <v>587.15130680775303</v>
      </c>
      <c r="AI38" s="69">
        <v>13929.06207136</v>
      </c>
      <c r="AJ38" s="69">
        <v>658.05611517871796</v>
      </c>
      <c r="AK38" s="69">
        <v>745.63380152801994</v>
      </c>
      <c r="AL38" s="69">
        <v>22.598619900028702</v>
      </c>
      <c r="AM38" s="69">
        <v>449.31918883738899</v>
      </c>
      <c r="AN38" s="69">
        <v>233.69506264173401</v>
      </c>
      <c r="AO38" s="69">
        <v>17.663984501662</v>
      </c>
      <c r="AP38" s="69">
        <v>535.04783970265805</v>
      </c>
      <c r="AQ38" s="69">
        <v>1583.98079859828</v>
      </c>
      <c r="AR38" s="69">
        <v>1877.86876706206</v>
      </c>
      <c r="AS38" s="69">
        <v>5.3245400070201399</v>
      </c>
      <c r="AT38" s="69">
        <v>9.1354267549710697E-2</v>
      </c>
      <c r="AU38" s="69">
        <v>11.927675277233201</v>
      </c>
      <c r="AV38" s="69">
        <v>3.1585558136411001</v>
      </c>
      <c r="AW38" s="69">
        <v>6.8435178904650096</v>
      </c>
      <c r="AX38" s="69">
        <v>0.53762891191580897</v>
      </c>
      <c r="AY38" s="69">
        <v>3.5154511743832502</v>
      </c>
      <c r="AZ38" s="69">
        <v>42.724691226609501</v>
      </c>
      <c r="BA38" s="69">
        <v>8.4889682322236109</v>
      </c>
      <c r="BB38" s="69">
        <v>6.3631096650719003</v>
      </c>
      <c r="BC38" s="69">
        <v>21.345941402818202</v>
      </c>
      <c r="BD38" s="69">
        <v>31.859420999728101</v>
      </c>
      <c r="BE38" s="69">
        <v>56.966140927063002</v>
      </c>
      <c r="BF38" s="69">
        <v>3.9173353136959599</v>
      </c>
      <c r="BG38" s="69">
        <v>13.963563237580599</v>
      </c>
      <c r="BH38" s="69">
        <v>62.510556530271202</v>
      </c>
      <c r="BI38" s="69">
        <v>0.52136943149977</v>
      </c>
      <c r="BJ38" s="69">
        <v>97.8046623934477</v>
      </c>
      <c r="BK38" s="69">
        <v>12.616059659116299</v>
      </c>
      <c r="BL38" s="69">
        <v>3.7696848667717702</v>
      </c>
      <c r="BM38" s="69">
        <v>15.3069598447962</v>
      </c>
      <c r="BN38" s="69">
        <v>3.4874045236635198</v>
      </c>
      <c r="BO38" s="69">
        <v>5.2195935091335404</v>
      </c>
      <c r="BP38" s="69">
        <v>36.346894136930302</v>
      </c>
      <c r="BQ38" s="70">
        <v>0</v>
      </c>
      <c r="BR38" s="71">
        <v>22482.0843465088</v>
      </c>
      <c r="BS38" s="72">
        <v>39252.338734466</v>
      </c>
      <c r="BT38" s="73">
        <v>0</v>
      </c>
      <c r="BU38" s="73">
        <v>0</v>
      </c>
      <c r="BV38" s="121">
        <v>179850.141012768</v>
      </c>
      <c r="BW38" s="73">
        <v>160909.63539311799</v>
      </c>
      <c r="BX38" s="74">
        <v>567.55072228612403</v>
      </c>
      <c r="BY38" s="107">
        <v>380579.66586263798</v>
      </c>
      <c r="BZ38" s="75">
        <v>403061.75020914699</v>
      </c>
    </row>
    <row r="39" spans="1:78" ht="15" customHeight="1" x14ac:dyDescent="0.3">
      <c r="A39" s="33" t="s">
        <v>57</v>
      </c>
      <c r="B39" s="11" t="s">
        <v>125</v>
      </c>
      <c r="C39" s="68">
        <v>53.156478192480201</v>
      </c>
      <c r="D39" s="69">
        <v>36.408197752172001</v>
      </c>
      <c r="E39" s="69">
        <v>2.4325539404396901</v>
      </c>
      <c r="F39" s="69">
        <v>23.027679313873701</v>
      </c>
      <c r="G39" s="69">
        <v>452.308239588341</v>
      </c>
      <c r="H39" s="69">
        <v>455.38339958880402</v>
      </c>
      <c r="I39" s="69">
        <v>53.818157907019</v>
      </c>
      <c r="J39" s="69">
        <v>109.81826842245501</v>
      </c>
      <c r="K39" s="69">
        <v>12.4453837779953</v>
      </c>
      <c r="L39" s="69">
        <v>157.42302880947901</v>
      </c>
      <c r="M39" s="69">
        <v>125.879274575376</v>
      </c>
      <c r="N39" s="69">
        <v>1.42289879267421</v>
      </c>
      <c r="O39" s="69">
        <v>24.290763240019999</v>
      </c>
      <c r="P39" s="69">
        <v>7.5631892363106799</v>
      </c>
      <c r="Q39" s="69">
        <v>15.983084469200399</v>
      </c>
      <c r="R39" s="69">
        <v>31.263158313096</v>
      </c>
      <c r="S39" s="69">
        <v>29.8348546726554</v>
      </c>
      <c r="T39" s="69">
        <v>23.753156044746198</v>
      </c>
      <c r="U39" s="69">
        <v>29.338392662145999</v>
      </c>
      <c r="V39" s="69">
        <v>7.8305245374204802</v>
      </c>
      <c r="W39" s="69">
        <v>52.398070653929899</v>
      </c>
      <c r="X39" s="69">
        <v>52.332816667624201</v>
      </c>
      <c r="Y39" s="69">
        <v>41.406066624207298</v>
      </c>
      <c r="Z39" s="69">
        <v>20.498104291001699</v>
      </c>
      <c r="AA39" s="69">
        <v>164.01241360483201</v>
      </c>
      <c r="AB39" s="69">
        <v>82.641395574416407</v>
      </c>
      <c r="AC39" s="69">
        <v>110.49348708901699</v>
      </c>
      <c r="AD39" s="69">
        <v>95.157509197523694</v>
      </c>
      <c r="AE39" s="69">
        <v>296.16315020978601</v>
      </c>
      <c r="AF39" s="69">
        <v>430.04218300158902</v>
      </c>
      <c r="AG39" s="69">
        <v>394.56682279832899</v>
      </c>
      <c r="AH39" s="69">
        <v>1492.4413090816299</v>
      </c>
      <c r="AI39" s="69">
        <v>103100.240467362</v>
      </c>
      <c r="AJ39" s="69">
        <v>29107.775117715399</v>
      </c>
      <c r="AK39" s="69">
        <v>399.93666328939798</v>
      </c>
      <c r="AL39" s="69">
        <v>82.902738142775505</v>
      </c>
      <c r="AM39" s="69">
        <v>722.26921184651201</v>
      </c>
      <c r="AN39" s="69">
        <v>135.62814355009499</v>
      </c>
      <c r="AO39" s="69">
        <v>31.982982204505401</v>
      </c>
      <c r="AP39" s="69">
        <v>1110.98308039019</v>
      </c>
      <c r="AQ39" s="69">
        <v>45502.788029552699</v>
      </c>
      <c r="AR39" s="69">
        <v>30931.2592512429</v>
      </c>
      <c r="AS39" s="69">
        <v>12.608009725252099</v>
      </c>
      <c r="AT39" s="69">
        <v>5.5090898413829503</v>
      </c>
      <c r="AU39" s="69">
        <v>45.018930176940003</v>
      </c>
      <c r="AV39" s="69">
        <v>11.6735494672747</v>
      </c>
      <c r="AW39" s="69">
        <v>63.564897334671898</v>
      </c>
      <c r="AX39" s="69">
        <v>1.5391458200419099</v>
      </c>
      <c r="AY39" s="69">
        <v>5.8099758426451098</v>
      </c>
      <c r="AZ39" s="69">
        <v>30.7700776327809</v>
      </c>
      <c r="BA39" s="69">
        <v>40.614198542289301</v>
      </c>
      <c r="BB39" s="69">
        <v>27.129417917711798</v>
      </c>
      <c r="BC39" s="69">
        <v>32.182710033629803</v>
      </c>
      <c r="BD39" s="69">
        <v>43.339648168914998</v>
      </c>
      <c r="BE39" s="69">
        <v>130.52876480616999</v>
      </c>
      <c r="BF39" s="69">
        <v>10.6176251844322</v>
      </c>
      <c r="BG39" s="69">
        <v>546.15899347376205</v>
      </c>
      <c r="BH39" s="69">
        <v>118.708075685887</v>
      </c>
      <c r="BI39" s="69">
        <v>4.0196744394618298</v>
      </c>
      <c r="BJ39" s="69">
        <v>2067.7748009026</v>
      </c>
      <c r="BK39" s="69">
        <v>534.98032333134904</v>
      </c>
      <c r="BL39" s="69">
        <v>28.024618787064799</v>
      </c>
      <c r="BM39" s="69">
        <v>531.52516624100599</v>
      </c>
      <c r="BN39" s="69">
        <v>24.575315380704399</v>
      </c>
      <c r="BO39" s="69">
        <v>21.846112951709198</v>
      </c>
      <c r="BP39" s="69">
        <v>46.315815151185902</v>
      </c>
      <c r="BQ39" s="70">
        <v>0</v>
      </c>
      <c r="BR39" s="71">
        <v>220396.134634766</v>
      </c>
      <c r="BS39" s="72">
        <v>23551.0032932463</v>
      </c>
      <c r="BT39" s="73">
        <v>0</v>
      </c>
      <c r="BU39" s="73">
        <v>0</v>
      </c>
      <c r="BV39" s="121">
        <v>2822.4104053004899</v>
      </c>
      <c r="BW39" s="73">
        <v>7565.7670149286896</v>
      </c>
      <c r="BX39" s="74">
        <v>1.6145520198602401</v>
      </c>
      <c r="BY39" s="107">
        <v>33940.795265495399</v>
      </c>
      <c r="BZ39" s="75">
        <v>254336.92990026099</v>
      </c>
    </row>
    <row r="40" spans="1:78" ht="15" customHeight="1" x14ac:dyDescent="0.3">
      <c r="A40" s="33" t="s">
        <v>58</v>
      </c>
      <c r="B40" s="11" t="s">
        <v>126</v>
      </c>
      <c r="C40" s="68">
        <v>3.8204568219782198</v>
      </c>
      <c r="D40" s="69">
        <v>2.8988583057416202</v>
      </c>
      <c r="E40" s="69">
        <v>1.4136392418750601</v>
      </c>
      <c r="F40" s="69">
        <v>10.427742928548099</v>
      </c>
      <c r="G40" s="69">
        <v>118.273656274185</v>
      </c>
      <c r="H40" s="69">
        <v>134.73769788125099</v>
      </c>
      <c r="I40" s="69">
        <v>17.621411029420599</v>
      </c>
      <c r="J40" s="69">
        <v>28.648297951752699</v>
      </c>
      <c r="K40" s="69">
        <v>10.0580610814077</v>
      </c>
      <c r="L40" s="69">
        <v>25.2092585244989</v>
      </c>
      <c r="M40" s="69">
        <v>20.950410677427602</v>
      </c>
      <c r="N40" s="69">
        <v>0.74337303566523105</v>
      </c>
      <c r="O40" s="69">
        <v>3.23415163608444</v>
      </c>
      <c r="P40" s="69">
        <v>22.2869419547674</v>
      </c>
      <c r="Q40" s="69">
        <v>5.2760013821097198</v>
      </c>
      <c r="R40" s="69">
        <v>12.869713268887301</v>
      </c>
      <c r="S40" s="69">
        <v>34.639154584296698</v>
      </c>
      <c r="T40" s="69">
        <v>10.912080030863301</v>
      </c>
      <c r="U40" s="69">
        <v>12.5684097499499</v>
      </c>
      <c r="V40" s="69">
        <v>9.8649348134750294</v>
      </c>
      <c r="W40" s="69">
        <v>27.627465236761701</v>
      </c>
      <c r="X40" s="69">
        <v>11.7228818240213</v>
      </c>
      <c r="Y40" s="69">
        <v>7.7344742581931198</v>
      </c>
      <c r="Z40" s="69">
        <v>12.638545347463999</v>
      </c>
      <c r="AA40" s="69">
        <v>25.540918445902001</v>
      </c>
      <c r="AB40" s="69">
        <v>29.421181855137199</v>
      </c>
      <c r="AC40" s="69">
        <v>89.777066569563303</v>
      </c>
      <c r="AD40" s="69">
        <v>24.516311531800799</v>
      </c>
      <c r="AE40" s="69">
        <v>43.117977011356103</v>
      </c>
      <c r="AF40" s="69">
        <v>8.2759272287907493</v>
      </c>
      <c r="AG40" s="69">
        <v>47.020590879552302</v>
      </c>
      <c r="AH40" s="69">
        <v>305.83449842992201</v>
      </c>
      <c r="AI40" s="69">
        <v>145.336487303708</v>
      </c>
      <c r="AJ40" s="69">
        <v>53.815256451812601</v>
      </c>
      <c r="AK40" s="69">
        <v>21466.6473346155</v>
      </c>
      <c r="AL40" s="69">
        <v>28.412914907471698</v>
      </c>
      <c r="AM40" s="69">
        <v>5008.73154210547</v>
      </c>
      <c r="AN40" s="69">
        <v>26.152192090891301</v>
      </c>
      <c r="AO40" s="69">
        <v>16.1798504719047</v>
      </c>
      <c r="AP40" s="69">
        <v>141.733617439097</v>
      </c>
      <c r="AQ40" s="69">
        <v>450.30890272659599</v>
      </c>
      <c r="AR40" s="69">
        <v>1947.44909195179</v>
      </c>
      <c r="AS40" s="69">
        <v>11.1143596543833</v>
      </c>
      <c r="AT40" s="69">
        <v>1.6315503012063499</v>
      </c>
      <c r="AU40" s="69">
        <v>36.498476391694702</v>
      </c>
      <c r="AV40" s="69">
        <v>1.0133370999242599</v>
      </c>
      <c r="AW40" s="69">
        <v>9.4363361493365403</v>
      </c>
      <c r="AX40" s="69">
        <v>3.68821511339817</v>
      </c>
      <c r="AY40" s="69">
        <v>1.9877507615165899</v>
      </c>
      <c r="AZ40" s="69">
        <v>7.2229977144571</v>
      </c>
      <c r="BA40" s="69">
        <v>21.611543948936198</v>
      </c>
      <c r="BB40" s="69">
        <v>7.32035019256229</v>
      </c>
      <c r="BC40" s="69">
        <v>5.1781646247902602</v>
      </c>
      <c r="BD40" s="69">
        <v>14.6961603587885</v>
      </c>
      <c r="BE40" s="69">
        <v>24.034181752471</v>
      </c>
      <c r="BF40" s="69">
        <v>7.6349089227693296</v>
      </c>
      <c r="BG40" s="69">
        <v>18.7554971671392</v>
      </c>
      <c r="BH40" s="69">
        <v>33.016198644945298</v>
      </c>
      <c r="BI40" s="69">
        <v>2.8431362101381898</v>
      </c>
      <c r="BJ40" s="69">
        <v>379.72100128634202</v>
      </c>
      <c r="BK40" s="69">
        <v>14.0281223592686</v>
      </c>
      <c r="BL40" s="69">
        <v>2.70351597172206</v>
      </c>
      <c r="BM40" s="69">
        <v>59.821008627018699</v>
      </c>
      <c r="BN40" s="69">
        <v>153.861694306229</v>
      </c>
      <c r="BO40" s="69">
        <v>7.6364697282409697</v>
      </c>
      <c r="BP40" s="69">
        <v>215.59947071033801</v>
      </c>
      <c r="BQ40" s="70">
        <v>0</v>
      </c>
      <c r="BR40" s="71">
        <v>31445.503727854499</v>
      </c>
      <c r="BS40" s="72">
        <v>20735.6396960567</v>
      </c>
      <c r="BT40" s="73">
        <v>0</v>
      </c>
      <c r="BU40" s="73">
        <v>0</v>
      </c>
      <c r="BV40" s="121">
        <v>23974.203671683499</v>
      </c>
      <c r="BW40" s="73">
        <v>83699.448277851901</v>
      </c>
      <c r="BX40" s="74">
        <v>15220.657181467201</v>
      </c>
      <c r="BY40" s="107">
        <v>143629.94882705901</v>
      </c>
      <c r="BZ40" s="75">
        <v>175075.45255491399</v>
      </c>
    </row>
    <row r="41" spans="1:78" ht="15" customHeight="1" x14ac:dyDescent="0.3">
      <c r="A41" s="33" t="s">
        <v>59</v>
      </c>
      <c r="B41" s="11" t="s">
        <v>127</v>
      </c>
      <c r="C41" s="68">
        <v>103.580014045486</v>
      </c>
      <c r="D41" s="69">
        <v>85.139419508721403</v>
      </c>
      <c r="E41" s="69">
        <v>25.815682913179799</v>
      </c>
      <c r="F41" s="69">
        <v>15.795787304358599</v>
      </c>
      <c r="G41" s="69">
        <v>319.48572724197697</v>
      </c>
      <c r="H41" s="69">
        <v>290.69382806833403</v>
      </c>
      <c r="I41" s="69">
        <v>29.8298225934915</v>
      </c>
      <c r="J41" s="69">
        <v>152.15825022184501</v>
      </c>
      <c r="K41" s="69">
        <v>33.430292884430401</v>
      </c>
      <c r="L41" s="69">
        <v>252.54267474753399</v>
      </c>
      <c r="M41" s="69">
        <v>154.971803957145</v>
      </c>
      <c r="N41" s="69">
        <v>2.53448929768637</v>
      </c>
      <c r="O41" s="69">
        <v>206.04163657551899</v>
      </c>
      <c r="P41" s="69">
        <v>2959.2561382455401</v>
      </c>
      <c r="Q41" s="69">
        <v>479.382217568116</v>
      </c>
      <c r="R41" s="69">
        <v>99.618837195325298</v>
      </c>
      <c r="S41" s="69">
        <v>77.221798666746693</v>
      </c>
      <c r="T41" s="69">
        <v>41.132370500169301</v>
      </c>
      <c r="U41" s="69">
        <v>47.411462240913899</v>
      </c>
      <c r="V41" s="69">
        <v>11.431172804488501</v>
      </c>
      <c r="W41" s="69">
        <v>446.78990539609401</v>
      </c>
      <c r="X41" s="69">
        <v>191.97585139524799</v>
      </c>
      <c r="Y41" s="69">
        <v>69.085014916438396</v>
      </c>
      <c r="Z41" s="69">
        <v>222.371871602928</v>
      </c>
      <c r="AA41" s="69">
        <v>445.60942421524601</v>
      </c>
      <c r="AB41" s="69">
        <v>413.27885246713402</v>
      </c>
      <c r="AC41" s="69">
        <v>78.799420787974199</v>
      </c>
      <c r="AD41" s="69">
        <v>46.835997356594099</v>
      </c>
      <c r="AE41" s="69">
        <v>208.668495894101</v>
      </c>
      <c r="AF41" s="69">
        <v>338.84019140943599</v>
      </c>
      <c r="AG41" s="69">
        <v>187.04163565592199</v>
      </c>
      <c r="AH41" s="69">
        <v>1670.8922218258699</v>
      </c>
      <c r="AI41" s="69">
        <v>707.60004158992297</v>
      </c>
      <c r="AJ41" s="69">
        <v>1161.04847593516</v>
      </c>
      <c r="AK41" s="69">
        <v>146.461261601849</v>
      </c>
      <c r="AL41" s="69">
        <v>6688.3420426483899</v>
      </c>
      <c r="AM41" s="69">
        <v>494.76396143037601</v>
      </c>
      <c r="AN41" s="69">
        <v>142.18479710798101</v>
      </c>
      <c r="AO41" s="69">
        <v>122.037298189819</v>
      </c>
      <c r="AP41" s="69">
        <v>2264.8538348840998</v>
      </c>
      <c r="AQ41" s="69">
        <v>1490.2226003447699</v>
      </c>
      <c r="AR41" s="69">
        <v>294.77236046200198</v>
      </c>
      <c r="AS41" s="69">
        <v>292.08673964412498</v>
      </c>
      <c r="AT41" s="69">
        <v>3.6440593026870101</v>
      </c>
      <c r="AU41" s="69">
        <v>495.11331683697398</v>
      </c>
      <c r="AV41" s="69">
        <v>25.038749020461399</v>
      </c>
      <c r="AW41" s="69">
        <v>70.924539524819807</v>
      </c>
      <c r="AX41" s="69">
        <v>5.3584243145245196</v>
      </c>
      <c r="AY41" s="69">
        <v>96.415767504326695</v>
      </c>
      <c r="AZ41" s="69">
        <v>11.411404562828899</v>
      </c>
      <c r="BA41" s="69">
        <v>272.85754021145601</v>
      </c>
      <c r="BB41" s="69">
        <v>377.91167000879102</v>
      </c>
      <c r="BC41" s="69">
        <v>333.756267803291</v>
      </c>
      <c r="BD41" s="69">
        <v>599.67361741519505</v>
      </c>
      <c r="BE41" s="69">
        <v>987.73319758007301</v>
      </c>
      <c r="BF41" s="69">
        <v>922.89149960518796</v>
      </c>
      <c r="BG41" s="69">
        <v>1264.2521627547601</v>
      </c>
      <c r="BH41" s="69">
        <v>436.74274456678302</v>
      </c>
      <c r="BI41" s="69">
        <v>45.726398605499398</v>
      </c>
      <c r="BJ41" s="69">
        <v>1753.9358722946999</v>
      </c>
      <c r="BK41" s="69">
        <v>2188.61260129436</v>
      </c>
      <c r="BL41" s="69">
        <v>84.3766008291731</v>
      </c>
      <c r="BM41" s="69">
        <v>9394.9230921097896</v>
      </c>
      <c r="BN41" s="69">
        <v>30458.300511372101</v>
      </c>
      <c r="BO41" s="69">
        <v>325.31492170179598</v>
      </c>
      <c r="BP41" s="69">
        <v>295.71115804723797</v>
      </c>
      <c r="BQ41" s="70">
        <v>0</v>
      </c>
      <c r="BR41" s="71">
        <v>73962.661840609304</v>
      </c>
      <c r="BS41" s="72">
        <v>10314.0434499563</v>
      </c>
      <c r="BT41" s="73">
        <v>69.462299128561099</v>
      </c>
      <c r="BU41" s="73">
        <v>0</v>
      </c>
      <c r="BV41" s="121">
        <v>137775.883615839</v>
      </c>
      <c r="BW41" s="73">
        <v>28141.574909168299</v>
      </c>
      <c r="BX41" s="74">
        <v>2241.1863131513601</v>
      </c>
      <c r="BY41" s="107">
        <v>178542.15058724399</v>
      </c>
      <c r="BZ41" s="75">
        <v>252504.812427853</v>
      </c>
    </row>
    <row r="42" spans="1:78" ht="15" customHeight="1" x14ac:dyDescent="0.3">
      <c r="A42" s="33" t="s">
        <v>60</v>
      </c>
      <c r="B42" s="11" t="s">
        <v>128</v>
      </c>
      <c r="C42" s="68">
        <v>200.88548469360001</v>
      </c>
      <c r="D42" s="69">
        <v>77.158606080639103</v>
      </c>
      <c r="E42" s="69">
        <v>156.56016033134199</v>
      </c>
      <c r="F42" s="69">
        <v>1301.58448564898</v>
      </c>
      <c r="G42" s="69">
        <v>4331.0334874545497</v>
      </c>
      <c r="H42" s="69">
        <v>3767.5356106940299</v>
      </c>
      <c r="I42" s="69">
        <v>900.24494285982905</v>
      </c>
      <c r="J42" s="69">
        <v>1832.8488396410301</v>
      </c>
      <c r="K42" s="69">
        <v>1323.55131984077</v>
      </c>
      <c r="L42" s="69">
        <v>984.23531004950996</v>
      </c>
      <c r="M42" s="69">
        <v>640.90171820086402</v>
      </c>
      <c r="N42" s="69">
        <v>21.042222222698499</v>
      </c>
      <c r="O42" s="69">
        <v>212.09587924628801</v>
      </c>
      <c r="P42" s="69">
        <v>326.94953214751501</v>
      </c>
      <c r="Q42" s="69">
        <v>189.87374408508899</v>
      </c>
      <c r="R42" s="69">
        <v>1289.4520240212801</v>
      </c>
      <c r="S42" s="69">
        <v>4859.66937282239</v>
      </c>
      <c r="T42" s="69">
        <v>1541.14103385151</v>
      </c>
      <c r="U42" s="69">
        <v>1673.6592043036101</v>
      </c>
      <c r="V42" s="69">
        <v>1399.9625890150201</v>
      </c>
      <c r="W42" s="69">
        <v>2922.0826739668501</v>
      </c>
      <c r="X42" s="69">
        <v>1011.61023924961</v>
      </c>
      <c r="Y42" s="69">
        <v>287.56802320164002</v>
      </c>
      <c r="Z42" s="69">
        <v>903.95938106548601</v>
      </c>
      <c r="AA42" s="69">
        <v>854.92800856922599</v>
      </c>
      <c r="AB42" s="69">
        <v>3546.86328052827</v>
      </c>
      <c r="AC42" s="69">
        <v>12096.277766503699</v>
      </c>
      <c r="AD42" s="69">
        <v>3175.6247282199502</v>
      </c>
      <c r="AE42" s="69">
        <v>1097.9454737772201</v>
      </c>
      <c r="AF42" s="69">
        <v>267.09595492283597</v>
      </c>
      <c r="AG42" s="69">
        <v>891.98074832229702</v>
      </c>
      <c r="AH42" s="69">
        <v>3070.62711821626</v>
      </c>
      <c r="AI42" s="69">
        <v>295.88661659630799</v>
      </c>
      <c r="AJ42" s="69">
        <v>900.89698604093201</v>
      </c>
      <c r="AK42" s="69">
        <v>263.05293332518198</v>
      </c>
      <c r="AL42" s="69">
        <v>1083.1658434994799</v>
      </c>
      <c r="AM42" s="69">
        <v>1411.83911705182</v>
      </c>
      <c r="AN42" s="69">
        <v>2157.6726780713998</v>
      </c>
      <c r="AO42" s="69">
        <v>1786.71589157632</v>
      </c>
      <c r="AP42" s="69">
        <v>2865.9722804847202</v>
      </c>
      <c r="AQ42" s="69">
        <v>7965.5371834525304</v>
      </c>
      <c r="AR42" s="69">
        <v>799.24248225444796</v>
      </c>
      <c r="AS42" s="69">
        <v>1104.2405476975</v>
      </c>
      <c r="AT42" s="69">
        <v>242.85662276053</v>
      </c>
      <c r="AU42" s="69">
        <v>4615.1317043545896</v>
      </c>
      <c r="AV42" s="69">
        <v>10.993894994159801</v>
      </c>
      <c r="AW42" s="69">
        <v>426.07278446548401</v>
      </c>
      <c r="AX42" s="69">
        <v>539.39412621856502</v>
      </c>
      <c r="AY42" s="69">
        <v>185.730070177686</v>
      </c>
      <c r="AZ42" s="69">
        <v>544.18290474323703</v>
      </c>
      <c r="BA42" s="69">
        <v>2428.9472247251001</v>
      </c>
      <c r="BB42" s="69">
        <v>498.30299947844298</v>
      </c>
      <c r="BC42" s="69">
        <v>239.50473221883499</v>
      </c>
      <c r="BD42" s="69">
        <v>1288.3001344806501</v>
      </c>
      <c r="BE42" s="69">
        <v>331.40935654293003</v>
      </c>
      <c r="BF42" s="69">
        <v>373.02434731644001</v>
      </c>
      <c r="BG42" s="69">
        <v>1629.4849153554001</v>
      </c>
      <c r="BH42" s="69">
        <v>1742.7827926165801</v>
      </c>
      <c r="BI42" s="69">
        <v>338.55573343026401</v>
      </c>
      <c r="BJ42" s="69">
        <v>1553.5085852442101</v>
      </c>
      <c r="BK42" s="69">
        <v>185.02321642877399</v>
      </c>
      <c r="BL42" s="69">
        <v>1.7153908606800199</v>
      </c>
      <c r="BM42" s="69">
        <v>1776.16027992676</v>
      </c>
      <c r="BN42" s="69">
        <v>1065.8139620115901</v>
      </c>
      <c r="BO42" s="69">
        <v>677.19917964926299</v>
      </c>
      <c r="BP42" s="69">
        <v>934.97172012586395</v>
      </c>
      <c r="BQ42" s="70">
        <v>0</v>
      </c>
      <c r="BR42" s="71">
        <v>99420.238201930595</v>
      </c>
      <c r="BS42" s="72">
        <v>3788.0113575319901</v>
      </c>
      <c r="BT42" s="73">
        <v>0</v>
      </c>
      <c r="BU42" s="73">
        <v>0</v>
      </c>
      <c r="BV42" s="121">
        <v>1059.9501170727301</v>
      </c>
      <c r="BW42" s="73">
        <v>19587.205574846899</v>
      </c>
      <c r="BX42" s="74">
        <v>200.498923682308</v>
      </c>
      <c r="BY42" s="107">
        <v>24635.665973133899</v>
      </c>
      <c r="BZ42" s="75">
        <v>124055.904175064</v>
      </c>
    </row>
    <row r="43" spans="1:78" ht="15" customHeight="1" x14ac:dyDescent="0.3">
      <c r="A43" s="33" t="s">
        <v>61</v>
      </c>
      <c r="B43" s="11" t="s">
        <v>129</v>
      </c>
      <c r="C43" s="68">
        <v>12404.8189898936</v>
      </c>
      <c r="D43" s="69">
        <v>7788.2794593437802</v>
      </c>
      <c r="E43" s="69">
        <v>734.39636142018503</v>
      </c>
      <c r="F43" s="69">
        <v>1126.1550274573599</v>
      </c>
      <c r="G43" s="69">
        <v>484.91040193103299</v>
      </c>
      <c r="H43" s="69">
        <v>2828.5457526999098</v>
      </c>
      <c r="I43" s="69">
        <v>511.07280104338298</v>
      </c>
      <c r="J43" s="69">
        <v>2636.4864794671498</v>
      </c>
      <c r="K43" s="69">
        <v>138.36249546532301</v>
      </c>
      <c r="L43" s="69">
        <v>4835.05358359402</v>
      </c>
      <c r="M43" s="69">
        <v>1020.07525403403</v>
      </c>
      <c r="N43" s="69">
        <v>93.876105218801399</v>
      </c>
      <c r="O43" s="69">
        <v>2097.5553037023201</v>
      </c>
      <c r="P43" s="69">
        <v>294.30328910391302</v>
      </c>
      <c r="Q43" s="69">
        <v>321.01714805429202</v>
      </c>
      <c r="R43" s="69">
        <v>1869.27824438721</v>
      </c>
      <c r="S43" s="69">
        <v>3782.7564187747898</v>
      </c>
      <c r="T43" s="69">
        <v>166.05205262910999</v>
      </c>
      <c r="U43" s="69">
        <v>80.313380803434498</v>
      </c>
      <c r="V43" s="69">
        <v>730.30079924214795</v>
      </c>
      <c r="W43" s="69">
        <v>9175.7074162317604</v>
      </c>
      <c r="X43" s="69">
        <v>1095.5122568564</v>
      </c>
      <c r="Y43" s="69">
        <v>293.19321296099599</v>
      </c>
      <c r="Z43" s="69">
        <v>448.575162174566</v>
      </c>
      <c r="AA43" s="69">
        <v>3523.1774939474299</v>
      </c>
      <c r="AB43" s="69">
        <v>5818.6643360265498</v>
      </c>
      <c r="AC43" s="69">
        <v>4549.6180474238899</v>
      </c>
      <c r="AD43" s="69">
        <v>4516.6097993601297</v>
      </c>
      <c r="AE43" s="69">
        <v>1864.19700295031</v>
      </c>
      <c r="AF43" s="69">
        <v>229.48298175743699</v>
      </c>
      <c r="AG43" s="69">
        <v>854.50843976456702</v>
      </c>
      <c r="AH43" s="69">
        <v>1061.32528649968</v>
      </c>
      <c r="AI43" s="69">
        <v>720.34399562330498</v>
      </c>
      <c r="AJ43" s="69">
        <v>1633.5256334728099</v>
      </c>
      <c r="AK43" s="69">
        <v>259.69104122684502</v>
      </c>
      <c r="AL43" s="69">
        <v>576.07727609917902</v>
      </c>
      <c r="AM43" s="69">
        <v>329.04529656965002</v>
      </c>
      <c r="AN43" s="69">
        <v>195002.63885120599</v>
      </c>
      <c r="AO43" s="69">
        <v>5975.8610781936804</v>
      </c>
      <c r="AP43" s="69">
        <v>940.37903743863205</v>
      </c>
      <c r="AQ43" s="69">
        <v>38891.080239432398</v>
      </c>
      <c r="AR43" s="69">
        <v>2609.15221216397</v>
      </c>
      <c r="AS43" s="69">
        <v>104.82950607726799</v>
      </c>
      <c r="AT43" s="69">
        <v>55.530600075274698</v>
      </c>
      <c r="AU43" s="69">
        <v>2461.67308172002</v>
      </c>
      <c r="AV43" s="69">
        <v>2588.4436178261299</v>
      </c>
      <c r="AW43" s="69">
        <v>2680.09322282014</v>
      </c>
      <c r="AX43" s="69">
        <v>181.29394081813601</v>
      </c>
      <c r="AY43" s="69">
        <v>709.54878652561695</v>
      </c>
      <c r="AZ43" s="69">
        <v>3101.0859974179398</v>
      </c>
      <c r="BA43" s="69">
        <v>1720.5562220571101</v>
      </c>
      <c r="BB43" s="69">
        <v>3620.1675615924501</v>
      </c>
      <c r="BC43" s="69">
        <v>1525.36461552437</v>
      </c>
      <c r="BD43" s="69">
        <v>2334.7614219554998</v>
      </c>
      <c r="BE43" s="69">
        <v>542.14196738812598</v>
      </c>
      <c r="BF43" s="69">
        <v>640.28489870895896</v>
      </c>
      <c r="BG43" s="69">
        <v>372.96155834545499</v>
      </c>
      <c r="BH43" s="69">
        <v>11857.2513232573</v>
      </c>
      <c r="BI43" s="69">
        <v>176.70797348893399</v>
      </c>
      <c r="BJ43" s="69">
        <v>7728.5270305168797</v>
      </c>
      <c r="BK43" s="69">
        <v>2412.2156140382799</v>
      </c>
      <c r="BL43" s="69">
        <v>4556.9715730524504</v>
      </c>
      <c r="BM43" s="69">
        <v>2082.6900688072901</v>
      </c>
      <c r="BN43" s="69">
        <v>2743.9012802941302</v>
      </c>
      <c r="BO43" s="69">
        <v>1880.3909379290001</v>
      </c>
      <c r="BP43" s="69">
        <v>4784.7378026948099</v>
      </c>
      <c r="BQ43" s="70">
        <v>0</v>
      </c>
      <c r="BR43" s="71">
        <v>385174.106048577</v>
      </c>
      <c r="BS43" s="72">
        <v>348.77073484149997</v>
      </c>
      <c r="BT43" s="73">
        <v>0</v>
      </c>
      <c r="BU43" s="73">
        <v>0</v>
      </c>
      <c r="BV43" s="121">
        <v>172624.548223102</v>
      </c>
      <c r="BW43" s="73">
        <v>369.34479904527302</v>
      </c>
      <c r="BX43" s="74">
        <v>0</v>
      </c>
      <c r="BY43" s="107">
        <v>173342.663756989</v>
      </c>
      <c r="BZ43" s="75">
        <v>558516.76980556594</v>
      </c>
    </row>
    <row r="44" spans="1:78" ht="15" customHeight="1" x14ac:dyDescent="0.3">
      <c r="A44" s="33" t="s">
        <v>62</v>
      </c>
      <c r="B44" s="11" t="s">
        <v>130</v>
      </c>
      <c r="C44" s="68">
        <v>19.113200795657001</v>
      </c>
      <c r="D44" s="69">
        <v>2.4532368901628798</v>
      </c>
      <c r="E44" s="69">
        <v>2.10063451256211</v>
      </c>
      <c r="F44" s="69">
        <v>45.177957682277601</v>
      </c>
      <c r="G44" s="69">
        <v>127.749084098669</v>
      </c>
      <c r="H44" s="69">
        <v>684.88961166953902</v>
      </c>
      <c r="I44" s="69">
        <v>84.750417458898198</v>
      </c>
      <c r="J44" s="69">
        <v>277.37469480906202</v>
      </c>
      <c r="K44" s="69">
        <v>100.36642141689801</v>
      </c>
      <c r="L44" s="69">
        <v>565.87692283804097</v>
      </c>
      <c r="M44" s="69">
        <v>736.26741932203004</v>
      </c>
      <c r="N44" s="69">
        <v>1.2671873828176801</v>
      </c>
      <c r="O44" s="69">
        <v>107.498087908296</v>
      </c>
      <c r="P44" s="69">
        <v>39.246636291232903</v>
      </c>
      <c r="Q44" s="69">
        <v>37.610642694397299</v>
      </c>
      <c r="R44" s="69">
        <v>506.57376667539398</v>
      </c>
      <c r="S44" s="69">
        <v>737.56203455233697</v>
      </c>
      <c r="T44" s="69">
        <v>8.0067300027520805</v>
      </c>
      <c r="U44" s="69">
        <v>692.094024544322</v>
      </c>
      <c r="V44" s="69">
        <v>214.42182243223101</v>
      </c>
      <c r="W44" s="69">
        <v>1393.0264776313199</v>
      </c>
      <c r="X44" s="69">
        <v>688.78216670351503</v>
      </c>
      <c r="Y44" s="69">
        <v>201.841202092271</v>
      </c>
      <c r="Z44" s="69">
        <v>118.117971742599</v>
      </c>
      <c r="AA44" s="69">
        <v>820.313992417956</v>
      </c>
      <c r="AB44" s="69">
        <v>1525.76847993104</v>
      </c>
      <c r="AC44" s="69">
        <v>6797.3949570024897</v>
      </c>
      <c r="AD44" s="69">
        <v>3105.9982251390402</v>
      </c>
      <c r="AE44" s="69">
        <v>267.13079485776899</v>
      </c>
      <c r="AF44" s="69">
        <v>29.120677683476298</v>
      </c>
      <c r="AG44" s="69">
        <v>84.374865296375802</v>
      </c>
      <c r="AH44" s="69">
        <v>146.26248361726201</v>
      </c>
      <c r="AI44" s="69">
        <v>147.49713631308001</v>
      </c>
      <c r="AJ44" s="69">
        <v>459.27238224070499</v>
      </c>
      <c r="AK44" s="69">
        <v>109.95624639555901</v>
      </c>
      <c r="AL44" s="69">
        <v>117.359750298726</v>
      </c>
      <c r="AM44" s="69">
        <v>31.0173504862287</v>
      </c>
      <c r="AN44" s="69">
        <v>162.57769229553901</v>
      </c>
      <c r="AO44" s="69">
        <v>1586.61059909957</v>
      </c>
      <c r="AP44" s="69">
        <v>381.234841222927</v>
      </c>
      <c r="AQ44" s="69">
        <v>7248.3548587608702</v>
      </c>
      <c r="AR44" s="69">
        <v>582.84884587356999</v>
      </c>
      <c r="AS44" s="69">
        <v>18.953437137352001</v>
      </c>
      <c r="AT44" s="69">
        <v>8.7315843020650803</v>
      </c>
      <c r="AU44" s="69">
        <v>1319.2869995169101</v>
      </c>
      <c r="AV44" s="69">
        <v>755.18518347151996</v>
      </c>
      <c r="AW44" s="69">
        <v>1315.43690972634</v>
      </c>
      <c r="AX44" s="69">
        <v>36.250153291359197</v>
      </c>
      <c r="AY44" s="69">
        <v>100.178873903525</v>
      </c>
      <c r="AZ44" s="69">
        <v>72.237709706143804</v>
      </c>
      <c r="BA44" s="69">
        <v>288.92567047604501</v>
      </c>
      <c r="BB44" s="69">
        <v>827.90783696111896</v>
      </c>
      <c r="BC44" s="69">
        <v>572.73028732901003</v>
      </c>
      <c r="BD44" s="69">
        <v>1088.1462647089199</v>
      </c>
      <c r="BE44" s="69">
        <v>134.19696276465999</v>
      </c>
      <c r="BF44" s="69">
        <v>99.882093149714905</v>
      </c>
      <c r="BG44" s="69">
        <v>99.959422343107207</v>
      </c>
      <c r="BH44" s="69">
        <v>7309.8170092294804</v>
      </c>
      <c r="BI44" s="69">
        <v>44.7478594450779</v>
      </c>
      <c r="BJ44" s="69">
        <v>12342.775511072899</v>
      </c>
      <c r="BK44" s="69">
        <v>1657.42767236994</v>
      </c>
      <c r="BL44" s="69">
        <v>427.03723864057997</v>
      </c>
      <c r="BM44" s="69">
        <v>2372.2841827361799</v>
      </c>
      <c r="BN44" s="69">
        <v>2718.3717058276102</v>
      </c>
      <c r="BO44" s="69">
        <v>181.72155823516201</v>
      </c>
      <c r="BP44" s="69">
        <v>2949.9537499948001</v>
      </c>
      <c r="BQ44" s="70">
        <v>0</v>
      </c>
      <c r="BR44" s="71">
        <v>67737.408407419003</v>
      </c>
      <c r="BS44" s="72">
        <v>26.4581864986325</v>
      </c>
      <c r="BT44" s="73">
        <v>0</v>
      </c>
      <c r="BU44" s="73">
        <v>0</v>
      </c>
      <c r="BV44" s="121">
        <v>45725.613931289299</v>
      </c>
      <c r="BW44" s="73">
        <v>32.561884046812402</v>
      </c>
      <c r="BX44" s="74">
        <v>50.256111267209903</v>
      </c>
      <c r="BY44" s="107">
        <v>45834.890113102003</v>
      </c>
      <c r="BZ44" s="75">
        <v>113572.298520521</v>
      </c>
    </row>
    <row r="45" spans="1:78" ht="15" customHeight="1" x14ac:dyDescent="0.3">
      <c r="A45" s="33" t="s">
        <v>63</v>
      </c>
      <c r="B45" s="11" t="s">
        <v>131</v>
      </c>
      <c r="C45" s="68">
        <v>123.38480933813899</v>
      </c>
      <c r="D45" s="69">
        <v>209.342577659727</v>
      </c>
      <c r="E45" s="69">
        <v>15.439272606893701</v>
      </c>
      <c r="F45" s="69">
        <v>10.148407250560499</v>
      </c>
      <c r="G45" s="69">
        <v>2033.50201040407</v>
      </c>
      <c r="H45" s="69">
        <v>5313.6435221472202</v>
      </c>
      <c r="I45" s="69">
        <v>374.94791456724198</v>
      </c>
      <c r="J45" s="69">
        <v>25.2958224321236</v>
      </c>
      <c r="K45" s="69">
        <v>23.144661665326201</v>
      </c>
      <c r="L45" s="69">
        <v>46.631376190264099</v>
      </c>
      <c r="M45" s="69">
        <v>11.226526979112601</v>
      </c>
      <c r="N45" s="69">
        <v>2.2094828092878398</v>
      </c>
      <c r="O45" s="69">
        <v>35.167043784127799</v>
      </c>
      <c r="P45" s="69">
        <v>9.0233636210604402</v>
      </c>
      <c r="Q45" s="69">
        <v>2.90800642027141</v>
      </c>
      <c r="R45" s="69">
        <v>6.0400477084132396</v>
      </c>
      <c r="S45" s="69">
        <v>70.038675623658193</v>
      </c>
      <c r="T45" s="69">
        <v>21.846408828185101</v>
      </c>
      <c r="U45" s="69">
        <v>60.214363204062799</v>
      </c>
      <c r="V45" s="69">
        <v>77.883039067149497</v>
      </c>
      <c r="W45" s="69">
        <v>122.990100386866</v>
      </c>
      <c r="X45" s="69">
        <v>18.581886449930401</v>
      </c>
      <c r="Y45" s="69">
        <v>5.1934899813685904</v>
      </c>
      <c r="Z45" s="69">
        <v>10.055924084706101</v>
      </c>
      <c r="AA45" s="69">
        <v>29.71247411821</v>
      </c>
      <c r="AB45" s="69">
        <v>50.080915848619</v>
      </c>
      <c r="AC45" s="69">
        <v>154.24871013186799</v>
      </c>
      <c r="AD45" s="69">
        <v>2894.8075461293902</v>
      </c>
      <c r="AE45" s="69">
        <v>103.128611954953</v>
      </c>
      <c r="AF45" s="69">
        <v>90.926149606625998</v>
      </c>
      <c r="AG45" s="69">
        <v>16.7032533101378</v>
      </c>
      <c r="AH45" s="69">
        <v>119.41820153252399</v>
      </c>
      <c r="AI45" s="69">
        <v>265.26831952818202</v>
      </c>
      <c r="AJ45" s="69">
        <v>53.186641077213999</v>
      </c>
      <c r="AK45" s="69">
        <v>236.24658899356999</v>
      </c>
      <c r="AL45" s="69">
        <v>28.417986723072801</v>
      </c>
      <c r="AM45" s="69">
        <v>10.5179718570789</v>
      </c>
      <c r="AN45" s="69">
        <v>22.344837747133401</v>
      </c>
      <c r="AO45" s="69">
        <v>4439.3005540649301</v>
      </c>
      <c r="AP45" s="69">
        <v>62909.008135556498</v>
      </c>
      <c r="AQ45" s="69">
        <v>2488.8304320398402</v>
      </c>
      <c r="AR45" s="69">
        <v>407.33319932299798</v>
      </c>
      <c r="AS45" s="69">
        <v>42.123835362063197</v>
      </c>
      <c r="AT45" s="69">
        <v>49.239308168220902</v>
      </c>
      <c r="AU45" s="69">
        <v>2073.58324995564</v>
      </c>
      <c r="AV45" s="69">
        <v>317.01101257658701</v>
      </c>
      <c r="AW45" s="69">
        <v>569.37566362181303</v>
      </c>
      <c r="AX45" s="69">
        <v>22.3508959784556</v>
      </c>
      <c r="AY45" s="69">
        <v>249.862094569486</v>
      </c>
      <c r="AZ45" s="69">
        <v>3883.3722569322399</v>
      </c>
      <c r="BA45" s="69">
        <v>1580.5743752870301</v>
      </c>
      <c r="BB45" s="69">
        <v>1122.11714950892</v>
      </c>
      <c r="BC45" s="69">
        <v>1696.3808397549401</v>
      </c>
      <c r="BD45" s="69">
        <v>433.66461837864699</v>
      </c>
      <c r="BE45" s="69">
        <v>970.21049675270103</v>
      </c>
      <c r="BF45" s="69">
        <v>43.109174436153502</v>
      </c>
      <c r="BG45" s="69">
        <v>299.78840523187603</v>
      </c>
      <c r="BH45" s="69">
        <v>2970.4572762029002</v>
      </c>
      <c r="BI45" s="69">
        <v>22.910826666860402</v>
      </c>
      <c r="BJ45" s="69">
        <v>15777.015598963701</v>
      </c>
      <c r="BK45" s="69">
        <v>1867.69102878589</v>
      </c>
      <c r="BL45" s="69">
        <v>608.19151636987101</v>
      </c>
      <c r="BM45" s="69">
        <v>5153.6111182234999</v>
      </c>
      <c r="BN45" s="69">
        <v>62.041168063963497</v>
      </c>
      <c r="BO45" s="69">
        <v>188.58372970636299</v>
      </c>
      <c r="BP45" s="69">
        <v>410.18624340670698</v>
      </c>
      <c r="BQ45" s="70">
        <v>0</v>
      </c>
      <c r="BR45" s="71">
        <v>123361.791145657</v>
      </c>
      <c r="BS45" s="72">
        <v>3945.1386853741201</v>
      </c>
      <c r="BT45" s="73">
        <v>0</v>
      </c>
      <c r="BU45" s="73">
        <v>0</v>
      </c>
      <c r="BV45" s="121">
        <v>1631.3897956733399</v>
      </c>
      <c r="BW45" s="73">
        <v>617505.53480027104</v>
      </c>
      <c r="BX45" s="74">
        <v>0</v>
      </c>
      <c r="BY45" s="107">
        <v>623082.06328131899</v>
      </c>
      <c r="BZ45" s="75">
        <v>746443.85442697594</v>
      </c>
    </row>
    <row r="46" spans="1:78" ht="15" customHeight="1" x14ac:dyDescent="0.3">
      <c r="A46" s="33" t="s">
        <v>64</v>
      </c>
      <c r="B46" s="11" t="s">
        <v>132</v>
      </c>
      <c r="C46" s="68">
        <v>3478.8545147445702</v>
      </c>
      <c r="D46" s="69">
        <v>2148.0589134975398</v>
      </c>
      <c r="E46" s="69">
        <v>116.24078258374</v>
      </c>
      <c r="F46" s="69">
        <v>291.80901890741302</v>
      </c>
      <c r="G46" s="69">
        <v>2470.4840771091699</v>
      </c>
      <c r="H46" s="69">
        <v>4097.1079588037201</v>
      </c>
      <c r="I46" s="69">
        <v>334.15295012388202</v>
      </c>
      <c r="J46" s="69">
        <v>17861.943585405501</v>
      </c>
      <c r="K46" s="69">
        <v>930.59526036105103</v>
      </c>
      <c r="L46" s="69">
        <v>13168.088408010201</v>
      </c>
      <c r="M46" s="69">
        <v>1354.63296100399</v>
      </c>
      <c r="N46" s="69">
        <v>293.34572373634597</v>
      </c>
      <c r="O46" s="69">
        <v>807.70223658515704</v>
      </c>
      <c r="P46" s="69">
        <v>1022.65081063768</v>
      </c>
      <c r="Q46" s="69">
        <v>993.87029540465096</v>
      </c>
      <c r="R46" s="69">
        <v>918.15231630235996</v>
      </c>
      <c r="S46" s="69">
        <v>3750.9572213155898</v>
      </c>
      <c r="T46" s="69">
        <v>269.29590337228001</v>
      </c>
      <c r="U46" s="69">
        <v>6760.4108809470199</v>
      </c>
      <c r="V46" s="69">
        <v>2142.3809909309998</v>
      </c>
      <c r="W46" s="69">
        <v>2357.8482480746002</v>
      </c>
      <c r="X46" s="69">
        <v>2013.5166260609799</v>
      </c>
      <c r="Y46" s="69">
        <v>504.43140749846299</v>
      </c>
      <c r="Z46" s="69">
        <v>3573.1175991556302</v>
      </c>
      <c r="AA46" s="69">
        <v>2982.45575182834</v>
      </c>
      <c r="AB46" s="69">
        <v>2700.7949128471</v>
      </c>
      <c r="AC46" s="69">
        <v>3241.7191818168899</v>
      </c>
      <c r="AD46" s="69">
        <v>1055.8347337032701</v>
      </c>
      <c r="AE46" s="69">
        <v>2333.09372247598</v>
      </c>
      <c r="AF46" s="69">
        <v>2414.3013158007702</v>
      </c>
      <c r="AG46" s="69">
        <v>1729.2555343727099</v>
      </c>
      <c r="AH46" s="69">
        <v>9540.3848990233491</v>
      </c>
      <c r="AI46" s="69">
        <v>2109.99436455964</v>
      </c>
      <c r="AJ46" s="69">
        <v>670.226211261201</v>
      </c>
      <c r="AK46" s="69">
        <v>297.46569862841199</v>
      </c>
      <c r="AL46" s="69">
        <v>1480.53226400881</v>
      </c>
      <c r="AM46" s="69">
        <v>662.67354079763004</v>
      </c>
      <c r="AN46" s="69">
        <v>810.81134216821795</v>
      </c>
      <c r="AO46" s="69">
        <v>1605.1422517072999</v>
      </c>
      <c r="AP46" s="69">
        <v>3482.0506961034698</v>
      </c>
      <c r="AQ46" s="69">
        <v>20205.6830557793</v>
      </c>
      <c r="AR46" s="69">
        <v>9957.8322913865995</v>
      </c>
      <c r="AS46" s="69">
        <v>350.31551974151603</v>
      </c>
      <c r="AT46" s="69">
        <v>357.62081108686402</v>
      </c>
      <c r="AU46" s="69">
        <v>1564.1648327226301</v>
      </c>
      <c r="AV46" s="69">
        <v>192.99343313698199</v>
      </c>
      <c r="AW46" s="69">
        <v>4668.6562782970004</v>
      </c>
      <c r="AX46" s="69">
        <v>500.951783280271</v>
      </c>
      <c r="AY46" s="69">
        <v>895.91347049489502</v>
      </c>
      <c r="AZ46" s="69">
        <v>4220.9326294166103</v>
      </c>
      <c r="BA46" s="69">
        <v>2844.26740119333</v>
      </c>
      <c r="BB46" s="69">
        <v>1293.6823326215599</v>
      </c>
      <c r="BC46" s="69">
        <v>225.16503868071501</v>
      </c>
      <c r="BD46" s="69">
        <v>1173.8440094556599</v>
      </c>
      <c r="BE46" s="69">
        <v>620.65993395723501</v>
      </c>
      <c r="BF46" s="69">
        <v>808.84082391812399</v>
      </c>
      <c r="BG46" s="69">
        <v>1675.20247964996</v>
      </c>
      <c r="BH46" s="69">
        <v>1794.91071836471</v>
      </c>
      <c r="BI46" s="69">
        <v>399.26324776192899</v>
      </c>
      <c r="BJ46" s="69">
        <v>4517.47774079384</v>
      </c>
      <c r="BK46" s="69">
        <v>1415.80657340634</v>
      </c>
      <c r="BL46" s="69">
        <v>737.990155260704</v>
      </c>
      <c r="BM46" s="69">
        <v>7019.4258423044403</v>
      </c>
      <c r="BN46" s="69">
        <v>5462.9070521554804</v>
      </c>
      <c r="BO46" s="69">
        <v>280.246830149407</v>
      </c>
      <c r="BP46" s="69">
        <v>1101.9536922123</v>
      </c>
      <c r="BQ46" s="70">
        <v>0</v>
      </c>
      <c r="BR46" s="71">
        <v>183063.09308890399</v>
      </c>
      <c r="BS46" s="72">
        <v>18005.438920546701</v>
      </c>
      <c r="BT46" s="73">
        <v>1484.46017150581</v>
      </c>
      <c r="BU46" s="73">
        <v>0</v>
      </c>
      <c r="BV46" s="121">
        <v>177901.42690201499</v>
      </c>
      <c r="BW46" s="73">
        <v>8391.1292725196599</v>
      </c>
      <c r="BX46" s="74">
        <v>2384.5522399837701</v>
      </c>
      <c r="BY46" s="107">
        <v>208167.00750657101</v>
      </c>
      <c r="BZ46" s="75">
        <v>391230.100595475</v>
      </c>
    </row>
    <row r="47" spans="1:78" ht="15" customHeight="1" x14ac:dyDescent="0.3">
      <c r="A47" s="33" t="s">
        <v>65</v>
      </c>
      <c r="B47" s="11" t="s">
        <v>133</v>
      </c>
      <c r="C47" s="68">
        <v>9476.2670185124898</v>
      </c>
      <c r="D47" s="69">
        <v>1403.7061898690899</v>
      </c>
      <c r="E47" s="69">
        <v>1074.91721258746</v>
      </c>
      <c r="F47" s="69">
        <v>1208.7562299671799</v>
      </c>
      <c r="G47" s="69">
        <v>16141.4712567059</v>
      </c>
      <c r="H47" s="69">
        <v>6646.5617316442404</v>
      </c>
      <c r="I47" s="69">
        <v>985.15248756069195</v>
      </c>
      <c r="J47" s="69">
        <v>20982.116984954399</v>
      </c>
      <c r="K47" s="69">
        <v>5107.6933094363703</v>
      </c>
      <c r="L47" s="69">
        <v>19709.076784723198</v>
      </c>
      <c r="M47" s="69">
        <v>4729.3265087567497</v>
      </c>
      <c r="N47" s="69">
        <v>248.480100410099</v>
      </c>
      <c r="O47" s="69">
        <v>1215.37061882902</v>
      </c>
      <c r="P47" s="69">
        <v>971.18891136139405</v>
      </c>
      <c r="Q47" s="69">
        <v>1021.53145329015</v>
      </c>
      <c r="R47" s="69">
        <v>3359.1792165350698</v>
      </c>
      <c r="S47" s="69">
        <v>9733.3388298827704</v>
      </c>
      <c r="T47" s="69">
        <v>366.63218217045102</v>
      </c>
      <c r="U47" s="69">
        <v>4933.6860699107901</v>
      </c>
      <c r="V47" s="69">
        <v>2856.3228178896702</v>
      </c>
      <c r="W47" s="69">
        <v>11619.4413615594</v>
      </c>
      <c r="X47" s="69">
        <v>3285.1267490075802</v>
      </c>
      <c r="Y47" s="69">
        <v>2055.9589508108002</v>
      </c>
      <c r="Z47" s="69">
        <v>4380.17441354331</v>
      </c>
      <c r="AA47" s="69">
        <v>4318.8836124272902</v>
      </c>
      <c r="AB47" s="69">
        <v>4346.2816936910604</v>
      </c>
      <c r="AC47" s="69">
        <v>7322.7105010662999</v>
      </c>
      <c r="AD47" s="69">
        <v>1028.5574903035399</v>
      </c>
      <c r="AE47" s="69">
        <v>3874.7010694749501</v>
      </c>
      <c r="AF47" s="69">
        <v>1571.15996890671</v>
      </c>
      <c r="AG47" s="69">
        <v>1916.5144580879701</v>
      </c>
      <c r="AH47" s="69">
        <v>4003.2769309341602</v>
      </c>
      <c r="AI47" s="69">
        <v>4586.6223240322597</v>
      </c>
      <c r="AJ47" s="69">
        <v>2574.3651615212598</v>
      </c>
      <c r="AK47" s="69">
        <v>835.93874348912198</v>
      </c>
      <c r="AL47" s="69">
        <v>1910.57751961701</v>
      </c>
      <c r="AM47" s="69">
        <v>229.10376900354601</v>
      </c>
      <c r="AN47" s="69">
        <v>4743.5747671601603</v>
      </c>
      <c r="AO47" s="69">
        <v>554.27542857389994</v>
      </c>
      <c r="AP47" s="69">
        <v>2185.1709156591701</v>
      </c>
      <c r="AQ47" s="69">
        <v>67786.378264362604</v>
      </c>
      <c r="AR47" s="69">
        <v>60648.219424579103</v>
      </c>
      <c r="AS47" s="69">
        <v>3399.7276887246599</v>
      </c>
      <c r="AT47" s="69">
        <v>278.22080413496201</v>
      </c>
      <c r="AU47" s="69">
        <v>9038.9108672728707</v>
      </c>
      <c r="AV47" s="69">
        <v>102.765628266498</v>
      </c>
      <c r="AW47" s="69">
        <v>1285.6995645562699</v>
      </c>
      <c r="AX47" s="69">
        <v>424.59412714369199</v>
      </c>
      <c r="AY47" s="69">
        <v>518.262568940748</v>
      </c>
      <c r="AZ47" s="69">
        <v>590.11690742913197</v>
      </c>
      <c r="BA47" s="69">
        <v>1249.68578876742</v>
      </c>
      <c r="BB47" s="69">
        <v>2256.9027473348101</v>
      </c>
      <c r="BC47" s="69">
        <v>206.39761465241301</v>
      </c>
      <c r="BD47" s="69">
        <v>1419.8407440747301</v>
      </c>
      <c r="BE47" s="69">
        <v>1582.67610575309</v>
      </c>
      <c r="BF47" s="69">
        <v>645.62592440124502</v>
      </c>
      <c r="BG47" s="69">
        <v>766.43072092524403</v>
      </c>
      <c r="BH47" s="69">
        <v>1197.3899727221999</v>
      </c>
      <c r="BI47" s="69">
        <v>177.93325301625501</v>
      </c>
      <c r="BJ47" s="69">
        <v>3266.6926745002302</v>
      </c>
      <c r="BK47" s="69">
        <v>1697.5106922689999</v>
      </c>
      <c r="BL47" s="69">
        <v>2070.6870365537102</v>
      </c>
      <c r="BM47" s="69">
        <v>1834.3112011002299</v>
      </c>
      <c r="BN47" s="69">
        <v>43.150666969360202</v>
      </c>
      <c r="BO47" s="69">
        <v>355.30840050743501</v>
      </c>
      <c r="BP47" s="69">
        <v>2998.93252625589</v>
      </c>
      <c r="BQ47" s="70">
        <v>0</v>
      </c>
      <c r="BR47" s="71">
        <v>345355.563659081</v>
      </c>
      <c r="BS47" s="72">
        <v>12356.9205825103</v>
      </c>
      <c r="BT47" s="73">
        <v>0</v>
      </c>
      <c r="BU47" s="73">
        <v>0</v>
      </c>
      <c r="BV47" s="121">
        <v>82305.068356384305</v>
      </c>
      <c r="BW47" s="73">
        <v>12.1043939233078</v>
      </c>
      <c r="BX47" s="74">
        <v>-4.0960315664717202</v>
      </c>
      <c r="BY47" s="107">
        <v>94669.997301251395</v>
      </c>
      <c r="BZ47" s="75">
        <v>440025.56096033199</v>
      </c>
    </row>
    <row r="48" spans="1:78" ht="15" customHeight="1" x14ac:dyDescent="0.3">
      <c r="A48" s="33" t="s">
        <v>66</v>
      </c>
      <c r="B48" s="11" t="s">
        <v>134</v>
      </c>
      <c r="C48" s="68">
        <v>794.36533853176502</v>
      </c>
      <c r="D48" s="69">
        <v>111.514383335391</v>
      </c>
      <c r="E48" s="69">
        <v>85.221313086539595</v>
      </c>
      <c r="F48" s="69">
        <v>100.482208764554</v>
      </c>
      <c r="G48" s="69">
        <v>1303.5977471864201</v>
      </c>
      <c r="H48" s="69">
        <v>441.90546587367498</v>
      </c>
      <c r="I48" s="69">
        <v>67.3427972038359</v>
      </c>
      <c r="J48" s="69">
        <v>1731.41422855828</v>
      </c>
      <c r="K48" s="69">
        <v>415.271349784515</v>
      </c>
      <c r="L48" s="69">
        <v>1606.41333622411</v>
      </c>
      <c r="M48" s="69">
        <v>331.99382517951199</v>
      </c>
      <c r="N48" s="69">
        <v>17.6290233597107</v>
      </c>
      <c r="O48" s="69">
        <v>102.806733954072</v>
      </c>
      <c r="P48" s="69">
        <v>64.967555258473496</v>
      </c>
      <c r="Q48" s="69">
        <v>78.704031323352694</v>
      </c>
      <c r="R48" s="69">
        <v>145.89801137864001</v>
      </c>
      <c r="S48" s="69">
        <v>811.82734978056806</v>
      </c>
      <c r="T48" s="69">
        <v>30.3380627226</v>
      </c>
      <c r="U48" s="69">
        <v>406.48642476510901</v>
      </c>
      <c r="V48" s="69">
        <v>223.74376770144099</v>
      </c>
      <c r="W48" s="69">
        <v>954.98065415352505</v>
      </c>
      <c r="X48" s="69">
        <v>255.012459882819</v>
      </c>
      <c r="Y48" s="69">
        <v>157.15584768628099</v>
      </c>
      <c r="Z48" s="69">
        <v>334.16991511841502</v>
      </c>
      <c r="AA48" s="69">
        <v>333.24644907520099</v>
      </c>
      <c r="AB48" s="69">
        <v>320.36256303514602</v>
      </c>
      <c r="AC48" s="69">
        <v>595.5002155052</v>
      </c>
      <c r="AD48" s="69">
        <v>85.5635537725463</v>
      </c>
      <c r="AE48" s="69">
        <v>283.23929096314299</v>
      </c>
      <c r="AF48" s="69">
        <v>117.409701483693</v>
      </c>
      <c r="AG48" s="69">
        <v>147.39095658829601</v>
      </c>
      <c r="AH48" s="69">
        <v>282.42075032353898</v>
      </c>
      <c r="AI48" s="69">
        <v>344.56278755304697</v>
      </c>
      <c r="AJ48" s="69">
        <v>186.20876471970701</v>
      </c>
      <c r="AK48" s="69">
        <v>68.117495250398207</v>
      </c>
      <c r="AL48" s="69">
        <v>156.05949360746601</v>
      </c>
      <c r="AM48" s="69">
        <v>10.592553794717499</v>
      </c>
      <c r="AN48" s="69">
        <v>380.41266578526302</v>
      </c>
      <c r="AO48" s="69">
        <v>44.802197260461703</v>
      </c>
      <c r="AP48" s="69">
        <v>162.84446851462599</v>
      </c>
      <c r="AQ48" s="69">
        <v>5592.9835455062403</v>
      </c>
      <c r="AR48" s="69">
        <v>5110.9566062009799</v>
      </c>
      <c r="AS48" s="69">
        <v>277.222712786643</v>
      </c>
      <c r="AT48" s="69">
        <v>7.0849932370312896</v>
      </c>
      <c r="AU48" s="69">
        <v>742.60654496062205</v>
      </c>
      <c r="AV48" s="69">
        <v>6.8969710811605003</v>
      </c>
      <c r="AW48" s="69">
        <v>110.171472754466</v>
      </c>
      <c r="AX48" s="69">
        <v>29.5214807245599</v>
      </c>
      <c r="AY48" s="69">
        <v>15.536275932554799</v>
      </c>
      <c r="AZ48" s="69">
        <v>25.944774006427402</v>
      </c>
      <c r="BA48" s="69">
        <v>47.212842209675102</v>
      </c>
      <c r="BB48" s="69">
        <v>67.289282341250697</v>
      </c>
      <c r="BC48" s="69">
        <v>9.9895111034042792</v>
      </c>
      <c r="BD48" s="69">
        <v>84.648948826805807</v>
      </c>
      <c r="BE48" s="69">
        <v>42.200578934324902</v>
      </c>
      <c r="BF48" s="69">
        <v>16.357544668212</v>
      </c>
      <c r="BG48" s="69">
        <v>51.418965211016598</v>
      </c>
      <c r="BH48" s="69">
        <v>69.706118985330093</v>
      </c>
      <c r="BI48" s="69">
        <v>9.6531841767454001</v>
      </c>
      <c r="BJ48" s="69">
        <v>78.216471039338202</v>
      </c>
      <c r="BK48" s="69">
        <v>12.2334105599856</v>
      </c>
      <c r="BL48" s="69">
        <v>23.606129910613401</v>
      </c>
      <c r="BM48" s="69">
        <v>37.774276905696198</v>
      </c>
      <c r="BN48" s="69">
        <v>12.2714376974741</v>
      </c>
      <c r="BO48" s="69">
        <v>24.424997637633101</v>
      </c>
      <c r="BP48" s="69">
        <v>29.770417376516502</v>
      </c>
      <c r="BQ48" s="70">
        <v>0</v>
      </c>
      <c r="BR48" s="71">
        <v>26627.675232820799</v>
      </c>
      <c r="BS48" s="72">
        <v>952.86767179451499</v>
      </c>
      <c r="BT48" s="73">
        <v>0</v>
      </c>
      <c r="BU48" s="73">
        <v>0</v>
      </c>
      <c r="BV48" s="121">
        <v>709.03048548470895</v>
      </c>
      <c r="BW48" s="73">
        <v>0</v>
      </c>
      <c r="BX48" s="74">
        <v>0</v>
      </c>
      <c r="BY48" s="107">
        <v>1661.89815727922</v>
      </c>
      <c r="BZ48" s="75">
        <v>28289.573390099999</v>
      </c>
    </row>
    <row r="49" spans="1:78" ht="15" customHeight="1" x14ac:dyDescent="0.3">
      <c r="A49" s="33" t="s">
        <v>67</v>
      </c>
      <c r="B49" s="11" t="s">
        <v>135</v>
      </c>
      <c r="C49" s="68">
        <v>2.0284786101857901</v>
      </c>
      <c r="D49" s="69">
        <v>1.4983882523939399E-2</v>
      </c>
      <c r="E49" s="69">
        <v>4.0144189732003097</v>
      </c>
      <c r="F49" s="69">
        <v>2.0588613003303902</v>
      </c>
      <c r="G49" s="69">
        <v>2584.7845084850301</v>
      </c>
      <c r="H49" s="69">
        <v>24.299752585633101</v>
      </c>
      <c r="I49" s="69">
        <v>31.061591415301798</v>
      </c>
      <c r="J49" s="69">
        <v>362.18768669441198</v>
      </c>
      <c r="K49" s="69">
        <v>6.52908552239243</v>
      </c>
      <c r="L49" s="69">
        <v>278.30326786786298</v>
      </c>
      <c r="M49" s="69">
        <v>51.156742844188997</v>
      </c>
      <c r="N49" s="69">
        <v>28.0651741677773</v>
      </c>
      <c r="O49" s="69">
        <v>28.659963238198799</v>
      </c>
      <c r="P49" s="69">
        <v>27.788476664917798</v>
      </c>
      <c r="Q49" s="69">
        <v>30.1959933125103</v>
      </c>
      <c r="R49" s="69">
        <v>72.139792035278603</v>
      </c>
      <c r="S49" s="69">
        <v>123.561460105574</v>
      </c>
      <c r="T49" s="69">
        <v>11.1032324511912</v>
      </c>
      <c r="U49" s="69">
        <v>58.501124168756299</v>
      </c>
      <c r="V49" s="69">
        <v>15.7563992300917</v>
      </c>
      <c r="W49" s="69">
        <v>410.60126888216701</v>
      </c>
      <c r="X49" s="69">
        <v>317.28906990138699</v>
      </c>
      <c r="Y49" s="69">
        <v>12.3455333764279</v>
      </c>
      <c r="Z49" s="69">
        <v>143.62348151556401</v>
      </c>
      <c r="AA49" s="69">
        <v>50.070043182406401</v>
      </c>
      <c r="AB49" s="69">
        <v>123.555499016987</v>
      </c>
      <c r="AC49" s="69">
        <v>96.773182714975405</v>
      </c>
      <c r="AD49" s="69">
        <v>15.0562422570981</v>
      </c>
      <c r="AE49" s="69">
        <v>53.643333476835799</v>
      </c>
      <c r="AF49" s="69">
        <v>174.40216824531501</v>
      </c>
      <c r="AG49" s="69">
        <v>162.307614798321</v>
      </c>
      <c r="AH49" s="69">
        <v>204.93431532664101</v>
      </c>
      <c r="AI49" s="69">
        <v>152.21890933133801</v>
      </c>
      <c r="AJ49" s="69">
        <v>81.423704292269704</v>
      </c>
      <c r="AK49" s="69">
        <v>21.092799478607301</v>
      </c>
      <c r="AL49" s="69">
        <v>38.549604445951601</v>
      </c>
      <c r="AM49" s="69">
        <v>58.109883194126198</v>
      </c>
      <c r="AN49" s="69">
        <v>413.318216653886</v>
      </c>
      <c r="AO49" s="69">
        <v>52.759426504192596</v>
      </c>
      <c r="AP49" s="69">
        <v>909.01233538784697</v>
      </c>
      <c r="AQ49" s="69">
        <v>3758.71333045862</v>
      </c>
      <c r="AR49" s="69">
        <v>202.95349589597001</v>
      </c>
      <c r="AS49" s="69">
        <v>129.21130684843499</v>
      </c>
      <c r="AT49" s="69">
        <v>9.1725311026037897</v>
      </c>
      <c r="AU49" s="69">
        <v>690.30809855319796</v>
      </c>
      <c r="AV49" s="69">
        <v>53.066546336775197</v>
      </c>
      <c r="AW49" s="69">
        <v>55.178768144361001</v>
      </c>
      <c r="AX49" s="69">
        <v>12.3373585872093</v>
      </c>
      <c r="AY49" s="69">
        <v>112.898623662505</v>
      </c>
      <c r="AZ49" s="69">
        <v>137.95367896103801</v>
      </c>
      <c r="BA49" s="69">
        <v>888.35070411045103</v>
      </c>
      <c r="BB49" s="69">
        <v>1689.99181656105</v>
      </c>
      <c r="BC49" s="69">
        <v>54.866292558031503</v>
      </c>
      <c r="BD49" s="69">
        <v>756.500538848009</v>
      </c>
      <c r="BE49" s="69">
        <v>288.82135866997299</v>
      </c>
      <c r="BF49" s="69">
        <v>601.14459237215999</v>
      </c>
      <c r="BG49" s="69">
        <v>104.297451032868</v>
      </c>
      <c r="BH49" s="69">
        <v>324.04124867315602</v>
      </c>
      <c r="BI49" s="69">
        <v>24.5937173956926</v>
      </c>
      <c r="BJ49" s="69">
        <v>1075.4611184431999</v>
      </c>
      <c r="BK49" s="69">
        <v>210.076137679493</v>
      </c>
      <c r="BL49" s="69">
        <v>1848.1578969162399</v>
      </c>
      <c r="BM49" s="69">
        <v>529.95444336800597</v>
      </c>
      <c r="BN49" s="69">
        <v>5.4088174296746399</v>
      </c>
      <c r="BO49" s="69">
        <v>90.363988986889893</v>
      </c>
      <c r="BP49" s="69">
        <v>5579.8230563396601</v>
      </c>
      <c r="BQ49" s="70">
        <v>0</v>
      </c>
      <c r="BR49" s="71">
        <v>26466.944543473001</v>
      </c>
      <c r="BS49" s="72">
        <v>9127.1381684407097</v>
      </c>
      <c r="BT49" s="73">
        <v>0</v>
      </c>
      <c r="BU49" s="73">
        <v>0</v>
      </c>
      <c r="BV49" s="121">
        <v>6350.1930220823497</v>
      </c>
      <c r="BW49" s="73">
        <v>0</v>
      </c>
      <c r="BX49" s="74">
        <v>0</v>
      </c>
      <c r="BY49" s="107">
        <v>15477.3311905231</v>
      </c>
      <c r="BZ49" s="75">
        <v>41944.275733996001</v>
      </c>
    </row>
    <row r="50" spans="1:78" ht="15" customHeight="1" x14ac:dyDescent="0.3">
      <c r="A50" s="33" t="s">
        <v>68</v>
      </c>
      <c r="B50" s="11" t="s">
        <v>136</v>
      </c>
      <c r="C50" s="68">
        <v>4367.4883813202796</v>
      </c>
      <c r="D50" s="69">
        <v>98.302221282267496</v>
      </c>
      <c r="E50" s="69">
        <v>440.14627112251799</v>
      </c>
      <c r="F50" s="69">
        <v>70.8532178974895</v>
      </c>
      <c r="G50" s="69">
        <v>5309.5532880057999</v>
      </c>
      <c r="H50" s="69">
        <v>6751.3952280539997</v>
      </c>
      <c r="I50" s="69">
        <v>691.680216984048</v>
      </c>
      <c r="J50" s="69">
        <v>5283.9463521522302</v>
      </c>
      <c r="K50" s="69">
        <v>4731.2643992564699</v>
      </c>
      <c r="L50" s="69">
        <v>5464.8338157906301</v>
      </c>
      <c r="M50" s="69">
        <v>3152.12979697226</v>
      </c>
      <c r="N50" s="69">
        <v>55.705893691011902</v>
      </c>
      <c r="O50" s="69">
        <v>269.481763729016</v>
      </c>
      <c r="P50" s="69">
        <v>169.34412940546301</v>
      </c>
      <c r="Q50" s="69">
        <v>201.09958560008499</v>
      </c>
      <c r="R50" s="69">
        <v>577.77397271539996</v>
      </c>
      <c r="S50" s="69">
        <v>2786.1494764583399</v>
      </c>
      <c r="T50" s="69">
        <v>222.63377574876</v>
      </c>
      <c r="U50" s="69">
        <v>1414.8947850874099</v>
      </c>
      <c r="V50" s="69">
        <v>2637.3892039472498</v>
      </c>
      <c r="W50" s="69">
        <v>2205.9582831190601</v>
      </c>
      <c r="X50" s="69">
        <v>1330.4245890462</v>
      </c>
      <c r="Y50" s="69">
        <v>554.71422074408599</v>
      </c>
      <c r="Z50" s="69">
        <v>988.65744480442697</v>
      </c>
      <c r="AA50" s="69">
        <v>426.41578609263701</v>
      </c>
      <c r="AB50" s="69">
        <v>593.54504330865905</v>
      </c>
      <c r="AC50" s="69">
        <v>4698.3268207535002</v>
      </c>
      <c r="AD50" s="69">
        <v>252.37802091114401</v>
      </c>
      <c r="AE50" s="69">
        <v>1515.2308246487401</v>
      </c>
      <c r="AF50" s="69">
        <v>883.10975636587102</v>
      </c>
      <c r="AG50" s="69">
        <v>1328.4439795496501</v>
      </c>
      <c r="AH50" s="69">
        <v>566.24099867845302</v>
      </c>
      <c r="AI50" s="69">
        <v>3679.1396231777699</v>
      </c>
      <c r="AJ50" s="69">
        <v>942.25957645465905</v>
      </c>
      <c r="AK50" s="69">
        <v>328.05897922652701</v>
      </c>
      <c r="AL50" s="69">
        <v>592.34579919752798</v>
      </c>
      <c r="AM50" s="69">
        <v>286.84810830160399</v>
      </c>
      <c r="AN50" s="69">
        <v>606.35328748140296</v>
      </c>
      <c r="AO50" s="69">
        <v>39.750539383185597</v>
      </c>
      <c r="AP50" s="69">
        <v>811.26783429372904</v>
      </c>
      <c r="AQ50" s="69">
        <v>27709.842079052301</v>
      </c>
      <c r="AR50" s="69">
        <v>13081.532923823601</v>
      </c>
      <c r="AS50" s="69">
        <v>5108.9780391986396</v>
      </c>
      <c r="AT50" s="69">
        <v>6538.8992757365304</v>
      </c>
      <c r="AU50" s="69">
        <v>8676.4500698047104</v>
      </c>
      <c r="AV50" s="69">
        <v>86.610118645474103</v>
      </c>
      <c r="AW50" s="69">
        <v>371.35702877400797</v>
      </c>
      <c r="AX50" s="69">
        <v>68.161668100034504</v>
      </c>
      <c r="AY50" s="69">
        <v>104.777504623179</v>
      </c>
      <c r="AZ50" s="69">
        <v>645.80631270967206</v>
      </c>
      <c r="BA50" s="69">
        <v>357.068605678751</v>
      </c>
      <c r="BB50" s="69">
        <v>4387.5534150086196</v>
      </c>
      <c r="BC50" s="69">
        <v>238.34979240019399</v>
      </c>
      <c r="BD50" s="69">
        <v>942.66350845588397</v>
      </c>
      <c r="BE50" s="69">
        <v>345.54745280333401</v>
      </c>
      <c r="BF50" s="69">
        <v>483.95442399162903</v>
      </c>
      <c r="BG50" s="69">
        <v>367.53512033749399</v>
      </c>
      <c r="BH50" s="69">
        <v>1236.2405266779699</v>
      </c>
      <c r="BI50" s="69">
        <v>119.422795009607</v>
      </c>
      <c r="BJ50" s="69">
        <v>4296.8595621876002</v>
      </c>
      <c r="BK50" s="69">
        <v>409.20824229571002</v>
      </c>
      <c r="BL50" s="69">
        <v>722.09624734085799</v>
      </c>
      <c r="BM50" s="69">
        <v>648.027693225956</v>
      </c>
      <c r="BN50" s="69">
        <v>403.60247657178797</v>
      </c>
      <c r="BO50" s="69">
        <v>111.385048867134</v>
      </c>
      <c r="BP50" s="69">
        <v>1968.2016314699699</v>
      </c>
      <c r="BQ50" s="70">
        <v>0</v>
      </c>
      <c r="BR50" s="71">
        <v>146755.66685355001</v>
      </c>
      <c r="BS50" s="72">
        <v>18704.614903626301</v>
      </c>
      <c r="BT50" s="73">
        <v>0</v>
      </c>
      <c r="BU50" s="73">
        <v>0</v>
      </c>
      <c r="BV50" s="121">
        <v>39007.605068380399</v>
      </c>
      <c r="BW50" s="73">
        <v>51.404741475654497</v>
      </c>
      <c r="BX50" s="74">
        <v>1.2158683692525101</v>
      </c>
      <c r="BY50" s="107">
        <v>57764.840581851597</v>
      </c>
      <c r="BZ50" s="75">
        <v>204520.50743540199</v>
      </c>
    </row>
    <row r="51" spans="1:78" ht="15" customHeight="1" x14ac:dyDescent="0.3">
      <c r="A51" s="33" t="s">
        <v>69</v>
      </c>
      <c r="B51" s="11" t="s">
        <v>137</v>
      </c>
      <c r="C51" s="68">
        <v>5.8171393332509798</v>
      </c>
      <c r="D51" s="69">
        <v>0.97299827530479099</v>
      </c>
      <c r="E51" s="69">
        <v>4.8380581824697897</v>
      </c>
      <c r="F51" s="69">
        <v>18.387270889280298</v>
      </c>
      <c r="G51" s="69">
        <v>453.60293294430102</v>
      </c>
      <c r="H51" s="69">
        <v>253.42247333537</v>
      </c>
      <c r="I51" s="69">
        <v>27.0891126937086</v>
      </c>
      <c r="J51" s="69">
        <v>581.87920661183898</v>
      </c>
      <c r="K51" s="69">
        <v>75.575620277910502</v>
      </c>
      <c r="L51" s="69">
        <v>517.69303696896304</v>
      </c>
      <c r="M51" s="69">
        <v>89.949302379795299</v>
      </c>
      <c r="N51" s="69">
        <v>59.956582382470302</v>
      </c>
      <c r="O51" s="69">
        <v>44.688599031934601</v>
      </c>
      <c r="P51" s="69">
        <v>34.098887460777398</v>
      </c>
      <c r="Q51" s="69">
        <v>36.816616761042503</v>
      </c>
      <c r="R51" s="69">
        <v>21.327586977190499</v>
      </c>
      <c r="S51" s="69">
        <v>166.509704530238</v>
      </c>
      <c r="T51" s="69">
        <v>11.6330149720264</v>
      </c>
      <c r="U51" s="69">
        <v>54.305490744169099</v>
      </c>
      <c r="V51" s="69">
        <v>47.625677341817401</v>
      </c>
      <c r="W51" s="69">
        <v>272.81391379488798</v>
      </c>
      <c r="X51" s="69">
        <v>250.48181957263799</v>
      </c>
      <c r="Y51" s="69">
        <v>60.0386336263754</v>
      </c>
      <c r="Z51" s="69">
        <v>347.24758882202798</v>
      </c>
      <c r="AA51" s="69">
        <v>187.91688555213099</v>
      </c>
      <c r="AB51" s="69">
        <v>152.951544971559</v>
      </c>
      <c r="AC51" s="69">
        <v>322.16920240344001</v>
      </c>
      <c r="AD51" s="69">
        <v>73.497542061808701</v>
      </c>
      <c r="AE51" s="69">
        <v>282.49453765585002</v>
      </c>
      <c r="AF51" s="69">
        <v>189.617783420633</v>
      </c>
      <c r="AG51" s="69">
        <v>195.38466425048901</v>
      </c>
      <c r="AH51" s="69">
        <v>530.21342268254296</v>
      </c>
      <c r="AI51" s="69">
        <v>190.50273336879599</v>
      </c>
      <c r="AJ51" s="69">
        <v>130.622818519481</v>
      </c>
      <c r="AK51" s="69">
        <v>55.1287446043142</v>
      </c>
      <c r="AL51" s="69">
        <v>194.48251169022399</v>
      </c>
      <c r="AM51" s="69">
        <v>93.796575024978196</v>
      </c>
      <c r="AN51" s="69">
        <v>277.83116905623802</v>
      </c>
      <c r="AO51" s="69">
        <v>25.398827226908001</v>
      </c>
      <c r="AP51" s="69">
        <v>1547.1924286706301</v>
      </c>
      <c r="AQ51" s="69">
        <v>5702.0499517715398</v>
      </c>
      <c r="AR51" s="69">
        <v>322.06002497273602</v>
      </c>
      <c r="AS51" s="69">
        <v>8.7658906994650998</v>
      </c>
      <c r="AT51" s="69">
        <v>73.514500864418395</v>
      </c>
      <c r="AU51" s="69">
        <v>374.42332913894802</v>
      </c>
      <c r="AV51" s="69">
        <v>0.64034254735061003</v>
      </c>
      <c r="AW51" s="69">
        <v>47.308840053038097</v>
      </c>
      <c r="AX51" s="69">
        <v>82.274732015969605</v>
      </c>
      <c r="AY51" s="69">
        <v>195.54736184163599</v>
      </c>
      <c r="AZ51" s="69">
        <v>129.86094518098</v>
      </c>
      <c r="BA51" s="69">
        <v>1160.62622281821</v>
      </c>
      <c r="BB51" s="69">
        <v>1267.10595076134</v>
      </c>
      <c r="BC51" s="69">
        <v>95.924382611403004</v>
      </c>
      <c r="BD51" s="69">
        <v>523.29642749819595</v>
      </c>
      <c r="BE51" s="69">
        <v>474.20161509791899</v>
      </c>
      <c r="BF51" s="69">
        <v>346.06265539190701</v>
      </c>
      <c r="BG51" s="69">
        <v>276.22505873586402</v>
      </c>
      <c r="BH51" s="69">
        <v>299.910985543067</v>
      </c>
      <c r="BI51" s="69">
        <v>71.719666216362199</v>
      </c>
      <c r="BJ51" s="69">
        <v>2504.9162792667798</v>
      </c>
      <c r="BK51" s="69">
        <v>246.82685260631399</v>
      </c>
      <c r="BL51" s="69">
        <v>558.95232306648495</v>
      </c>
      <c r="BM51" s="69">
        <v>574.49759597277</v>
      </c>
      <c r="BN51" s="69">
        <v>1.69459639629626</v>
      </c>
      <c r="BO51" s="69">
        <v>203.33416761578499</v>
      </c>
      <c r="BP51" s="69">
        <v>8355.4522800656396</v>
      </c>
      <c r="BQ51" s="70">
        <v>0</v>
      </c>
      <c r="BR51" s="71">
        <v>31783.165637820199</v>
      </c>
      <c r="BS51" s="72">
        <v>4929.1458220095101</v>
      </c>
      <c r="BT51" s="73">
        <v>0</v>
      </c>
      <c r="BU51" s="73">
        <v>0</v>
      </c>
      <c r="BV51" s="121">
        <v>6692.39784537785</v>
      </c>
      <c r="BW51" s="73">
        <v>0</v>
      </c>
      <c r="BX51" s="74">
        <v>0</v>
      </c>
      <c r="BY51" s="107">
        <v>11621.543667387399</v>
      </c>
      <c r="BZ51" s="75">
        <v>43404.709305207602</v>
      </c>
    </row>
    <row r="52" spans="1:78" ht="15" customHeight="1" x14ac:dyDescent="0.3">
      <c r="A52" s="33" t="s">
        <v>70</v>
      </c>
      <c r="B52" s="11" t="s">
        <v>138</v>
      </c>
      <c r="C52" s="68">
        <v>11.8214679483313</v>
      </c>
      <c r="D52" s="69">
        <v>1.55735977606833</v>
      </c>
      <c r="E52" s="69">
        <v>3.8731761303977699</v>
      </c>
      <c r="F52" s="69">
        <v>4.8797772016041598</v>
      </c>
      <c r="G52" s="69">
        <v>513.28302427986102</v>
      </c>
      <c r="H52" s="69">
        <v>60.375300133019898</v>
      </c>
      <c r="I52" s="69">
        <v>17.1560837967426</v>
      </c>
      <c r="J52" s="69">
        <v>13.064682858892001</v>
      </c>
      <c r="K52" s="69">
        <v>12.294102586109</v>
      </c>
      <c r="L52" s="69">
        <v>245.65613308009401</v>
      </c>
      <c r="M52" s="69">
        <v>8.0481234167270905</v>
      </c>
      <c r="N52" s="69">
        <v>1.29156421663677</v>
      </c>
      <c r="O52" s="69">
        <v>16.643667749700299</v>
      </c>
      <c r="P52" s="69">
        <v>6.1956637573790001</v>
      </c>
      <c r="Q52" s="69">
        <v>1.4144954938893499</v>
      </c>
      <c r="R52" s="69">
        <v>3.6399627585298102</v>
      </c>
      <c r="S52" s="69">
        <v>21.8149562846788</v>
      </c>
      <c r="T52" s="69">
        <v>23.8864176430424</v>
      </c>
      <c r="U52" s="69">
        <v>11.6223073573282</v>
      </c>
      <c r="V52" s="69">
        <v>8.3677232838712605</v>
      </c>
      <c r="W52" s="69">
        <v>212.80538776666199</v>
      </c>
      <c r="X52" s="69">
        <v>191.27230750928601</v>
      </c>
      <c r="Y52" s="69">
        <v>3.6628428345185302</v>
      </c>
      <c r="Z52" s="69">
        <v>400.48111392040499</v>
      </c>
      <c r="AA52" s="69">
        <v>33.948558668573703</v>
      </c>
      <c r="AB52" s="69">
        <v>8.3401295261833006</v>
      </c>
      <c r="AC52" s="69">
        <v>53.0209718497917</v>
      </c>
      <c r="AD52" s="69">
        <v>95.5799562896363</v>
      </c>
      <c r="AE52" s="69">
        <v>60.887929259552202</v>
      </c>
      <c r="AF52" s="69">
        <v>10.8088906397256</v>
      </c>
      <c r="AG52" s="69">
        <v>4.4828020973531801</v>
      </c>
      <c r="AH52" s="69">
        <v>180.69832071664499</v>
      </c>
      <c r="AI52" s="69">
        <v>456.47627568245099</v>
      </c>
      <c r="AJ52" s="69">
        <v>28.9558087579932</v>
      </c>
      <c r="AK52" s="69">
        <v>9.3561656294675704</v>
      </c>
      <c r="AL52" s="69">
        <v>5.7928456596726798</v>
      </c>
      <c r="AM52" s="69">
        <v>111.59697944753999</v>
      </c>
      <c r="AN52" s="69">
        <v>353.28389577142599</v>
      </c>
      <c r="AO52" s="69">
        <v>31.279931229755899</v>
      </c>
      <c r="AP52" s="69">
        <v>46.480476326938401</v>
      </c>
      <c r="AQ52" s="69">
        <v>1656.9868451280099</v>
      </c>
      <c r="AR52" s="69">
        <v>87.141504906794495</v>
      </c>
      <c r="AS52" s="69">
        <v>24.254861861159601</v>
      </c>
      <c r="AT52" s="69">
        <v>803.842622149097</v>
      </c>
      <c r="AU52" s="69">
        <v>113.501896778382</v>
      </c>
      <c r="AV52" s="69">
        <v>382.933185094306</v>
      </c>
      <c r="AW52" s="69">
        <v>53.315716207904799</v>
      </c>
      <c r="AX52" s="69">
        <v>10.8038249383288</v>
      </c>
      <c r="AY52" s="69">
        <v>921.93688600269502</v>
      </c>
      <c r="AZ52" s="69">
        <v>118.95873676654099</v>
      </c>
      <c r="BA52" s="69">
        <v>128.585567692469</v>
      </c>
      <c r="BB52" s="69">
        <v>3473.1386995834901</v>
      </c>
      <c r="BC52" s="69">
        <v>110.810357986463</v>
      </c>
      <c r="BD52" s="69">
        <v>2095.07560397205</v>
      </c>
      <c r="BE52" s="69">
        <v>22.204589543917599</v>
      </c>
      <c r="BF52" s="69">
        <v>415.817839975948</v>
      </c>
      <c r="BG52" s="69">
        <v>35.617019553928102</v>
      </c>
      <c r="BH52" s="69">
        <v>1980.9764926190301</v>
      </c>
      <c r="BI52" s="69">
        <v>12.518519174501501</v>
      </c>
      <c r="BJ52" s="69">
        <v>12010.9159608927</v>
      </c>
      <c r="BK52" s="69">
        <v>2181.0959581187399</v>
      </c>
      <c r="BL52" s="69">
        <v>436.35647823269102</v>
      </c>
      <c r="BM52" s="69">
        <v>7264.69026430743</v>
      </c>
      <c r="BN52" s="69">
        <v>5089.2591237447696</v>
      </c>
      <c r="BO52" s="69">
        <v>87.802364401251396</v>
      </c>
      <c r="BP52" s="69">
        <v>13327.7685299391</v>
      </c>
      <c r="BQ52" s="70">
        <v>0</v>
      </c>
      <c r="BR52" s="71">
        <v>56132.407028908201</v>
      </c>
      <c r="BS52" s="72">
        <v>3271.30177269671</v>
      </c>
      <c r="BT52" s="73">
        <v>0</v>
      </c>
      <c r="BU52" s="73">
        <v>0</v>
      </c>
      <c r="BV52" s="121">
        <v>265502.53662461299</v>
      </c>
      <c r="BW52" s="73">
        <v>0</v>
      </c>
      <c r="BX52" s="74">
        <v>0</v>
      </c>
      <c r="BY52" s="107">
        <v>268773.83839731</v>
      </c>
      <c r="BZ52" s="75">
        <v>324906.24542621803</v>
      </c>
    </row>
    <row r="53" spans="1:78" ht="15" customHeight="1" x14ac:dyDescent="0.3">
      <c r="A53" s="33" t="s">
        <v>71</v>
      </c>
      <c r="B53" s="11" t="s">
        <v>139</v>
      </c>
      <c r="C53" s="68">
        <v>0.30322046831494998</v>
      </c>
      <c r="D53" s="69">
        <v>5.2226635750180703E-3</v>
      </c>
      <c r="E53" s="69">
        <v>7.8313407856525102E-2</v>
      </c>
      <c r="F53" s="69">
        <v>2.1330726140146E-2</v>
      </c>
      <c r="G53" s="69">
        <v>0.68095148895964697</v>
      </c>
      <c r="H53" s="69">
        <v>1.1610725492513101</v>
      </c>
      <c r="I53" s="69">
        <v>0.16827189654487901</v>
      </c>
      <c r="J53" s="69">
        <v>2.7969439805018701</v>
      </c>
      <c r="K53" s="69">
        <v>0.92395921868953301</v>
      </c>
      <c r="L53" s="69">
        <v>2.8403605096189599</v>
      </c>
      <c r="M53" s="69">
        <v>8.5231904549648601</v>
      </c>
      <c r="N53" s="69">
        <v>3.4051587036411798E-2</v>
      </c>
      <c r="O53" s="69">
        <v>0.54011300537419205</v>
      </c>
      <c r="P53" s="69">
        <v>0.55543567990620202</v>
      </c>
      <c r="Q53" s="69">
        <v>0.17044881723479799</v>
      </c>
      <c r="R53" s="69">
        <v>1.01098609424417</v>
      </c>
      <c r="S53" s="69">
        <v>5.95052477324713</v>
      </c>
      <c r="T53" s="69">
        <v>31.088663168950699</v>
      </c>
      <c r="U53" s="69">
        <v>0.302375474104352</v>
      </c>
      <c r="V53" s="69">
        <v>0.70172975949641803</v>
      </c>
      <c r="W53" s="69">
        <v>351.450938504107</v>
      </c>
      <c r="X53" s="69">
        <v>0.81353045394802703</v>
      </c>
      <c r="Y53" s="69">
        <v>0.14868795666970999</v>
      </c>
      <c r="Z53" s="69">
        <v>0.61909081170077396</v>
      </c>
      <c r="AA53" s="69">
        <v>1.1401173254208701</v>
      </c>
      <c r="AB53" s="69">
        <v>0.450003952635953</v>
      </c>
      <c r="AC53" s="69">
        <v>0.81569662334857795</v>
      </c>
      <c r="AD53" s="69">
        <v>0.117396196118585</v>
      </c>
      <c r="AE53" s="69">
        <v>0.88884642261257096</v>
      </c>
      <c r="AF53" s="69">
        <v>5.06957266946345</v>
      </c>
      <c r="AG53" s="69">
        <v>0.41470368998535501</v>
      </c>
      <c r="AH53" s="69">
        <v>0.99169627094527601</v>
      </c>
      <c r="AI53" s="69">
        <v>0.78474866910047403</v>
      </c>
      <c r="AJ53" s="69">
        <v>6.5630982348234301</v>
      </c>
      <c r="AK53" s="69">
        <v>0.154227828628792</v>
      </c>
      <c r="AL53" s="69">
        <v>0.93472382814142596</v>
      </c>
      <c r="AM53" s="69">
        <v>24.224197010863101</v>
      </c>
      <c r="AN53" s="69">
        <v>107.46899368736</v>
      </c>
      <c r="AO53" s="69">
        <v>8.2820425671592606</v>
      </c>
      <c r="AP53" s="69">
        <v>1.5559039010995801</v>
      </c>
      <c r="AQ53" s="69">
        <v>668.92982657574896</v>
      </c>
      <c r="AR53" s="69">
        <v>2.18232900224683</v>
      </c>
      <c r="AS53" s="69">
        <v>9.2520191699515503E-2</v>
      </c>
      <c r="AT53" s="69">
        <v>0.81076255295868105</v>
      </c>
      <c r="AU53" s="69">
        <v>4.1235856863193998</v>
      </c>
      <c r="AV53" s="69">
        <v>80.096185047271106</v>
      </c>
      <c r="AW53" s="69">
        <v>4.6161240433952297</v>
      </c>
      <c r="AX53" s="69">
        <v>52.130467315910401</v>
      </c>
      <c r="AY53" s="69">
        <v>8.5634197812339501</v>
      </c>
      <c r="AZ53" s="69">
        <v>159.33973490038801</v>
      </c>
      <c r="BA53" s="69">
        <v>22.662955194177101</v>
      </c>
      <c r="BB53" s="69">
        <v>1703.60381644883</v>
      </c>
      <c r="BC53" s="69">
        <v>75.274736114448402</v>
      </c>
      <c r="BD53" s="69">
        <v>456.45754587880202</v>
      </c>
      <c r="BE53" s="69">
        <v>216.05224707855399</v>
      </c>
      <c r="BF53" s="69">
        <v>5060.1299908999399</v>
      </c>
      <c r="BG53" s="69">
        <v>39.386540703625897</v>
      </c>
      <c r="BH53" s="69">
        <v>53.458979854214299</v>
      </c>
      <c r="BI53" s="69">
        <v>0.242036014329129</v>
      </c>
      <c r="BJ53" s="69">
        <v>1933.52602088564</v>
      </c>
      <c r="BK53" s="69">
        <v>4303.1735349857199</v>
      </c>
      <c r="BL53" s="69">
        <v>2487.11579079278</v>
      </c>
      <c r="BM53" s="69">
        <v>97.929934384829096</v>
      </c>
      <c r="BN53" s="69">
        <v>182.358916338385</v>
      </c>
      <c r="BO53" s="69">
        <v>12.0142035403617</v>
      </c>
      <c r="BP53" s="69">
        <v>224.23802235263099</v>
      </c>
      <c r="BQ53" s="70">
        <v>0</v>
      </c>
      <c r="BR53" s="71">
        <v>18419.255608892599</v>
      </c>
      <c r="BS53" s="72">
        <v>1034.0472839915999</v>
      </c>
      <c r="BT53" s="73">
        <v>0</v>
      </c>
      <c r="BU53" s="73">
        <v>0</v>
      </c>
      <c r="BV53" s="121">
        <v>13362.024342463101</v>
      </c>
      <c r="BW53" s="73">
        <v>21.397809516476698</v>
      </c>
      <c r="BX53" s="74">
        <v>-826.82182126991802</v>
      </c>
      <c r="BY53" s="107">
        <v>13590.6476147013</v>
      </c>
      <c r="BZ53" s="75">
        <v>32009.903223593901</v>
      </c>
    </row>
    <row r="54" spans="1:78" ht="15" customHeight="1" x14ac:dyDescent="0.3">
      <c r="A54" s="33" t="s">
        <v>72</v>
      </c>
      <c r="B54" s="11" t="s">
        <v>140</v>
      </c>
      <c r="C54" s="68">
        <v>6.9029297857565296E-3</v>
      </c>
      <c r="D54" s="69">
        <v>2.35327047373506E-3</v>
      </c>
      <c r="E54" s="69">
        <v>1.7809964304265099E-3</v>
      </c>
      <c r="F54" s="69">
        <v>7.8290692670236594E-3</v>
      </c>
      <c r="G54" s="69">
        <v>9.1797113766094604E-2</v>
      </c>
      <c r="H54" s="69">
        <v>6.8265280506931605E-2</v>
      </c>
      <c r="I54" s="69">
        <v>8.8339080600727295E-3</v>
      </c>
      <c r="J54" s="69">
        <v>0.35313323623249498</v>
      </c>
      <c r="K54" s="69">
        <v>6.2966291353600407E-2</v>
      </c>
      <c r="L54" s="69">
        <v>0.208485465778496</v>
      </c>
      <c r="M54" s="69">
        <v>1.97228363684896E-2</v>
      </c>
      <c r="N54" s="69">
        <v>1.0211806643416799E-2</v>
      </c>
      <c r="O54" s="69">
        <v>7.8091895297318803E-2</v>
      </c>
      <c r="P54" s="69">
        <v>9.2818136866799003E-2</v>
      </c>
      <c r="Q54" s="69">
        <v>3.1795635336407398E-2</v>
      </c>
      <c r="R54" s="69">
        <v>2.3139308286460301E-2</v>
      </c>
      <c r="S54" s="69">
        <v>9.5167717809694893E-2</v>
      </c>
      <c r="T54" s="69">
        <v>1.16055809863488E-2</v>
      </c>
      <c r="U54" s="69">
        <v>6.1602555067455898E-2</v>
      </c>
      <c r="V54" s="69">
        <v>9.1484801351523606E-2</v>
      </c>
      <c r="W54" s="69">
        <v>8.4080409008456106E-2</v>
      </c>
      <c r="X54" s="69">
        <v>4.9974715518075301E-2</v>
      </c>
      <c r="Y54" s="69">
        <v>3.7262358053647603E-2</v>
      </c>
      <c r="Z54" s="69">
        <v>8.6300869980182104E-2</v>
      </c>
      <c r="AA54" s="69">
        <v>0.141276541090255</v>
      </c>
      <c r="AB54" s="69">
        <v>8.3748539527467095E-2</v>
      </c>
      <c r="AC54" s="69">
        <v>0.104916458824483</v>
      </c>
      <c r="AD54" s="69">
        <v>1.4435770837845099E-2</v>
      </c>
      <c r="AE54" s="69">
        <v>8.9567205780229503E-2</v>
      </c>
      <c r="AF54" s="69">
        <v>6.0198299734154297E-2</v>
      </c>
      <c r="AG54" s="69">
        <v>4.88454720369167E-2</v>
      </c>
      <c r="AH54" s="69">
        <v>0.20114939186486</v>
      </c>
      <c r="AI54" s="69">
        <v>2.9959077859427499E-2</v>
      </c>
      <c r="AJ54" s="69">
        <v>4.4769676115970297E-2</v>
      </c>
      <c r="AK54" s="69">
        <v>1.15511080820401E-2</v>
      </c>
      <c r="AL54" s="69">
        <v>6.9434788653194301E-2</v>
      </c>
      <c r="AM54" s="69">
        <v>1.27782993933313E-2</v>
      </c>
      <c r="AN54" s="69">
        <v>0.141736867504274</v>
      </c>
      <c r="AO54" s="69">
        <v>9.3484777541429601E-2</v>
      </c>
      <c r="AP54" s="69">
        <v>0.21838337132499999</v>
      </c>
      <c r="AQ54" s="69">
        <v>9.8297399446152394</v>
      </c>
      <c r="AR54" s="69">
        <v>1.41295117616308</v>
      </c>
      <c r="AS54" s="69">
        <v>2.2369170738445101E-2</v>
      </c>
      <c r="AT54" s="69">
        <v>1.7980282808750199E-2</v>
      </c>
      <c r="AU54" s="69">
        <v>0.76990423973436795</v>
      </c>
      <c r="AV54" s="69">
        <v>3.2131381926689202</v>
      </c>
      <c r="AW54" s="69">
        <v>0.95665482328175699</v>
      </c>
      <c r="AX54" s="69">
        <v>9.0333867073252101</v>
      </c>
      <c r="AY54" s="69">
        <v>6885.3726783987704</v>
      </c>
      <c r="AZ54" s="69">
        <v>5102.9429967475899</v>
      </c>
      <c r="BA54" s="69">
        <v>1.5666935828541</v>
      </c>
      <c r="BB54" s="69">
        <v>2.9412965028061899</v>
      </c>
      <c r="BC54" s="69">
        <v>0.40281015130131198</v>
      </c>
      <c r="BD54" s="69">
        <v>1.1002459917590199</v>
      </c>
      <c r="BE54" s="69">
        <v>0.19262626170303099</v>
      </c>
      <c r="BF54" s="69">
        <v>33236.508061378903</v>
      </c>
      <c r="BG54" s="69">
        <v>0.25466994060816001</v>
      </c>
      <c r="BH54" s="69">
        <v>42.712720495270702</v>
      </c>
      <c r="BI54" s="69">
        <v>3.06330061680424</v>
      </c>
      <c r="BJ54" s="69">
        <v>0.490767404583763</v>
      </c>
      <c r="BK54" s="69">
        <v>0.11746208720724501</v>
      </c>
      <c r="BL54" s="69">
        <v>1.0626430508624201</v>
      </c>
      <c r="BM54" s="69">
        <v>0.119631548141444</v>
      </c>
      <c r="BN54" s="69">
        <v>0.57173966423392197</v>
      </c>
      <c r="BO54" s="69">
        <v>116.68786605048599</v>
      </c>
      <c r="BP54" s="69">
        <v>0.72727746758660095</v>
      </c>
      <c r="BQ54" s="70">
        <v>0</v>
      </c>
      <c r="BR54" s="71">
        <v>45425.043453713202</v>
      </c>
      <c r="BS54" s="72">
        <v>2040.42993291987</v>
      </c>
      <c r="BT54" s="73">
        <v>0</v>
      </c>
      <c r="BU54" s="73">
        <v>0</v>
      </c>
      <c r="BV54" s="121">
        <v>1275.07234292671</v>
      </c>
      <c r="BW54" s="73">
        <v>0</v>
      </c>
      <c r="BX54" s="74">
        <v>0</v>
      </c>
      <c r="BY54" s="107">
        <v>3315.5022758465798</v>
      </c>
      <c r="BZ54" s="75">
        <v>48740.545729559803</v>
      </c>
    </row>
    <row r="55" spans="1:78" ht="15" customHeight="1" x14ac:dyDescent="0.3">
      <c r="A55" s="33" t="s">
        <v>73</v>
      </c>
      <c r="B55" s="11" t="s">
        <v>141</v>
      </c>
      <c r="C55" s="68">
        <v>8.3437209633839799</v>
      </c>
      <c r="D55" s="69">
        <v>4.0848358801849098</v>
      </c>
      <c r="E55" s="69">
        <v>9.0434913935089405</v>
      </c>
      <c r="F55" s="69">
        <v>36.240850849330997</v>
      </c>
      <c r="G55" s="69">
        <v>925.48346765084102</v>
      </c>
      <c r="H55" s="69">
        <v>269.17529630136301</v>
      </c>
      <c r="I55" s="69">
        <v>37.275960373459398</v>
      </c>
      <c r="J55" s="69">
        <v>1000.0499405284301</v>
      </c>
      <c r="K55" s="69">
        <v>343.60597340721301</v>
      </c>
      <c r="L55" s="69">
        <v>1697.7599899045699</v>
      </c>
      <c r="M55" s="69">
        <v>457.291401567327</v>
      </c>
      <c r="N55" s="69">
        <v>25.593694931897002</v>
      </c>
      <c r="O55" s="69">
        <v>258.79156476255201</v>
      </c>
      <c r="P55" s="69">
        <v>634.196843563926</v>
      </c>
      <c r="Q55" s="69">
        <v>157.37374294032099</v>
      </c>
      <c r="R55" s="69">
        <v>194.022435026913</v>
      </c>
      <c r="S55" s="69">
        <v>591.99395106599695</v>
      </c>
      <c r="T55" s="69">
        <v>339.18098924448202</v>
      </c>
      <c r="U55" s="69">
        <v>298.50657711232901</v>
      </c>
      <c r="V55" s="69">
        <v>299.20496652367302</v>
      </c>
      <c r="W55" s="69">
        <v>470.56257366395499</v>
      </c>
      <c r="X55" s="69">
        <v>340.151953457758</v>
      </c>
      <c r="Y55" s="69">
        <v>38.300689890386899</v>
      </c>
      <c r="Z55" s="69">
        <v>302.87690149634801</v>
      </c>
      <c r="AA55" s="69">
        <v>441.36673044972702</v>
      </c>
      <c r="AB55" s="69">
        <v>595.13280764702301</v>
      </c>
      <c r="AC55" s="69">
        <v>249.42667925328701</v>
      </c>
      <c r="AD55" s="69">
        <v>92.998198261683399</v>
      </c>
      <c r="AE55" s="69">
        <v>504.81374217045698</v>
      </c>
      <c r="AF55" s="69">
        <v>865.25020575050303</v>
      </c>
      <c r="AG55" s="69">
        <v>517.09024067960604</v>
      </c>
      <c r="AH55" s="69">
        <v>633.83802131015398</v>
      </c>
      <c r="AI55" s="69">
        <v>1280.79058772287</v>
      </c>
      <c r="AJ55" s="69">
        <v>1348.79628244214</v>
      </c>
      <c r="AK55" s="69">
        <v>150.51998423986001</v>
      </c>
      <c r="AL55" s="69">
        <v>588.97679647074006</v>
      </c>
      <c r="AM55" s="69">
        <v>122.265219491574</v>
      </c>
      <c r="AN55" s="69">
        <v>303.05704618483298</v>
      </c>
      <c r="AO55" s="69">
        <v>220.440046401795</v>
      </c>
      <c r="AP55" s="69">
        <v>1167.9529317766601</v>
      </c>
      <c r="AQ55" s="69">
        <v>9982.2411839132892</v>
      </c>
      <c r="AR55" s="69">
        <v>1146.8367396055201</v>
      </c>
      <c r="AS55" s="69">
        <v>55.360219582209197</v>
      </c>
      <c r="AT55" s="69">
        <v>57.2869093373262</v>
      </c>
      <c r="AU55" s="69">
        <v>1180.98157784759</v>
      </c>
      <c r="AV55" s="69">
        <v>258.52185553348102</v>
      </c>
      <c r="AW55" s="69">
        <v>767.81518167242598</v>
      </c>
      <c r="AX55" s="69">
        <v>102.914137020902</v>
      </c>
      <c r="AY55" s="69">
        <v>324.05137287450401</v>
      </c>
      <c r="AZ55" s="69">
        <v>20435.838472817599</v>
      </c>
      <c r="BA55" s="69">
        <v>3066.7811074892802</v>
      </c>
      <c r="BB55" s="69">
        <v>7815.2250592255996</v>
      </c>
      <c r="BC55" s="69">
        <v>660.57523683353895</v>
      </c>
      <c r="BD55" s="69">
        <v>3243.92427047304</v>
      </c>
      <c r="BE55" s="69">
        <v>495.42997126986597</v>
      </c>
      <c r="BF55" s="69">
        <v>4062.9781394782299</v>
      </c>
      <c r="BG55" s="69">
        <v>172.43737202597001</v>
      </c>
      <c r="BH55" s="69">
        <v>2437.3455408395998</v>
      </c>
      <c r="BI55" s="69">
        <v>354.21854257101501</v>
      </c>
      <c r="BJ55" s="69">
        <v>5479.3961886736197</v>
      </c>
      <c r="BK55" s="69">
        <v>1235.9820488641301</v>
      </c>
      <c r="BL55" s="69">
        <v>1707.32226129123</v>
      </c>
      <c r="BM55" s="69">
        <v>636.95630797305398</v>
      </c>
      <c r="BN55" s="69">
        <v>1231.8502510867199</v>
      </c>
      <c r="BO55" s="69">
        <v>289.74500631059101</v>
      </c>
      <c r="BP55" s="69">
        <v>1982.7227087804799</v>
      </c>
      <c r="BQ55" s="70">
        <v>0</v>
      </c>
      <c r="BR55" s="71">
        <v>87006.564996143905</v>
      </c>
      <c r="BS55" s="72">
        <v>2866.7862718001402</v>
      </c>
      <c r="BT55" s="73">
        <v>0</v>
      </c>
      <c r="BU55" s="73">
        <v>0</v>
      </c>
      <c r="BV55" s="121">
        <v>142892.774952937</v>
      </c>
      <c r="BW55" s="73">
        <v>450.28433939020601</v>
      </c>
      <c r="BX55" s="74">
        <v>0</v>
      </c>
      <c r="BY55" s="107">
        <v>146209.845564127</v>
      </c>
      <c r="BZ55" s="75">
        <v>233216.410560271</v>
      </c>
    </row>
    <row r="56" spans="1:78" ht="15" customHeight="1" x14ac:dyDescent="0.3">
      <c r="A56" s="33" t="s">
        <v>74</v>
      </c>
      <c r="B56" s="11" t="s">
        <v>142</v>
      </c>
      <c r="C56" s="68">
        <v>34.883770741514198</v>
      </c>
      <c r="D56" s="69">
        <v>12.9153341393336</v>
      </c>
      <c r="E56" s="69">
        <v>1.04075147976885</v>
      </c>
      <c r="F56" s="69">
        <v>1.43897733998847</v>
      </c>
      <c r="G56" s="69">
        <v>163.41746699204401</v>
      </c>
      <c r="H56" s="69">
        <v>927.57559102795506</v>
      </c>
      <c r="I56" s="69">
        <v>59.209185538405499</v>
      </c>
      <c r="J56" s="69">
        <v>878.29565425979695</v>
      </c>
      <c r="K56" s="69">
        <v>52.7271654640221</v>
      </c>
      <c r="L56" s="69">
        <v>1636.6422262585399</v>
      </c>
      <c r="M56" s="69">
        <v>124.51182137207</v>
      </c>
      <c r="N56" s="69">
        <v>76.475378929983606</v>
      </c>
      <c r="O56" s="69">
        <v>67.799070468110898</v>
      </c>
      <c r="P56" s="69">
        <v>69.072409890968203</v>
      </c>
      <c r="Q56" s="69">
        <v>19.561541101778499</v>
      </c>
      <c r="R56" s="69">
        <v>35.819649070294702</v>
      </c>
      <c r="S56" s="69">
        <v>463.961630579499</v>
      </c>
      <c r="T56" s="69">
        <v>2.2606657086206701</v>
      </c>
      <c r="U56" s="69">
        <v>83.281543888044695</v>
      </c>
      <c r="V56" s="69">
        <v>6.4813179096633204</v>
      </c>
      <c r="W56" s="69">
        <v>900.036320833275</v>
      </c>
      <c r="X56" s="69">
        <v>462.78630377898202</v>
      </c>
      <c r="Y56" s="69">
        <v>39.603728926311099</v>
      </c>
      <c r="Z56" s="69">
        <v>732.47474643891303</v>
      </c>
      <c r="AA56" s="69">
        <v>289.01256978558399</v>
      </c>
      <c r="AB56" s="69">
        <v>176.766148958656</v>
      </c>
      <c r="AC56" s="69">
        <v>353.346203141876</v>
      </c>
      <c r="AD56" s="69">
        <v>60.673587520829301</v>
      </c>
      <c r="AE56" s="69">
        <v>227.135590740418</v>
      </c>
      <c r="AF56" s="69">
        <v>323.59662619070298</v>
      </c>
      <c r="AG56" s="69">
        <v>577.843298657682</v>
      </c>
      <c r="AH56" s="69">
        <v>425.69929744547198</v>
      </c>
      <c r="AI56" s="69">
        <v>1200.3981980707299</v>
      </c>
      <c r="AJ56" s="69">
        <v>235.16855168733099</v>
      </c>
      <c r="AK56" s="69">
        <v>87.897735102437494</v>
      </c>
      <c r="AL56" s="69">
        <v>257.850085121858</v>
      </c>
      <c r="AM56" s="69">
        <v>192.994672821905</v>
      </c>
      <c r="AN56" s="69">
        <v>1611.05579777036</v>
      </c>
      <c r="AO56" s="69">
        <v>735.97891832140294</v>
      </c>
      <c r="AP56" s="69">
        <v>671.85417495607999</v>
      </c>
      <c r="AQ56" s="69">
        <v>17113.2234445055</v>
      </c>
      <c r="AR56" s="69">
        <v>1684.65354649081</v>
      </c>
      <c r="AS56" s="69">
        <v>1.5750484498486901</v>
      </c>
      <c r="AT56" s="69">
        <v>993.79530729434805</v>
      </c>
      <c r="AU56" s="69">
        <v>2822.7961241008802</v>
      </c>
      <c r="AV56" s="69">
        <v>102.051083089877</v>
      </c>
      <c r="AW56" s="69">
        <v>170.03643637436301</v>
      </c>
      <c r="AX56" s="69">
        <v>642.19943797108101</v>
      </c>
      <c r="AY56" s="69">
        <v>1715.43827098059</v>
      </c>
      <c r="AZ56" s="69">
        <v>4075.5742331738602</v>
      </c>
      <c r="BA56" s="69">
        <v>26050.4057416141</v>
      </c>
      <c r="BB56" s="69">
        <v>24262.833919973898</v>
      </c>
      <c r="BC56" s="69">
        <v>543.44379950435098</v>
      </c>
      <c r="BD56" s="69">
        <v>4841.53310538398</v>
      </c>
      <c r="BE56" s="69">
        <v>112.365756002485</v>
      </c>
      <c r="BF56" s="69">
        <v>18951.5137969346</v>
      </c>
      <c r="BG56" s="69">
        <v>726.498591610527</v>
      </c>
      <c r="BH56" s="69">
        <v>1962.3824322109001</v>
      </c>
      <c r="BI56" s="69">
        <v>370.85754724186</v>
      </c>
      <c r="BJ56" s="69">
        <v>21106.235951829502</v>
      </c>
      <c r="BK56" s="69">
        <v>2098.3933579774398</v>
      </c>
      <c r="BL56" s="69">
        <v>699.78252609265598</v>
      </c>
      <c r="BM56" s="69">
        <v>3260.4997722636999</v>
      </c>
      <c r="BN56" s="69">
        <v>10.2587595882381</v>
      </c>
      <c r="BO56" s="69">
        <v>271.59432909018699</v>
      </c>
      <c r="BP56" s="69">
        <v>2674.1283722166399</v>
      </c>
      <c r="BQ56" s="70">
        <v>0</v>
      </c>
      <c r="BR56" s="71">
        <v>151543.61440039799</v>
      </c>
      <c r="BS56" s="72">
        <v>14746.661368895901</v>
      </c>
      <c r="BT56" s="73">
        <v>0</v>
      </c>
      <c r="BU56" s="73">
        <v>0</v>
      </c>
      <c r="BV56" s="121">
        <v>5987.0798253919002</v>
      </c>
      <c r="BW56" s="73">
        <v>139301.24167465899</v>
      </c>
      <c r="BX56" s="74">
        <v>23.526235513908599</v>
      </c>
      <c r="BY56" s="107">
        <v>160058.509104461</v>
      </c>
      <c r="BZ56" s="75">
        <v>311602.123504858</v>
      </c>
    </row>
    <row r="57" spans="1:78" ht="15" customHeight="1" x14ac:dyDescent="0.3">
      <c r="A57" s="33" t="s">
        <v>75</v>
      </c>
      <c r="B57" s="11" t="s">
        <v>143</v>
      </c>
      <c r="C57" s="68">
        <v>9356.5422366819894</v>
      </c>
      <c r="D57" s="69">
        <v>3010.2969839049401</v>
      </c>
      <c r="E57" s="69">
        <v>762.80509285515097</v>
      </c>
      <c r="F57" s="69">
        <v>1095.4533851712599</v>
      </c>
      <c r="G57" s="69">
        <v>5745.7990802962604</v>
      </c>
      <c r="H57" s="69">
        <v>1811.3284798034499</v>
      </c>
      <c r="I57" s="69">
        <v>644.48075501579899</v>
      </c>
      <c r="J57" s="69">
        <v>6906.9340934219299</v>
      </c>
      <c r="K57" s="69">
        <v>2482.4844601193799</v>
      </c>
      <c r="L57" s="69">
        <v>7239.9655554938699</v>
      </c>
      <c r="M57" s="69">
        <v>1924.8949618146401</v>
      </c>
      <c r="N57" s="69">
        <v>350.67344654228799</v>
      </c>
      <c r="O57" s="69">
        <v>1035.26275497861</v>
      </c>
      <c r="P57" s="69">
        <v>1092.11718516885</v>
      </c>
      <c r="Q57" s="69">
        <v>793.44690704090306</v>
      </c>
      <c r="R57" s="69">
        <v>781.84871896191203</v>
      </c>
      <c r="S57" s="69">
        <v>2998.1103579159299</v>
      </c>
      <c r="T57" s="69">
        <v>384.09079754923403</v>
      </c>
      <c r="U57" s="69">
        <v>4437.2778055603103</v>
      </c>
      <c r="V57" s="69">
        <v>1587.9721594100299</v>
      </c>
      <c r="W57" s="69">
        <v>5479.05423947911</v>
      </c>
      <c r="X57" s="69">
        <v>1982.5733617932599</v>
      </c>
      <c r="Y57" s="69">
        <v>1027.2752239941999</v>
      </c>
      <c r="Z57" s="69">
        <v>1439.74680877429</v>
      </c>
      <c r="AA57" s="69">
        <v>2408.2719052807001</v>
      </c>
      <c r="AB57" s="69">
        <v>2943.5243457895199</v>
      </c>
      <c r="AC57" s="69">
        <v>4597.2762471071201</v>
      </c>
      <c r="AD57" s="69">
        <v>1633.5457573782801</v>
      </c>
      <c r="AE57" s="69">
        <v>2126.41675659354</v>
      </c>
      <c r="AF57" s="69">
        <v>2522.2422898300902</v>
      </c>
      <c r="AG57" s="69">
        <v>1785.02478650183</v>
      </c>
      <c r="AH57" s="69">
        <v>3298.3025649413798</v>
      </c>
      <c r="AI57" s="69">
        <v>3502.5003015734801</v>
      </c>
      <c r="AJ57" s="69">
        <v>1387.5040094875401</v>
      </c>
      <c r="AK57" s="69">
        <v>772.30353589092397</v>
      </c>
      <c r="AL57" s="69">
        <v>1283.7391140146999</v>
      </c>
      <c r="AM57" s="69">
        <v>796.03847039724894</v>
      </c>
      <c r="AN57" s="69">
        <v>9749.0329419623104</v>
      </c>
      <c r="AO57" s="69">
        <v>1691.68762691498</v>
      </c>
      <c r="AP57" s="69">
        <v>9973.0718464660895</v>
      </c>
      <c r="AQ57" s="69">
        <v>42567.553801297901</v>
      </c>
      <c r="AR57" s="69">
        <v>10794.7132110533</v>
      </c>
      <c r="AS57" s="69">
        <v>888.37088954245905</v>
      </c>
      <c r="AT57" s="69">
        <v>1171.7731916948101</v>
      </c>
      <c r="AU57" s="69">
        <v>4296.1254773781502</v>
      </c>
      <c r="AV57" s="69">
        <v>788.94536190636904</v>
      </c>
      <c r="AW57" s="69">
        <v>3204.64716450281</v>
      </c>
      <c r="AX57" s="69">
        <v>463.26790796763601</v>
      </c>
      <c r="AY57" s="69">
        <v>1179.48508066354</v>
      </c>
      <c r="AZ57" s="69">
        <v>9969.5822134151294</v>
      </c>
      <c r="BA57" s="69">
        <v>4281.5599224331199</v>
      </c>
      <c r="BB57" s="69">
        <v>127190.782478444</v>
      </c>
      <c r="BC57" s="69">
        <v>31892.782952294699</v>
      </c>
      <c r="BD57" s="69">
        <v>5694.12781218074</v>
      </c>
      <c r="BE57" s="69">
        <v>1750.0297372346499</v>
      </c>
      <c r="BF57" s="69">
        <v>1300.5789006192199</v>
      </c>
      <c r="BG57" s="69">
        <v>2018.3090705041</v>
      </c>
      <c r="BH57" s="69">
        <v>6321.7305491039297</v>
      </c>
      <c r="BI57" s="69">
        <v>1051.51143043915</v>
      </c>
      <c r="BJ57" s="69">
        <v>72244.143230913498</v>
      </c>
      <c r="BK57" s="69">
        <v>975.04450935721002</v>
      </c>
      <c r="BL57" s="69">
        <v>2049.6385485319802</v>
      </c>
      <c r="BM57" s="69">
        <v>723.66915760971006</v>
      </c>
      <c r="BN57" s="69">
        <v>6448.2171281462597</v>
      </c>
      <c r="BO57" s="69">
        <v>1009.16228312777</v>
      </c>
      <c r="BP57" s="69">
        <v>2984.7701350544498</v>
      </c>
      <c r="BQ57" s="70">
        <v>0</v>
      </c>
      <c r="BR57" s="71">
        <v>458101.43949729402</v>
      </c>
      <c r="BS57" s="72">
        <v>11393.0168269147</v>
      </c>
      <c r="BT57" s="73">
        <v>1784.0528838105399</v>
      </c>
      <c r="BU57" s="73">
        <v>586.44546903460798</v>
      </c>
      <c r="BV57" s="121">
        <v>402189.93088168697</v>
      </c>
      <c r="BW57" s="73">
        <v>777.11732090571695</v>
      </c>
      <c r="BX57" s="74">
        <v>7.1405241640293299E-2</v>
      </c>
      <c r="BY57" s="107">
        <v>416730.63478759403</v>
      </c>
      <c r="BZ57" s="75">
        <v>874832.07428488799</v>
      </c>
    </row>
    <row r="58" spans="1:78" ht="15" customHeight="1" x14ac:dyDescent="0.3">
      <c r="A58" s="33" t="s">
        <v>76</v>
      </c>
      <c r="B58" s="11" t="s">
        <v>144</v>
      </c>
      <c r="C58" s="68">
        <v>8.0111359272757205</v>
      </c>
      <c r="D58" s="69">
        <v>6.5546253452996703</v>
      </c>
      <c r="E58" s="69">
        <v>7.2827990186000102</v>
      </c>
      <c r="F58" s="69">
        <v>28.402889301485899</v>
      </c>
      <c r="G58" s="69">
        <v>454.44781095125899</v>
      </c>
      <c r="H58" s="69">
        <v>92.493651765774302</v>
      </c>
      <c r="I58" s="69">
        <v>29.131294015625301</v>
      </c>
      <c r="J58" s="69">
        <v>946.76289300574899</v>
      </c>
      <c r="K58" s="69">
        <v>268.73500578393998</v>
      </c>
      <c r="L58" s="69">
        <v>568.78602499716897</v>
      </c>
      <c r="M58" s="69">
        <v>78.654148034323796</v>
      </c>
      <c r="N58" s="69">
        <v>29.1311659386384</v>
      </c>
      <c r="O58" s="69">
        <v>336.46496659127399</v>
      </c>
      <c r="P58" s="69">
        <v>402.73836910167603</v>
      </c>
      <c r="Q58" s="69">
        <v>84.480381222051506</v>
      </c>
      <c r="R58" s="69">
        <v>60.447169322674803</v>
      </c>
      <c r="S58" s="69">
        <v>235.23421518077501</v>
      </c>
      <c r="T58" s="69">
        <v>53.8926569864811</v>
      </c>
      <c r="U58" s="69">
        <v>251.984585369223</v>
      </c>
      <c r="V58" s="69">
        <v>381.61844707679302</v>
      </c>
      <c r="W58" s="69">
        <v>290.58363136926499</v>
      </c>
      <c r="X58" s="69">
        <v>124.535734387679</v>
      </c>
      <c r="Y58" s="69">
        <v>182.79806626495599</v>
      </c>
      <c r="Z58" s="69">
        <v>297.13789257411202</v>
      </c>
      <c r="AA58" s="69">
        <v>518.53475370776403</v>
      </c>
      <c r="AB58" s="69">
        <v>251.98459290316299</v>
      </c>
      <c r="AC58" s="69">
        <v>370.69415186332401</v>
      </c>
      <c r="AD58" s="69">
        <v>14.565618127707801</v>
      </c>
      <c r="AE58" s="69">
        <v>303.692527964666</v>
      </c>
      <c r="AF58" s="69">
        <v>184.983092058864</v>
      </c>
      <c r="AG58" s="69">
        <v>136.91648493422801</v>
      </c>
      <c r="AH58" s="69">
        <v>312.43190034807799</v>
      </c>
      <c r="AI58" s="69">
        <v>107.057582290832</v>
      </c>
      <c r="AJ58" s="69">
        <v>227.22314957027601</v>
      </c>
      <c r="AK58" s="69">
        <v>46.610425524724697</v>
      </c>
      <c r="AL58" s="69">
        <v>272.37643919597099</v>
      </c>
      <c r="AM58" s="69">
        <v>57.534052728810899</v>
      </c>
      <c r="AN58" s="69">
        <v>705.70249486351599</v>
      </c>
      <c r="AO58" s="69">
        <v>380.88999464769802</v>
      </c>
      <c r="AP58" s="69">
        <v>1079.3929606245599</v>
      </c>
      <c r="AQ58" s="69">
        <v>49368.590406936302</v>
      </c>
      <c r="AR58" s="69">
        <v>1388.8283963961101</v>
      </c>
      <c r="AS58" s="69">
        <v>115.068118014189</v>
      </c>
      <c r="AT58" s="69">
        <v>92.491454366490501</v>
      </c>
      <c r="AU58" s="69">
        <v>3908.6752571250399</v>
      </c>
      <c r="AV58" s="69">
        <v>1106.9849460532</v>
      </c>
      <c r="AW58" s="69">
        <v>4911.5145772544402</v>
      </c>
      <c r="AX58" s="69">
        <v>172.60217074299999</v>
      </c>
      <c r="AY58" s="69">
        <v>469.01231154447402</v>
      </c>
      <c r="AZ58" s="69">
        <v>2053.0189245481702</v>
      </c>
      <c r="BA58" s="69">
        <v>2862.8689288205801</v>
      </c>
      <c r="BB58" s="69">
        <v>4835.0460175482403</v>
      </c>
      <c r="BC58" s="69">
        <v>2069.7704725426402</v>
      </c>
      <c r="BD58" s="69">
        <v>5622.3152145057302</v>
      </c>
      <c r="BE58" s="69">
        <v>975.16623685497302</v>
      </c>
      <c r="BF58" s="69">
        <v>1683.7813912532999</v>
      </c>
      <c r="BG58" s="69">
        <v>1203.1177509583699</v>
      </c>
      <c r="BH58" s="69">
        <v>3759.3818513973001</v>
      </c>
      <c r="BI58" s="69">
        <v>311.70347554343101</v>
      </c>
      <c r="BJ58" s="69">
        <v>2361.09159706948</v>
      </c>
      <c r="BK58" s="69">
        <v>570.24609913295501</v>
      </c>
      <c r="BL58" s="69">
        <v>5465.0079229624698</v>
      </c>
      <c r="BM58" s="69">
        <v>484.31179900442601</v>
      </c>
      <c r="BN58" s="69">
        <v>2878.8874738859399</v>
      </c>
      <c r="BO58" s="69">
        <v>3941.4467740996001</v>
      </c>
      <c r="BP58" s="69">
        <v>3735.3444255139202</v>
      </c>
      <c r="BQ58" s="70">
        <v>0</v>
      </c>
      <c r="BR58" s="71">
        <v>116537.173774961</v>
      </c>
      <c r="BS58" s="72">
        <v>3846.7712808853998</v>
      </c>
      <c r="BT58" s="73">
        <v>0</v>
      </c>
      <c r="BU58" s="73">
        <v>0</v>
      </c>
      <c r="BV58" s="121">
        <v>643986.73927381297</v>
      </c>
      <c r="BW58" s="73">
        <v>0.934474809014611</v>
      </c>
      <c r="BX58" s="74">
        <v>0</v>
      </c>
      <c r="BY58" s="107">
        <v>647834.44502950797</v>
      </c>
      <c r="BZ58" s="75">
        <v>764371.61880446901</v>
      </c>
    </row>
    <row r="59" spans="1:78" ht="15" customHeight="1" x14ac:dyDescent="0.3">
      <c r="A59" s="33" t="s">
        <v>77</v>
      </c>
      <c r="B59" s="11" t="s">
        <v>145</v>
      </c>
      <c r="C59" s="68">
        <v>36.943337602931898</v>
      </c>
      <c r="D59" s="69">
        <v>12.641523956134501</v>
      </c>
      <c r="E59" s="69">
        <v>42.755077183890599</v>
      </c>
      <c r="F59" s="69">
        <v>615.94385677981097</v>
      </c>
      <c r="G59" s="69">
        <v>9374.1295201502999</v>
      </c>
      <c r="H59" s="69">
        <v>2815.5396881827401</v>
      </c>
      <c r="I59" s="69">
        <v>249.712824310402</v>
      </c>
      <c r="J59" s="69">
        <v>7514.06731297441</v>
      </c>
      <c r="K59" s="69">
        <v>1384.7245549674301</v>
      </c>
      <c r="L59" s="69">
        <v>11458.343008907001</v>
      </c>
      <c r="M59" s="69">
        <v>3818.8765336435899</v>
      </c>
      <c r="N59" s="69">
        <v>829.66997625866497</v>
      </c>
      <c r="O59" s="69">
        <v>481.38284130219802</v>
      </c>
      <c r="P59" s="69">
        <v>414.45296401837197</v>
      </c>
      <c r="Q59" s="69">
        <v>261.48758642334002</v>
      </c>
      <c r="R59" s="69">
        <v>499.44485686417698</v>
      </c>
      <c r="S59" s="69">
        <v>3366.5487495902398</v>
      </c>
      <c r="T59" s="69">
        <v>226.426726438798</v>
      </c>
      <c r="U59" s="69">
        <v>7745.7296777486499</v>
      </c>
      <c r="V59" s="69">
        <v>1490.7930963798001</v>
      </c>
      <c r="W59" s="69">
        <v>6733.5863574095001</v>
      </c>
      <c r="X59" s="69">
        <v>4898.2852389155196</v>
      </c>
      <c r="Y59" s="69">
        <v>2294.8181024118098</v>
      </c>
      <c r="Z59" s="69">
        <v>4337.0434907057197</v>
      </c>
      <c r="AA59" s="69">
        <v>2802.5121341058102</v>
      </c>
      <c r="AB59" s="69">
        <v>3236.3519981822101</v>
      </c>
      <c r="AC59" s="69">
        <v>2143.63840594053</v>
      </c>
      <c r="AD59" s="69">
        <v>895.73012012753804</v>
      </c>
      <c r="AE59" s="69">
        <v>1089.5180132314199</v>
      </c>
      <c r="AF59" s="69">
        <v>3455.7700142436001</v>
      </c>
      <c r="AG59" s="69">
        <v>1744.00910774574</v>
      </c>
      <c r="AH59" s="69">
        <v>2834.5966696851001</v>
      </c>
      <c r="AI59" s="69">
        <v>3600.3566928466498</v>
      </c>
      <c r="AJ59" s="69">
        <v>1482.7493361264101</v>
      </c>
      <c r="AK59" s="69">
        <v>583.912561767282</v>
      </c>
      <c r="AL59" s="69">
        <v>719.30818071221495</v>
      </c>
      <c r="AM59" s="69">
        <v>1031.76140028691</v>
      </c>
      <c r="AN59" s="69">
        <v>997.71771225625901</v>
      </c>
      <c r="AO59" s="69">
        <v>2535.1024343490099</v>
      </c>
      <c r="AP59" s="69">
        <v>5356.1631309970198</v>
      </c>
      <c r="AQ59" s="69">
        <v>51232.861930014202</v>
      </c>
      <c r="AR59" s="69">
        <v>3585.11721302761</v>
      </c>
      <c r="AS59" s="69">
        <v>287.71089503589201</v>
      </c>
      <c r="AT59" s="69">
        <v>582.99821321705394</v>
      </c>
      <c r="AU59" s="69">
        <v>3691.2363073966198</v>
      </c>
      <c r="AV59" s="69">
        <v>303.68880509619902</v>
      </c>
      <c r="AW59" s="69">
        <v>1398.0784080680701</v>
      </c>
      <c r="AX59" s="69">
        <v>458.78599128186698</v>
      </c>
      <c r="AY59" s="69">
        <v>3236.5809239426198</v>
      </c>
      <c r="AZ59" s="69">
        <v>3657.6408328806501</v>
      </c>
      <c r="BA59" s="69">
        <v>7038.3275867891398</v>
      </c>
      <c r="BB59" s="69">
        <v>19501.824582346799</v>
      </c>
      <c r="BC59" s="69">
        <v>3387.45062393536</v>
      </c>
      <c r="BD59" s="69">
        <v>24328.123206676199</v>
      </c>
      <c r="BE59" s="69">
        <v>7050.1982300350001</v>
      </c>
      <c r="BF59" s="69">
        <v>940.82323676224996</v>
      </c>
      <c r="BG59" s="69">
        <v>1391.9100086984499</v>
      </c>
      <c r="BH59" s="69">
        <v>6239.1273924157604</v>
      </c>
      <c r="BI59" s="69">
        <v>2203.69470512015</v>
      </c>
      <c r="BJ59" s="69">
        <v>5862.2344097283303</v>
      </c>
      <c r="BK59" s="69">
        <v>165.00375144870301</v>
      </c>
      <c r="BL59" s="69">
        <v>3432.0926439719701</v>
      </c>
      <c r="BM59" s="69">
        <v>414.603578799567</v>
      </c>
      <c r="BN59" s="69">
        <v>4909.9179570173801</v>
      </c>
      <c r="BO59" s="69">
        <v>1522.0176657316099</v>
      </c>
      <c r="BP59" s="69">
        <v>4709.03658107105</v>
      </c>
      <c r="BQ59" s="70">
        <v>0</v>
      </c>
      <c r="BR59" s="71">
        <v>266943.63049623801</v>
      </c>
      <c r="BS59" s="72">
        <v>22235.297362285801</v>
      </c>
      <c r="BT59" s="73">
        <v>0</v>
      </c>
      <c r="BU59" s="73">
        <v>0</v>
      </c>
      <c r="BV59" s="121">
        <v>22538.261373087498</v>
      </c>
      <c r="BW59" s="73">
        <v>0</v>
      </c>
      <c r="BX59" s="74">
        <v>0</v>
      </c>
      <c r="BY59" s="107">
        <v>44773.558735373299</v>
      </c>
      <c r="BZ59" s="75">
        <v>311717.18923161097</v>
      </c>
    </row>
    <row r="60" spans="1:78" ht="15" customHeight="1" x14ac:dyDescent="0.3">
      <c r="A60" s="33" t="s">
        <v>78</v>
      </c>
      <c r="B60" s="11" t="s">
        <v>146</v>
      </c>
      <c r="C60" s="68">
        <v>1403.30464296638</v>
      </c>
      <c r="D60" s="69">
        <v>47.943010535040401</v>
      </c>
      <c r="E60" s="69">
        <v>0.32049450689321002</v>
      </c>
      <c r="F60" s="69">
        <v>89.638852532060199</v>
      </c>
      <c r="G60" s="69">
        <v>2815.9203074667798</v>
      </c>
      <c r="H60" s="69">
        <v>1630.01290781942</v>
      </c>
      <c r="I60" s="69">
        <v>248.13782034113501</v>
      </c>
      <c r="J60" s="69">
        <v>2073.55323303151</v>
      </c>
      <c r="K60" s="69">
        <v>925.95415478958705</v>
      </c>
      <c r="L60" s="69">
        <v>1844.5675988313201</v>
      </c>
      <c r="M60" s="69">
        <v>359.40322848890298</v>
      </c>
      <c r="N60" s="69">
        <v>209.33340056943101</v>
      </c>
      <c r="O60" s="69">
        <v>107.319632201874</v>
      </c>
      <c r="P60" s="69">
        <v>237.80580858599799</v>
      </c>
      <c r="Q60" s="69">
        <v>136.534382444004</v>
      </c>
      <c r="R60" s="69">
        <v>151.96330095439001</v>
      </c>
      <c r="S60" s="69">
        <v>1057.7225006158601</v>
      </c>
      <c r="T60" s="69">
        <v>54.2484626407403</v>
      </c>
      <c r="U60" s="69">
        <v>359.95868787108498</v>
      </c>
      <c r="V60" s="69">
        <v>773.91045790886596</v>
      </c>
      <c r="W60" s="69">
        <v>1824.8566139540601</v>
      </c>
      <c r="X60" s="69">
        <v>1059.7191664226</v>
      </c>
      <c r="Y60" s="69">
        <v>598.66657249266996</v>
      </c>
      <c r="Z60" s="69">
        <v>1463.32873455546</v>
      </c>
      <c r="AA60" s="69">
        <v>1509.5455395864101</v>
      </c>
      <c r="AB60" s="69">
        <v>958.77680217081797</v>
      </c>
      <c r="AC60" s="69">
        <v>718.48394735624197</v>
      </c>
      <c r="AD60" s="69">
        <v>499.21784727206602</v>
      </c>
      <c r="AE60" s="69">
        <v>789.09604865824895</v>
      </c>
      <c r="AF60" s="69">
        <v>806.73470472047904</v>
      </c>
      <c r="AG60" s="69">
        <v>572.16757113676795</v>
      </c>
      <c r="AH60" s="69">
        <v>3405.3112432831199</v>
      </c>
      <c r="AI60" s="69">
        <v>2106.8626848497802</v>
      </c>
      <c r="AJ60" s="69">
        <v>1061.0261839484499</v>
      </c>
      <c r="AK60" s="69">
        <v>167.84800524448499</v>
      </c>
      <c r="AL60" s="69">
        <v>420.929070973244</v>
      </c>
      <c r="AM60" s="69">
        <v>351.999886664119</v>
      </c>
      <c r="AN60" s="69">
        <v>2826.5195864372499</v>
      </c>
      <c r="AO60" s="69">
        <v>823.97717067052702</v>
      </c>
      <c r="AP60" s="69">
        <v>4089.5541175895601</v>
      </c>
      <c r="AQ60" s="69">
        <v>2887.0720723915401</v>
      </c>
      <c r="AR60" s="69">
        <v>626.94378171063602</v>
      </c>
      <c r="AS60" s="69">
        <v>32.439672970186599</v>
      </c>
      <c r="AT60" s="69">
        <v>0.50774753666663397</v>
      </c>
      <c r="AU60" s="69">
        <v>8576.0346764862807</v>
      </c>
      <c r="AV60" s="69">
        <v>12.2586753994735</v>
      </c>
      <c r="AW60" s="69">
        <v>32.616021248146097</v>
      </c>
      <c r="AX60" s="69">
        <v>1.1980299260131999</v>
      </c>
      <c r="AY60" s="69">
        <v>2.6438722756969701</v>
      </c>
      <c r="AZ60" s="69">
        <v>20.990494158599599</v>
      </c>
      <c r="BA60" s="69">
        <v>753.74588171639402</v>
      </c>
      <c r="BB60" s="69">
        <v>691.14396212487804</v>
      </c>
      <c r="BC60" s="69">
        <v>33.514536845889097</v>
      </c>
      <c r="BD60" s="69">
        <v>30.972527290680901</v>
      </c>
      <c r="BE60" s="69">
        <v>4286.5027075281696</v>
      </c>
      <c r="BF60" s="69">
        <v>9.1769358725449592</v>
      </c>
      <c r="BG60" s="69">
        <v>131.257058198149</v>
      </c>
      <c r="BH60" s="69">
        <v>59.746668797419296</v>
      </c>
      <c r="BI60" s="69">
        <v>2.0967901679963101</v>
      </c>
      <c r="BJ60" s="69">
        <v>6901.3315768784996</v>
      </c>
      <c r="BK60" s="69">
        <v>1993.2488791506801</v>
      </c>
      <c r="BL60" s="69">
        <v>195.53878459005699</v>
      </c>
      <c r="BM60" s="69">
        <v>3108.9129018891499</v>
      </c>
      <c r="BN60" s="69">
        <v>17.068401222257599</v>
      </c>
      <c r="BO60" s="69">
        <v>21.379212406044601</v>
      </c>
      <c r="BP60" s="69">
        <v>20.582704643318799</v>
      </c>
      <c r="BQ60" s="70">
        <v>0</v>
      </c>
      <c r="BR60" s="71">
        <v>71031.098956513</v>
      </c>
      <c r="BS60" s="72">
        <v>27111.342847600699</v>
      </c>
      <c r="BT60" s="73">
        <v>0</v>
      </c>
      <c r="BU60" s="73">
        <v>0</v>
      </c>
      <c r="BV60" s="121">
        <v>1619.7734519251901</v>
      </c>
      <c r="BW60" s="73">
        <v>10195.9141037791</v>
      </c>
      <c r="BX60" s="74">
        <v>16.870541800346899</v>
      </c>
      <c r="BY60" s="107">
        <v>38943.900945105299</v>
      </c>
      <c r="BZ60" s="75">
        <v>109974.99990161799</v>
      </c>
    </row>
    <row r="61" spans="1:78" ht="15" customHeight="1" x14ac:dyDescent="0.3">
      <c r="A61" s="33" t="s">
        <v>79</v>
      </c>
      <c r="B61" s="11" t="s">
        <v>147</v>
      </c>
      <c r="C61" s="68">
        <v>24.110876382382202</v>
      </c>
      <c r="D61" s="69">
        <v>593.07646043614795</v>
      </c>
      <c r="E61" s="69">
        <v>138.587535769596</v>
      </c>
      <c r="F61" s="69">
        <v>68.013946846532605</v>
      </c>
      <c r="G61" s="69">
        <v>1042.56225747394</v>
      </c>
      <c r="H61" s="69">
        <v>39.688420374784897</v>
      </c>
      <c r="I61" s="69">
        <v>0.87491325317721702</v>
      </c>
      <c r="J61" s="69">
        <v>4356.9122361565196</v>
      </c>
      <c r="K61" s="69">
        <v>575.96572710274097</v>
      </c>
      <c r="L61" s="69">
        <v>5852.7170631523604</v>
      </c>
      <c r="M61" s="69">
        <v>8072.3657973713598</v>
      </c>
      <c r="N61" s="69">
        <v>454.50411529401202</v>
      </c>
      <c r="O61" s="69">
        <v>152.49165645750301</v>
      </c>
      <c r="P61" s="69">
        <v>595.81569983393297</v>
      </c>
      <c r="Q61" s="69">
        <v>1004.57087861282</v>
      </c>
      <c r="R61" s="69">
        <v>101.60633016253099</v>
      </c>
      <c r="S61" s="69">
        <v>1064.05846632115</v>
      </c>
      <c r="T61" s="69">
        <v>82.654752944890404</v>
      </c>
      <c r="U61" s="69">
        <v>415.858182582675</v>
      </c>
      <c r="V61" s="69">
        <v>365.12423520945998</v>
      </c>
      <c r="W61" s="69">
        <v>272.140611961096</v>
      </c>
      <c r="X61" s="69">
        <v>897.00084388401797</v>
      </c>
      <c r="Y61" s="69">
        <v>1929.0601562564</v>
      </c>
      <c r="Z61" s="69">
        <v>3182.41879120769</v>
      </c>
      <c r="AA61" s="69">
        <v>979.792732862717</v>
      </c>
      <c r="AB61" s="69">
        <v>537.25363075338896</v>
      </c>
      <c r="AC61" s="69">
        <v>434.86153911363198</v>
      </c>
      <c r="AD61" s="69">
        <v>31.867629671012399</v>
      </c>
      <c r="AE61" s="69">
        <v>887.60172741878603</v>
      </c>
      <c r="AF61" s="69">
        <v>1966.96180120296</v>
      </c>
      <c r="AG61" s="69">
        <v>985.66068629660697</v>
      </c>
      <c r="AH61" s="69">
        <v>929.05297100353198</v>
      </c>
      <c r="AI61" s="69">
        <v>4920.2294856093304</v>
      </c>
      <c r="AJ61" s="69">
        <v>241.098055046192</v>
      </c>
      <c r="AK61" s="69">
        <v>336.58192653426499</v>
      </c>
      <c r="AL61" s="69">
        <v>717.14072099186103</v>
      </c>
      <c r="AM61" s="69">
        <v>223.823432636099</v>
      </c>
      <c r="AN61" s="69">
        <v>3309.0691618727201</v>
      </c>
      <c r="AO61" s="69">
        <v>362.54420954633599</v>
      </c>
      <c r="AP61" s="69">
        <v>2273.6964613877499</v>
      </c>
      <c r="AQ61" s="69">
        <v>36588.649975261404</v>
      </c>
      <c r="AR61" s="69">
        <v>1322.81303089413</v>
      </c>
      <c r="AS61" s="69">
        <v>107.63758884516299</v>
      </c>
      <c r="AT61" s="69">
        <v>220.390870164289</v>
      </c>
      <c r="AU61" s="69">
        <v>2676.6855470770201</v>
      </c>
      <c r="AV61" s="69">
        <v>457.464305795266</v>
      </c>
      <c r="AW61" s="69">
        <v>1125.9187983117799</v>
      </c>
      <c r="AX61" s="69">
        <v>924.53912961455796</v>
      </c>
      <c r="AY61" s="69">
        <v>2665.1331326373102</v>
      </c>
      <c r="AZ61" s="69">
        <v>3778.7217173744498</v>
      </c>
      <c r="BA61" s="69">
        <v>4916.0468537222996</v>
      </c>
      <c r="BB61" s="69">
        <v>13796.4764699057</v>
      </c>
      <c r="BC61" s="69">
        <v>1285.01041104</v>
      </c>
      <c r="BD61" s="69">
        <v>6877.0048162662397</v>
      </c>
      <c r="BE61" s="69">
        <v>823.24974877448699</v>
      </c>
      <c r="BF61" s="69">
        <v>4772.7337803063501</v>
      </c>
      <c r="BG61" s="69">
        <v>1872.63467218962</v>
      </c>
      <c r="BH61" s="69">
        <v>2839.3194119208902</v>
      </c>
      <c r="BI61" s="69">
        <v>336.67890785781702</v>
      </c>
      <c r="BJ61" s="69">
        <v>4671.4337413535504</v>
      </c>
      <c r="BK61" s="69">
        <v>847.21164442980603</v>
      </c>
      <c r="BL61" s="69">
        <v>4306.6712591977803</v>
      </c>
      <c r="BM61" s="69">
        <v>1693.3437999473899</v>
      </c>
      <c r="BN61" s="69">
        <v>51.8237952127675</v>
      </c>
      <c r="BO61" s="69">
        <v>2221.3376047342699</v>
      </c>
      <c r="BP61" s="69">
        <v>2638.7392325391702</v>
      </c>
      <c r="BQ61" s="70">
        <v>0</v>
      </c>
      <c r="BR61" s="71">
        <v>154237.08637236801</v>
      </c>
      <c r="BS61" s="72">
        <v>6050.9818886637804</v>
      </c>
      <c r="BT61" s="73">
        <v>0</v>
      </c>
      <c r="BU61" s="73">
        <v>0</v>
      </c>
      <c r="BV61" s="121">
        <v>2760.0746200952899</v>
      </c>
      <c r="BW61" s="73">
        <v>0</v>
      </c>
      <c r="BX61" s="74">
        <v>0</v>
      </c>
      <c r="BY61" s="107">
        <v>8811.0565087590603</v>
      </c>
      <c r="BZ61" s="75">
        <v>163048.14288112699</v>
      </c>
    </row>
    <row r="62" spans="1:78" ht="15" customHeight="1" x14ac:dyDescent="0.3">
      <c r="A62" s="33" t="s">
        <v>80</v>
      </c>
      <c r="B62" s="11" t="s">
        <v>148</v>
      </c>
      <c r="C62" s="68">
        <v>967.96986352111901</v>
      </c>
      <c r="D62" s="69">
        <v>137.09670195555199</v>
      </c>
      <c r="E62" s="69">
        <v>169.82280206999999</v>
      </c>
      <c r="F62" s="69">
        <v>377.42889099178598</v>
      </c>
      <c r="G62" s="69">
        <v>16257.3166265652</v>
      </c>
      <c r="H62" s="69">
        <v>5448.8713309513696</v>
      </c>
      <c r="I62" s="69">
        <v>403.50716540793297</v>
      </c>
      <c r="J62" s="69">
        <v>677.322751174367</v>
      </c>
      <c r="K62" s="69">
        <v>989.97053130128404</v>
      </c>
      <c r="L62" s="69">
        <v>1957.6828779034399</v>
      </c>
      <c r="M62" s="69">
        <v>604.77690590084399</v>
      </c>
      <c r="N62" s="69">
        <v>102.587817942851</v>
      </c>
      <c r="O62" s="69">
        <v>114.17731446995199</v>
      </c>
      <c r="P62" s="69">
        <v>173.15600662085501</v>
      </c>
      <c r="Q62" s="69">
        <v>106.108870644967</v>
      </c>
      <c r="R62" s="69">
        <v>344.42356051132998</v>
      </c>
      <c r="S62" s="69">
        <v>1669.2883781764201</v>
      </c>
      <c r="T62" s="69">
        <v>223.777076786066</v>
      </c>
      <c r="U62" s="69">
        <v>953.17242400227997</v>
      </c>
      <c r="V62" s="69">
        <v>240.45261548760999</v>
      </c>
      <c r="W62" s="69">
        <v>1212.01264202632</v>
      </c>
      <c r="X62" s="69">
        <v>899.00842782302095</v>
      </c>
      <c r="Y62" s="69">
        <v>143.459924301261</v>
      </c>
      <c r="Z62" s="69">
        <v>339.81588582781899</v>
      </c>
      <c r="AA62" s="69">
        <v>1298.1685989477201</v>
      </c>
      <c r="AB62" s="69">
        <v>754.16482593671299</v>
      </c>
      <c r="AC62" s="69">
        <v>1204.18641560012</v>
      </c>
      <c r="AD62" s="69">
        <v>480.280092456109</v>
      </c>
      <c r="AE62" s="69">
        <v>1099.9289140420899</v>
      </c>
      <c r="AF62" s="69">
        <v>787.86327344983397</v>
      </c>
      <c r="AG62" s="69">
        <v>359.91092912678198</v>
      </c>
      <c r="AH62" s="69">
        <v>1247.6359826791199</v>
      </c>
      <c r="AI62" s="69">
        <v>2766.9454512018001</v>
      </c>
      <c r="AJ62" s="69">
        <v>978.89098325954001</v>
      </c>
      <c r="AK62" s="69">
        <v>808.321538551647</v>
      </c>
      <c r="AL62" s="69">
        <v>413.295752838233</v>
      </c>
      <c r="AM62" s="69">
        <v>483.693206829384</v>
      </c>
      <c r="AN62" s="69">
        <v>729.11129171000402</v>
      </c>
      <c r="AO62" s="69">
        <v>2534.8498264820701</v>
      </c>
      <c r="AP62" s="69">
        <v>3575.4070621953501</v>
      </c>
      <c r="AQ62" s="69">
        <v>15864.7263250907</v>
      </c>
      <c r="AR62" s="69">
        <v>5677.2650783870004</v>
      </c>
      <c r="AS62" s="69">
        <v>2110.6625473934</v>
      </c>
      <c r="AT62" s="69">
        <v>2750.20919524287</v>
      </c>
      <c r="AU62" s="69">
        <v>3689.1712726861801</v>
      </c>
      <c r="AV62" s="69">
        <v>175.51801102205701</v>
      </c>
      <c r="AW62" s="69">
        <v>1898.8841408539699</v>
      </c>
      <c r="AX62" s="69">
        <v>878.51824461833405</v>
      </c>
      <c r="AY62" s="69">
        <v>1682.12070115405</v>
      </c>
      <c r="AZ62" s="69">
        <v>4436.9904154098203</v>
      </c>
      <c r="BA62" s="69">
        <v>6582.2546031622596</v>
      </c>
      <c r="BB62" s="69">
        <v>1503.47746633102</v>
      </c>
      <c r="BC62" s="69">
        <v>438.50167256513299</v>
      </c>
      <c r="BD62" s="69">
        <v>1078.38750207302</v>
      </c>
      <c r="BE62" s="69">
        <v>1324.9232060096699</v>
      </c>
      <c r="BF62" s="69">
        <v>593.04295584392696</v>
      </c>
      <c r="BG62" s="69">
        <v>2528.2718836244699</v>
      </c>
      <c r="BH62" s="69">
        <v>1648.15989683882</v>
      </c>
      <c r="BI62" s="69">
        <v>507.977635077618</v>
      </c>
      <c r="BJ62" s="69">
        <v>5001.7864216756197</v>
      </c>
      <c r="BK62" s="69">
        <v>1981.5933627691199</v>
      </c>
      <c r="BL62" s="69">
        <v>2900.8928555915199</v>
      </c>
      <c r="BM62" s="69">
        <v>2923.4079022946098</v>
      </c>
      <c r="BN62" s="69">
        <v>1014.86188302779</v>
      </c>
      <c r="BO62" s="69">
        <v>647.89819406763195</v>
      </c>
      <c r="BP62" s="69">
        <v>424.691942285099</v>
      </c>
      <c r="BQ62" s="70">
        <v>0</v>
      </c>
      <c r="BR62" s="71">
        <v>124300.05685276601</v>
      </c>
      <c r="BS62" s="72">
        <v>8265.2791220166291</v>
      </c>
      <c r="BT62" s="73">
        <v>0</v>
      </c>
      <c r="BU62" s="73">
        <v>0</v>
      </c>
      <c r="BV62" s="121">
        <v>6684.7715879085999</v>
      </c>
      <c r="BW62" s="73">
        <v>962.48448155408596</v>
      </c>
      <c r="BX62" s="74">
        <v>8.3841336691225798</v>
      </c>
      <c r="BY62" s="107">
        <v>15920.919325148399</v>
      </c>
      <c r="BZ62" s="75">
        <v>140220.97617791401</v>
      </c>
    </row>
    <row r="63" spans="1:78" ht="15" customHeight="1" x14ac:dyDescent="0.3">
      <c r="A63" s="33" t="s">
        <v>81</v>
      </c>
      <c r="B63" s="11" t="s">
        <v>149</v>
      </c>
      <c r="C63" s="68">
        <v>48.056958982102103</v>
      </c>
      <c r="D63" s="69">
        <v>24.042533419149599</v>
      </c>
      <c r="E63" s="69">
        <v>35.833167478321698</v>
      </c>
      <c r="F63" s="69">
        <v>1046.3259478381301</v>
      </c>
      <c r="G63" s="69">
        <v>1241.5469857089299</v>
      </c>
      <c r="H63" s="69">
        <v>2411.0997665925302</v>
      </c>
      <c r="I63" s="69">
        <v>405.91051321464897</v>
      </c>
      <c r="J63" s="69">
        <v>1436.1853975106701</v>
      </c>
      <c r="K63" s="69">
        <v>1226.5182213175001</v>
      </c>
      <c r="L63" s="69">
        <v>2028.66755890996</v>
      </c>
      <c r="M63" s="69">
        <v>1740.6004293925801</v>
      </c>
      <c r="N63" s="69">
        <v>345.61075287835098</v>
      </c>
      <c r="O63" s="69">
        <v>263.87158619996097</v>
      </c>
      <c r="P63" s="69">
        <v>348.19640916569301</v>
      </c>
      <c r="Q63" s="69">
        <v>379.70410638551198</v>
      </c>
      <c r="R63" s="69">
        <v>114.219292226173</v>
      </c>
      <c r="S63" s="69">
        <v>1163.8761361038501</v>
      </c>
      <c r="T63" s="69">
        <v>40.339178052126798</v>
      </c>
      <c r="U63" s="69">
        <v>457.36689282947901</v>
      </c>
      <c r="V63" s="69">
        <v>1206.0767003804799</v>
      </c>
      <c r="W63" s="69">
        <v>873.84770978961501</v>
      </c>
      <c r="X63" s="69">
        <v>1200.5665410972699</v>
      </c>
      <c r="Y63" s="69">
        <v>478.85945726023402</v>
      </c>
      <c r="Z63" s="69">
        <v>1333.6174445448301</v>
      </c>
      <c r="AA63" s="69">
        <v>1047.98371506888</v>
      </c>
      <c r="AB63" s="69">
        <v>1649.2412023972799</v>
      </c>
      <c r="AC63" s="69">
        <v>895.692752694364</v>
      </c>
      <c r="AD63" s="69">
        <v>1113.2532742228</v>
      </c>
      <c r="AE63" s="69">
        <v>1356.6023792056701</v>
      </c>
      <c r="AF63" s="69">
        <v>1251.47967467136</v>
      </c>
      <c r="AG63" s="69">
        <v>1039.0455423502699</v>
      </c>
      <c r="AH63" s="69">
        <v>3612.7529837704101</v>
      </c>
      <c r="AI63" s="69">
        <v>1630.52500228384</v>
      </c>
      <c r="AJ63" s="69">
        <v>510.53978857578602</v>
      </c>
      <c r="AK63" s="69">
        <v>144.11775781500501</v>
      </c>
      <c r="AL63" s="69">
        <v>433.30036969058199</v>
      </c>
      <c r="AM63" s="69">
        <v>495.39467150846599</v>
      </c>
      <c r="AN63" s="69">
        <v>2981.88568297046</v>
      </c>
      <c r="AO63" s="69">
        <v>661.38392015675504</v>
      </c>
      <c r="AP63" s="69">
        <v>2629.8147729188099</v>
      </c>
      <c r="AQ63" s="69">
        <v>56021.655379923002</v>
      </c>
      <c r="AR63" s="69">
        <v>3399.4028987216502</v>
      </c>
      <c r="AS63" s="69">
        <v>183.097757397398</v>
      </c>
      <c r="AT63" s="69">
        <v>1162.4342101792599</v>
      </c>
      <c r="AU63" s="69">
        <v>5086.2952419009998</v>
      </c>
      <c r="AV63" s="69">
        <v>1156.67750929411</v>
      </c>
      <c r="AW63" s="69">
        <v>2698.1758681855499</v>
      </c>
      <c r="AX63" s="69">
        <v>270.49974313299401</v>
      </c>
      <c r="AY63" s="69">
        <v>1155.4900646860999</v>
      </c>
      <c r="AZ63" s="69">
        <v>26385.689230856002</v>
      </c>
      <c r="BA63" s="69">
        <v>14603.677344600799</v>
      </c>
      <c r="BB63" s="69">
        <v>26351.445485525099</v>
      </c>
      <c r="BC63" s="69">
        <v>1882.1720677145299</v>
      </c>
      <c r="BD63" s="69">
        <v>6640.1118771286601</v>
      </c>
      <c r="BE63" s="69">
        <v>916.01156179874397</v>
      </c>
      <c r="BF63" s="69">
        <v>1481.70653531679</v>
      </c>
      <c r="BG63" s="69">
        <v>1087.18195681663</v>
      </c>
      <c r="BH63" s="69">
        <v>9016.1489418356105</v>
      </c>
      <c r="BI63" s="69">
        <v>726.42257071654899</v>
      </c>
      <c r="BJ63" s="69">
        <v>28512.6306837093</v>
      </c>
      <c r="BK63" s="69">
        <v>14275.711948071201</v>
      </c>
      <c r="BL63" s="69">
        <v>6633.2812246477597</v>
      </c>
      <c r="BM63" s="69">
        <v>15842.5606846925</v>
      </c>
      <c r="BN63" s="69">
        <v>4874.4118014276901</v>
      </c>
      <c r="BO63" s="69">
        <v>1491.3824091681399</v>
      </c>
      <c r="BP63" s="69">
        <v>7824.2057842428603</v>
      </c>
      <c r="BQ63" s="70">
        <v>0</v>
      </c>
      <c r="BR63" s="71">
        <v>280982.43395926902</v>
      </c>
      <c r="BS63" s="72">
        <v>9493.6204776242703</v>
      </c>
      <c r="BT63" s="73">
        <v>0</v>
      </c>
      <c r="BU63" s="73">
        <v>39053</v>
      </c>
      <c r="BV63" s="121">
        <v>12978.254210568301</v>
      </c>
      <c r="BW63" s="73">
        <v>43.725958577148099</v>
      </c>
      <c r="BX63" s="74">
        <v>0</v>
      </c>
      <c r="BY63" s="107">
        <v>61568.600646769701</v>
      </c>
      <c r="BZ63" s="75">
        <v>342551.03460603801</v>
      </c>
    </row>
    <row r="64" spans="1:78" ht="15" customHeight="1" x14ac:dyDescent="0.3">
      <c r="A64" s="33" t="s">
        <v>82</v>
      </c>
      <c r="B64" s="11" t="s">
        <v>150</v>
      </c>
      <c r="C64" s="68">
        <v>1.03297363357491</v>
      </c>
      <c r="D64" s="69">
        <v>8.2246577382622307E-3</v>
      </c>
      <c r="E64" s="69">
        <v>2.0043925553681601</v>
      </c>
      <c r="F64" s="69">
        <v>10.0221583163926</v>
      </c>
      <c r="G64" s="69">
        <v>149.16402293970799</v>
      </c>
      <c r="H64" s="69">
        <v>196.31562009257499</v>
      </c>
      <c r="I64" s="69">
        <v>25.027303625552602</v>
      </c>
      <c r="J64" s="69">
        <v>541.26323787635999</v>
      </c>
      <c r="K64" s="69">
        <v>248.14641734748801</v>
      </c>
      <c r="L64" s="69">
        <v>415.738045781761</v>
      </c>
      <c r="M64" s="69">
        <v>152.05021787059701</v>
      </c>
      <c r="N64" s="69">
        <v>183.03514704825801</v>
      </c>
      <c r="O64" s="69">
        <v>38.179084493059499</v>
      </c>
      <c r="P64" s="69">
        <v>36.210627429978402</v>
      </c>
      <c r="Q64" s="69">
        <v>38.1143436175795</v>
      </c>
      <c r="R64" s="69">
        <v>104.084029040758</v>
      </c>
      <c r="S64" s="69">
        <v>751.35614672684596</v>
      </c>
      <c r="T64" s="69">
        <v>16.023546398008101</v>
      </c>
      <c r="U64" s="69">
        <v>180.15186901685601</v>
      </c>
      <c r="V64" s="69">
        <v>4.2196994044752696</v>
      </c>
      <c r="W64" s="69">
        <v>473.24936912889302</v>
      </c>
      <c r="X64" s="69">
        <v>232.186224701817</v>
      </c>
      <c r="Y64" s="69">
        <v>40.067898657132702</v>
      </c>
      <c r="Z64" s="69">
        <v>293.25683779408098</v>
      </c>
      <c r="AA64" s="69">
        <v>273.39511533052399</v>
      </c>
      <c r="AB64" s="69">
        <v>573.27793077455101</v>
      </c>
      <c r="AC64" s="69">
        <v>103.30477466809801</v>
      </c>
      <c r="AD64" s="69">
        <v>93.070682000759206</v>
      </c>
      <c r="AE64" s="69">
        <v>250.2702599006</v>
      </c>
      <c r="AF64" s="69">
        <v>142.196733467097</v>
      </c>
      <c r="AG64" s="69">
        <v>113.170029479131</v>
      </c>
      <c r="AH64" s="69">
        <v>356.89852552759902</v>
      </c>
      <c r="AI64" s="69">
        <v>496.08607855195601</v>
      </c>
      <c r="AJ64" s="69">
        <v>334.07558553318</v>
      </c>
      <c r="AK64" s="69">
        <v>80.028981745788599</v>
      </c>
      <c r="AL64" s="69">
        <v>62.180365312268101</v>
      </c>
      <c r="AM64" s="69">
        <v>206.02734915986099</v>
      </c>
      <c r="AN64" s="69">
        <v>269.25007824527398</v>
      </c>
      <c r="AO64" s="69">
        <v>670.23165842675701</v>
      </c>
      <c r="AP64" s="69">
        <v>616.39163346131795</v>
      </c>
      <c r="AQ64" s="69">
        <v>7203.0068219689601</v>
      </c>
      <c r="AR64" s="69">
        <v>1971.25889935751</v>
      </c>
      <c r="AS64" s="69">
        <v>43.036554498523799</v>
      </c>
      <c r="AT64" s="69">
        <v>176.02938241337</v>
      </c>
      <c r="AU64" s="69">
        <v>4029.2989625975401</v>
      </c>
      <c r="AV64" s="69">
        <v>97.3516635301024</v>
      </c>
      <c r="AW64" s="69">
        <v>640.57085945294205</v>
      </c>
      <c r="AX64" s="69">
        <v>29.089040410668598</v>
      </c>
      <c r="AY64" s="69">
        <v>275.206449718915</v>
      </c>
      <c r="AZ64" s="69">
        <v>531.92614983405804</v>
      </c>
      <c r="BA64" s="69">
        <v>919.97117456085402</v>
      </c>
      <c r="BB64" s="69">
        <v>4254.5515753570999</v>
      </c>
      <c r="BC64" s="69">
        <v>201.660069733113</v>
      </c>
      <c r="BD64" s="69">
        <v>924.82747115288998</v>
      </c>
      <c r="BE64" s="69">
        <v>17.327175635757602</v>
      </c>
      <c r="BF64" s="69">
        <v>330.57080838401299</v>
      </c>
      <c r="BG64" s="69">
        <v>155.50051556546001</v>
      </c>
      <c r="BH64" s="69">
        <v>900.255314255239</v>
      </c>
      <c r="BI64" s="69">
        <v>58.126142279361702</v>
      </c>
      <c r="BJ64" s="69">
        <v>8601.9309325100603</v>
      </c>
      <c r="BK64" s="69">
        <v>4068.2187636188801</v>
      </c>
      <c r="BL64" s="69">
        <v>1657.7375248083299</v>
      </c>
      <c r="BM64" s="69">
        <v>1935.2989088649299</v>
      </c>
      <c r="BN64" s="69">
        <v>0.98335185789248802</v>
      </c>
      <c r="BO64" s="69">
        <v>166.259289182457</v>
      </c>
      <c r="BP64" s="69">
        <v>3.19305899318408</v>
      </c>
      <c r="BQ64" s="70">
        <v>0</v>
      </c>
      <c r="BR64" s="71">
        <v>47963.950080281698</v>
      </c>
      <c r="BS64" s="72">
        <v>1.6936756191732401</v>
      </c>
      <c r="BT64" s="73">
        <v>0</v>
      </c>
      <c r="BU64" s="73">
        <v>0</v>
      </c>
      <c r="BV64" s="121">
        <v>576.27941119273805</v>
      </c>
      <c r="BW64" s="73">
        <v>0</v>
      </c>
      <c r="BX64" s="74">
        <v>0</v>
      </c>
      <c r="BY64" s="107">
        <v>577.973086811911</v>
      </c>
      <c r="BZ64" s="75">
        <v>48541.923167093599</v>
      </c>
    </row>
    <row r="65" spans="1:80" ht="15" customHeight="1" x14ac:dyDescent="0.3">
      <c r="A65" s="33" t="s">
        <v>83</v>
      </c>
      <c r="B65" s="11" t="s">
        <v>151</v>
      </c>
      <c r="C65" s="68">
        <v>693.05386610935795</v>
      </c>
      <c r="D65" s="69">
        <v>204.30946010768901</v>
      </c>
      <c r="E65" s="69">
        <v>25.276535882434899</v>
      </c>
      <c r="F65" s="69">
        <v>45.523534862032101</v>
      </c>
      <c r="G65" s="69">
        <v>648.21934830535702</v>
      </c>
      <c r="H65" s="69">
        <v>482.764930782882</v>
      </c>
      <c r="I65" s="69">
        <v>53.468874137758398</v>
      </c>
      <c r="J65" s="69">
        <v>714.81162087223004</v>
      </c>
      <c r="K65" s="69">
        <v>211.64273735433301</v>
      </c>
      <c r="L65" s="69">
        <v>1067.0633101006199</v>
      </c>
      <c r="M65" s="69">
        <v>704.57099308392299</v>
      </c>
      <c r="N65" s="69">
        <v>86.493443202936106</v>
      </c>
      <c r="O65" s="69">
        <v>53.672004099205502</v>
      </c>
      <c r="P65" s="69">
        <v>72.106904440011903</v>
      </c>
      <c r="Q65" s="69">
        <v>87.113347038122896</v>
      </c>
      <c r="R65" s="69">
        <v>135.11971400271599</v>
      </c>
      <c r="S65" s="69">
        <v>545.29490371350096</v>
      </c>
      <c r="T65" s="69">
        <v>17.668031717992001</v>
      </c>
      <c r="U65" s="69">
        <v>297.96118845968903</v>
      </c>
      <c r="V65" s="69">
        <v>162.557167151436</v>
      </c>
      <c r="W65" s="69">
        <v>2731.7092576865898</v>
      </c>
      <c r="X65" s="69">
        <v>516.41669403933997</v>
      </c>
      <c r="Y65" s="69">
        <v>278.92842329847798</v>
      </c>
      <c r="Z65" s="69">
        <v>495.17316664027697</v>
      </c>
      <c r="AA65" s="69">
        <v>307.887952166253</v>
      </c>
      <c r="AB65" s="69">
        <v>416.48896812278002</v>
      </c>
      <c r="AC65" s="69">
        <v>783.61645351405605</v>
      </c>
      <c r="AD65" s="69">
        <v>368.046660146796</v>
      </c>
      <c r="AE65" s="69">
        <v>243.54318213362299</v>
      </c>
      <c r="AF65" s="69">
        <v>257.27096696215898</v>
      </c>
      <c r="AG65" s="69">
        <v>213.266814052949</v>
      </c>
      <c r="AH65" s="69">
        <v>476.31748638269403</v>
      </c>
      <c r="AI65" s="69">
        <v>589.31017368336302</v>
      </c>
      <c r="AJ65" s="69">
        <v>190.202337197096</v>
      </c>
      <c r="AK65" s="69">
        <v>68.137647483491406</v>
      </c>
      <c r="AL65" s="69">
        <v>119.521025800221</v>
      </c>
      <c r="AM65" s="69">
        <v>129.361612270602</v>
      </c>
      <c r="AN65" s="69">
        <v>679.41877982115204</v>
      </c>
      <c r="AO65" s="69">
        <v>304.01085271110901</v>
      </c>
      <c r="AP65" s="69">
        <v>597.62151244605604</v>
      </c>
      <c r="AQ65" s="69">
        <v>5560.0674040587401</v>
      </c>
      <c r="AR65" s="69">
        <v>574.28070012499404</v>
      </c>
      <c r="AS65" s="69">
        <v>113.256718561469</v>
      </c>
      <c r="AT65" s="69">
        <v>156.437397335745</v>
      </c>
      <c r="AU65" s="69">
        <v>868.724635202027</v>
      </c>
      <c r="AV65" s="69">
        <v>118.848653515666</v>
      </c>
      <c r="AW65" s="69">
        <v>290.73946467551099</v>
      </c>
      <c r="AX65" s="69">
        <v>76.298951994488704</v>
      </c>
      <c r="AY65" s="69">
        <v>322.77098370473999</v>
      </c>
      <c r="AZ65" s="69">
        <v>538.00097274812902</v>
      </c>
      <c r="BA65" s="69">
        <v>857.61744714052304</v>
      </c>
      <c r="BB65" s="69">
        <v>1946.96158627561</v>
      </c>
      <c r="BC65" s="69">
        <v>252.785286934564</v>
      </c>
      <c r="BD65" s="69">
        <v>1317.7327510462901</v>
      </c>
      <c r="BE65" s="69">
        <v>614.02733116194497</v>
      </c>
      <c r="BF65" s="69">
        <v>724.95481037884804</v>
      </c>
      <c r="BG65" s="69">
        <v>195.15235921748001</v>
      </c>
      <c r="BH65" s="69">
        <v>1105.36115967771</v>
      </c>
      <c r="BI65" s="69">
        <v>96.132854529686497</v>
      </c>
      <c r="BJ65" s="69">
        <v>2236.29050787101</v>
      </c>
      <c r="BK65" s="69">
        <v>557.62145680805099</v>
      </c>
      <c r="BL65" s="69">
        <v>613.44784444870402</v>
      </c>
      <c r="BM65" s="69">
        <v>750.44678582047504</v>
      </c>
      <c r="BN65" s="69">
        <v>652.44415171457399</v>
      </c>
      <c r="BO65" s="69">
        <v>258.07306535975403</v>
      </c>
      <c r="BP65" s="69">
        <v>1048.35768701496</v>
      </c>
      <c r="BQ65" s="70">
        <v>0</v>
      </c>
      <c r="BR65" s="71">
        <v>37921.774849305002</v>
      </c>
      <c r="BS65" s="72">
        <v>2889.09221104883</v>
      </c>
      <c r="BT65" s="73">
        <v>933361.65210195305</v>
      </c>
      <c r="BU65" s="73">
        <v>382.72170197269799</v>
      </c>
      <c r="BV65" s="121">
        <v>17396.4954636236</v>
      </c>
      <c r="BW65" s="73">
        <v>10398.749389803899</v>
      </c>
      <c r="BX65" s="74">
        <v>55.810399074061202</v>
      </c>
      <c r="BY65" s="107">
        <v>964484.52126747603</v>
      </c>
      <c r="BZ65" s="75">
        <v>1002406.29611678</v>
      </c>
    </row>
    <row r="66" spans="1:80" ht="15" customHeight="1" x14ac:dyDescent="0.3">
      <c r="A66" s="33" t="s">
        <v>84</v>
      </c>
      <c r="B66" s="11" t="s">
        <v>152</v>
      </c>
      <c r="C66" s="68">
        <v>2.2809407437377098</v>
      </c>
      <c r="D66" s="69">
        <v>0.302125686030639</v>
      </c>
      <c r="E66" s="69">
        <v>6.2108682106315899E-2</v>
      </c>
      <c r="F66" s="69">
        <v>1.91798674557188</v>
      </c>
      <c r="G66" s="69">
        <v>6.2845998021222096</v>
      </c>
      <c r="H66" s="69">
        <v>91.228140899486405</v>
      </c>
      <c r="I66" s="69">
        <v>0.96851713253974103</v>
      </c>
      <c r="J66" s="69">
        <v>36.804668678249897</v>
      </c>
      <c r="K66" s="69">
        <v>6.7192042961302896</v>
      </c>
      <c r="L66" s="69">
        <v>18.982323035537402</v>
      </c>
      <c r="M66" s="69">
        <v>28.2317583996095</v>
      </c>
      <c r="N66" s="69">
        <v>7.4374139339902596</v>
      </c>
      <c r="O66" s="69">
        <v>0.64903235536480597</v>
      </c>
      <c r="P66" s="69">
        <v>5.4596099758998502</v>
      </c>
      <c r="Q66" s="69">
        <v>6.8148888717388996</v>
      </c>
      <c r="R66" s="69">
        <v>5.6804464771093999</v>
      </c>
      <c r="S66" s="69">
        <v>14.6271118263445</v>
      </c>
      <c r="T66" s="69">
        <v>0.41841040058783002</v>
      </c>
      <c r="U66" s="69">
        <v>2.5166977009653402</v>
      </c>
      <c r="V66" s="69">
        <v>1.39722422807172</v>
      </c>
      <c r="W66" s="69">
        <v>39.329004120542599</v>
      </c>
      <c r="X66" s="69">
        <v>11.3919277768263</v>
      </c>
      <c r="Y66" s="69">
        <v>19.339164710332</v>
      </c>
      <c r="Z66" s="69">
        <v>68.870676738628006</v>
      </c>
      <c r="AA66" s="69">
        <v>13.053168290508101</v>
      </c>
      <c r="AB66" s="69">
        <v>13.9343908544146</v>
      </c>
      <c r="AC66" s="69">
        <v>13.441259831905199</v>
      </c>
      <c r="AD66" s="69">
        <v>39.232289230388098</v>
      </c>
      <c r="AE66" s="69">
        <v>6.3409450480945999</v>
      </c>
      <c r="AF66" s="69">
        <v>13.9529111748249</v>
      </c>
      <c r="AG66" s="69">
        <v>42.870647522712197</v>
      </c>
      <c r="AH66" s="69">
        <v>52.346704703665203</v>
      </c>
      <c r="AI66" s="69">
        <v>66.643588369848104</v>
      </c>
      <c r="AJ66" s="69">
        <v>39.1593771548457</v>
      </c>
      <c r="AK66" s="69">
        <v>7.6082928864605401</v>
      </c>
      <c r="AL66" s="69">
        <v>7.7538532967590497</v>
      </c>
      <c r="AM66" s="69">
        <v>1.41883241272593</v>
      </c>
      <c r="AN66" s="69">
        <v>22.802370616172901</v>
      </c>
      <c r="AO66" s="69">
        <v>4.5262374082148904</v>
      </c>
      <c r="AP66" s="69">
        <v>13.4497219975205</v>
      </c>
      <c r="AQ66" s="69">
        <v>159.96421277573199</v>
      </c>
      <c r="AR66" s="69">
        <v>15.8421952226493</v>
      </c>
      <c r="AS66" s="69">
        <v>1.4153544718659501</v>
      </c>
      <c r="AT66" s="69">
        <v>1.1259802701214501</v>
      </c>
      <c r="AU66" s="69">
        <v>16.2467736640276</v>
      </c>
      <c r="AV66" s="69">
        <v>1.7030055028637801</v>
      </c>
      <c r="AW66" s="69">
        <v>4.6062833254652196</v>
      </c>
      <c r="AX66" s="69">
        <v>1.0528174742530101</v>
      </c>
      <c r="AY66" s="69">
        <v>1.7476346267978999</v>
      </c>
      <c r="AZ66" s="69">
        <v>45.477850569071499</v>
      </c>
      <c r="BA66" s="69">
        <v>60.956225209186897</v>
      </c>
      <c r="BB66" s="69">
        <v>52.567611689806803</v>
      </c>
      <c r="BC66" s="69">
        <v>2.94086594408865</v>
      </c>
      <c r="BD66" s="69">
        <v>36.760439539275701</v>
      </c>
      <c r="BE66" s="69">
        <v>243.69772243678699</v>
      </c>
      <c r="BF66" s="69">
        <v>10.945922885616101</v>
      </c>
      <c r="BG66" s="69">
        <v>12.817575684988601</v>
      </c>
      <c r="BH66" s="69">
        <v>30.956133475903101</v>
      </c>
      <c r="BI66" s="69">
        <v>2.8639857420202</v>
      </c>
      <c r="BJ66" s="69">
        <v>34.970141783589703</v>
      </c>
      <c r="BK66" s="69">
        <v>14.5198904024362</v>
      </c>
      <c r="BL66" s="69">
        <v>9.2442013962034792</v>
      </c>
      <c r="BM66" s="69">
        <v>21.1611015947901</v>
      </c>
      <c r="BN66" s="69">
        <v>34.013892519330398</v>
      </c>
      <c r="BO66" s="69">
        <v>3.7830114462547999</v>
      </c>
      <c r="BP66" s="69">
        <v>18.013853358614998</v>
      </c>
      <c r="BQ66" s="70">
        <v>0</v>
      </c>
      <c r="BR66" s="71">
        <v>1575.64325702832</v>
      </c>
      <c r="BS66" s="72">
        <v>42.051399757890003</v>
      </c>
      <c r="BT66" s="73">
        <v>388909.90633098898</v>
      </c>
      <c r="BU66" s="73">
        <v>6.0139602656164497</v>
      </c>
      <c r="BV66" s="121">
        <v>991.98879623462801</v>
      </c>
      <c r="BW66" s="73">
        <v>12919.9502415925</v>
      </c>
      <c r="BX66" s="74">
        <v>3.6424478434043599E-3</v>
      </c>
      <c r="BY66" s="107">
        <v>402869.91437128698</v>
      </c>
      <c r="BZ66" s="75">
        <v>404445.557628315</v>
      </c>
    </row>
    <row r="67" spans="1:80" ht="15" customHeight="1" x14ac:dyDescent="0.3">
      <c r="A67" s="33" t="s">
        <v>85</v>
      </c>
      <c r="B67" s="11" t="s">
        <v>153</v>
      </c>
      <c r="C67" s="68">
        <v>4.8678458692304201</v>
      </c>
      <c r="D67" s="69">
        <v>0.98344123127400596</v>
      </c>
      <c r="E67" s="69">
        <v>1.7349323241418899E-2</v>
      </c>
      <c r="F67" s="69">
        <v>1.06839897351177</v>
      </c>
      <c r="G67" s="69">
        <v>76.905938051138605</v>
      </c>
      <c r="H67" s="69">
        <v>565.335329861996</v>
      </c>
      <c r="I67" s="69">
        <v>48.171514694816302</v>
      </c>
      <c r="J67" s="69">
        <v>7.98536334617138</v>
      </c>
      <c r="K67" s="69">
        <v>0.904492206617726</v>
      </c>
      <c r="L67" s="69">
        <v>39.178884208109899</v>
      </c>
      <c r="M67" s="69">
        <v>1.67173907234893</v>
      </c>
      <c r="N67" s="69">
        <v>0.49230088979928399</v>
      </c>
      <c r="O67" s="69">
        <v>1.72946142681433</v>
      </c>
      <c r="P67" s="69">
        <v>1.18422880447672</v>
      </c>
      <c r="Q67" s="69">
        <v>0.65732380922784395</v>
      </c>
      <c r="R67" s="69">
        <v>0.52986933910435097</v>
      </c>
      <c r="S67" s="69">
        <v>87.146093689678494</v>
      </c>
      <c r="T67" s="69">
        <v>0.13159213041784701</v>
      </c>
      <c r="U67" s="69">
        <v>19.835448276595798</v>
      </c>
      <c r="V67" s="69">
        <v>0.89424775182753102</v>
      </c>
      <c r="W67" s="69">
        <v>29.55747240026</v>
      </c>
      <c r="X67" s="69">
        <v>55.752557958548302</v>
      </c>
      <c r="Y67" s="69">
        <v>1.4259940892884699</v>
      </c>
      <c r="Z67" s="69">
        <v>4.70211485945382</v>
      </c>
      <c r="AA67" s="69">
        <v>3.8964969496012398</v>
      </c>
      <c r="AB67" s="69">
        <v>1.39982016072647</v>
      </c>
      <c r="AC67" s="69">
        <v>367.97241351321497</v>
      </c>
      <c r="AD67" s="69">
        <v>143.68298640344699</v>
      </c>
      <c r="AE67" s="69">
        <v>115.488232842782</v>
      </c>
      <c r="AF67" s="69">
        <v>2.1759378565999801</v>
      </c>
      <c r="AG67" s="69">
        <v>2.8857875884775099</v>
      </c>
      <c r="AH67" s="69">
        <v>44.820331073206397</v>
      </c>
      <c r="AI67" s="69">
        <v>176.13479170364201</v>
      </c>
      <c r="AJ67" s="69">
        <v>4.6062169011908596</v>
      </c>
      <c r="AK67" s="69">
        <v>0.54206984985196305</v>
      </c>
      <c r="AL67" s="69">
        <v>1.0696497191027401</v>
      </c>
      <c r="AM67" s="69">
        <v>11.683739820575701</v>
      </c>
      <c r="AN67" s="69">
        <v>124.547372929744</v>
      </c>
      <c r="AO67" s="69">
        <v>2.0310565021843998</v>
      </c>
      <c r="AP67" s="69">
        <v>4.4610042722650096</v>
      </c>
      <c r="AQ67" s="69">
        <v>1628.1927785522</v>
      </c>
      <c r="AR67" s="69">
        <v>1960.1385280377699</v>
      </c>
      <c r="AS67" s="69">
        <v>180.07777710914999</v>
      </c>
      <c r="AT67" s="69">
        <v>10.7623000604138</v>
      </c>
      <c r="AU67" s="69">
        <v>508.88957871092703</v>
      </c>
      <c r="AV67" s="69">
        <v>3.1504779514951302</v>
      </c>
      <c r="AW67" s="69">
        <v>9.7259864565685099</v>
      </c>
      <c r="AX67" s="69">
        <v>0.42164265048115801</v>
      </c>
      <c r="AY67" s="69">
        <v>1.0088472422414401</v>
      </c>
      <c r="AZ67" s="69">
        <v>69.809519303774195</v>
      </c>
      <c r="BA67" s="69">
        <v>8.3426925009932003</v>
      </c>
      <c r="BB67" s="69">
        <v>3000.77007409316</v>
      </c>
      <c r="BC67" s="69">
        <v>4.0959354656943603</v>
      </c>
      <c r="BD67" s="69">
        <v>3923.63969812096</v>
      </c>
      <c r="BE67" s="69">
        <v>296.796779514354</v>
      </c>
      <c r="BF67" s="69">
        <v>1405.6351160199199</v>
      </c>
      <c r="BG67" s="69">
        <v>112.776985268449</v>
      </c>
      <c r="BH67" s="69">
        <v>3494.9950169151398</v>
      </c>
      <c r="BI67" s="69">
        <v>247.82867336303599</v>
      </c>
      <c r="BJ67" s="69">
        <v>391.55491770229298</v>
      </c>
      <c r="BK67" s="69">
        <v>538.808107575647</v>
      </c>
      <c r="BL67" s="69">
        <v>10.823254515504701</v>
      </c>
      <c r="BM67" s="69">
        <v>809.04693326776203</v>
      </c>
      <c r="BN67" s="69">
        <v>5.9329725240563302</v>
      </c>
      <c r="BO67" s="69">
        <v>7.8031566140286097</v>
      </c>
      <c r="BP67" s="69">
        <v>696.98089541531704</v>
      </c>
      <c r="BQ67" s="70">
        <v>0</v>
      </c>
      <c r="BR67" s="71">
        <v>21286.5355553019</v>
      </c>
      <c r="BS67" s="72">
        <v>42.898580057226603</v>
      </c>
      <c r="BT67" s="73">
        <v>0</v>
      </c>
      <c r="BU67" s="73">
        <v>0</v>
      </c>
      <c r="BV67" s="121">
        <v>131435.23177257099</v>
      </c>
      <c r="BW67" s="73">
        <v>769.390803048968</v>
      </c>
      <c r="BX67" s="74">
        <v>0</v>
      </c>
      <c r="BY67" s="107">
        <v>132247.52115567701</v>
      </c>
      <c r="BZ67" s="75">
        <v>153534.056710979</v>
      </c>
    </row>
    <row r="68" spans="1:80" ht="15" customHeight="1" x14ac:dyDescent="0.3">
      <c r="A68" s="33" t="s">
        <v>86</v>
      </c>
      <c r="B68" s="11" t="s">
        <v>154</v>
      </c>
      <c r="C68" s="68">
        <v>1.8122269546579198E-2</v>
      </c>
      <c r="D68" s="69">
        <v>6.1604788936153103E-4</v>
      </c>
      <c r="E68" s="69">
        <v>3.4530982924428898E-5</v>
      </c>
      <c r="F68" s="69">
        <v>7.4616644895831696E-2</v>
      </c>
      <c r="G68" s="69">
        <v>3.8037042348000899E-2</v>
      </c>
      <c r="H68" s="69">
        <v>11.534436552333499</v>
      </c>
      <c r="I68" s="69">
        <v>3.2870050209865402E-3</v>
      </c>
      <c r="J68" s="69">
        <v>4.3210228720182604</v>
      </c>
      <c r="K68" s="69">
        <v>0.673205069631863</v>
      </c>
      <c r="L68" s="69">
        <v>1.67623874466301</v>
      </c>
      <c r="M68" s="69">
        <v>3.4147966021648899</v>
      </c>
      <c r="N68" s="69">
        <v>0.91951318429869</v>
      </c>
      <c r="O68" s="69">
        <v>2.9519639752686299E-3</v>
      </c>
      <c r="P68" s="69">
        <v>0.62828541091711199</v>
      </c>
      <c r="Q68" s="69">
        <v>0.845492784431504</v>
      </c>
      <c r="R68" s="69">
        <v>0.73553524281153604</v>
      </c>
      <c r="S68" s="69">
        <v>1.5914131476820199</v>
      </c>
      <c r="T68" s="69">
        <v>3.76085318376745E-2</v>
      </c>
      <c r="U68" s="69">
        <v>5.7998550251412298E-3</v>
      </c>
      <c r="V68" s="69">
        <v>1.17663597559557E-2</v>
      </c>
      <c r="W68" s="69">
        <v>4.2415627308473303</v>
      </c>
      <c r="X68" s="69">
        <v>1.1142107013535201</v>
      </c>
      <c r="Y68" s="69">
        <v>2.4285401240402398</v>
      </c>
      <c r="Z68" s="69">
        <v>8.9670213393778102</v>
      </c>
      <c r="AA68" s="69">
        <v>1.4517082191122499</v>
      </c>
      <c r="AB68" s="69">
        <v>1.4435243144429599</v>
      </c>
      <c r="AC68" s="69">
        <v>1.25757108005073</v>
      </c>
      <c r="AD68" s="69">
        <v>5.0298840512540597</v>
      </c>
      <c r="AE68" s="69">
        <v>0.45114462085333401</v>
      </c>
      <c r="AF68" s="69">
        <v>1.5145646147138201</v>
      </c>
      <c r="AG68" s="69">
        <v>5.6179063531347397</v>
      </c>
      <c r="AH68" s="69">
        <v>6.2040130521027104</v>
      </c>
      <c r="AI68" s="69">
        <v>8.5341760868953092</v>
      </c>
      <c r="AJ68" s="69">
        <v>5.1480045087947897</v>
      </c>
      <c r="AK68" s="69">
        <v>0.99231067653563299</v>
      </c>
      <c r="AL68" s="69">
        <v>0.923280214894179</v>
      </c>
      <c r="AM68" s="69">
        <v>4.08493554403059E-2</v>
      </c>
      <c r="AN68" s="69">
        <v>2.2763904475432302</v>
      </c>
      <c r="AO68" s="69">
        <v>0.37904495480067701</v>
      </c>
      <c r="AP68" s="69">
        <v>0.82658279453708505</v>
      </c>
      <c r="AQ68" s="69">
        <v>7.9677369577935098</v>
      </c>
      <c r="AR68" s="69">
        <v>1.45630536145745E-2</v>
      </c>
      <c r="AS68" s="69">
        <v>9.4386698023460303E-4</v>
      </c>
      <c r="AT68" s="69">
        <v>4.3854348314024798E-4</v>
      </c>
      <c r="AU68" s="69">
        <v>0.12896764772629099</v>
      </c>
      <c r="AV68" s="69">
        <v>5.32338642639357E-3</v>
      </c>
      <c r="AW68" s="69">
        <v>2.3287694884234902E-2</v>
      </c>
      <c r="AX68" s="69">
        <v>7.4155310688903006E-2</v>
      </c>
      <c r="AY68" s="69">
        <v>2.2237953003332199E-3</v>
      </c>
      <c r="AZ68" s="69">
        <v>2.13654248801156</v>
      </c>
      <c r="BA68" s="69">
        <v>5.9998309196896198</v>
      </c>
      <c r="BB68" s="69">
        <v>0.25151131009024003</v>
      </c>
      <c r="BC68" s="69">
        <v>1.00875210940174E-2</v>
      </c>
      <c r="BD68" s="69">
        <v>2.6657918817659099E-2</v>
      </c>
      <c r="BE68" s="69">
        <v>32.326887690955097</v>
      </c>
      <c r="BF68" s="69">
        <v>7.9835632521279704E-3</v>
      </c>
      <c r="BG68" s="69">
        <v>1.3639934279497801</v>
      </c>
      <c r="BH68" s="69">
        <v>0.27490241321319803</v>
      </c>
      <c r="BI68" s="69">
        <v>1.4779260691655601E-3</v>
      </c>
      <c r="BJ68" s="69">
        <v>0.55669959349208098</v>
      </c>
      <c r="BK68" s="69">
        <v>7.91275715397977E-2</v>
      </c>
      <c r="BL68" s="69">
        <v>6.4721254077192397E-2</v>
      </c>
      <c r="BM68" s="69">
        <v>0.270680028998463</v>
      </c>
      <c r="BN68" s="69">
        <v>411.06804962084198</v>
      </c>
      <c r="BO68" s="69">
        <v>1.8688167958700899E-2</v>
      </c>
      <c r="BP68" s="69">
        <v>1.77109411419396E-2</v>
      </c>
      <c r="BQ68" s="70">
        <v>0</v>
      </c>
      <c r="BR68" s="71">
        <v>548.06826271704495</v>
      </c>
      <c r="BS68" s="72">
        <v>5.2039819112058998</v>
      </c>
      <c r="BT68" s="73">
        <v>274509.69267792598</v>
      </c>
      <c r="BU68" s="73">
        <v>85.124706467172203</v>
      </c>
      <c r="BV68" s="121">
        <v>2324.7216043804401</v>
      </c>
      <c r="BW68" s="73">
        <v>1772.3563368310599</v>
      </c>
      <c r="BX68" s="74">
        <v>0</v>
      </c>
      <c r="BY68" s="107">
        <v>278697.09930751502</v>
      </c>
      <c r="BZ68" s="75">
        <v>279245.16757023201</v>
      </c>
    </row>
    <row r="69" spans="1:80" ht="15" customHeight="1" x14ac:dyDescent="0.3">
      <c r="A69" s="33" t="s">
        <v>87</v>
      </c>
      <c r="B69" s="11" t="s">
        <v>155</v>
      </c>
      <c r="C69" s="68">
        <v>1.6864932060291101E-2</v>
      </c>
      <c r="D69" s="69">
        <v>1.37985807766018E-2</v>
      </c>
      <c r="E69" s="69">
        <v>1.5331756418446399E-2</v>
      </c>
      <c r="F69" s="69">
        <v>6.0794773961722497E-2</v>
      </c>
      <c r="G69" s="69">
        <v>0.95670160051105801</v>
      </c>
      <c r="H69" s="69">
        <v>0.35185836348993998</v>
      </c>
      <c r="I69" s="69">
        <v>6.1327025673785798E-2</v>
      </c>
      <c r="J69" s="69">
        <v>2.0516823842902498</v>
      </c>
      <c r="K69" s="69">
        <v>0.574750127208706</v>
      </c>
      <c r="L69" s="69">
        <v>1.2199309647007499</v>
      </c>
      <c r="M69" s="69">
        <v>0.212125932054054</v>
      </c>
      <c r="N69" s="69">
        <v>7.3838574796052506E-2</v>
      </c>
      <c r="O69" s="69">
        <v>0.70832714653222595</v>
      </c>
      <c r="P69" s="69">
        <v>0.85635398334322999</v>
      </c>
      <c r="Q69" s="69">
        <v>0.18935899964646399</v>
      </c>
      <c r="R69" s="69">
        <v>0.13726281757091899</v>
      </c>
      <c r="S69" s="69">
        <v>0.51673559680611902</v>
      </c>
      <c r="T69" s="69">
        <v>0.113955459461394</v>
      </c>
      <c r="U69" s="69">
        <v>0.53047877207824701</v>
      </c>
      <c r="V69" s="69">
        <v>0.80338403632659405</v>
      </c>
      <c r="W69" s="69">
        <v>0.66929020705844</v>
      </c>
      <c r="X69" s="69">
        <v>0.27718689370215399</v>
      </c>
      <c r="Y69" s="69">
        <v>0.41785757578579003</v>
      </c>
      <c r="Z69" s="69">
        <v>0.74764838130593803</v>
      </c>
      <c r="AA69" s="69">
        <v>1.11113907362412</v>
      </c>
      <c r="AB69" s="69">
        <v>0.54999678870898305</v>
      </c>
      <c r="AC69" s="69">
        <v>0.79740210850520699</v>
      </c>
      <c r="AD69" s="69">
        <v>9.9226802026914501E-2</v>
      </c>
      <c r="AE69" s="69">
        <v>0.645339786227905</v>
      </c>
      <c r="AF69" s="69">
        <v>0.40994555358905699</v>
      </c>
      <c r="AG69" s="69">
        <v>0.36480770129506601</v>
      </c>
      <c r="AH69" s="69">
        <v>0.74180996045298497</v>
      </c>
      <c r="AI69" s="69">
        <v>0.34148399520579797</v>
      </c>
      <c r="AJ69" s="69">
        <v>0.54841547534022295</v>
      </c>
      <c r="AK69" s="69">
        <v>0.11163571413010499</v>
      </c>
      <c r="AL69" s="69">
        <v>0.58591923917216404</v>
      </c>
      <c r="AM69" s="69">
        <v>0.121621337670618</v>
      </c>
      <c r="AN69" s="69">
        <v>1.51617537680579</v>
      </c>
      <c r="AO69" s="69">
        <v>0.80685548033365595</v>
      </c>
      <c r="AP69" s="69">
        <v>2.2826760024764701</v>
      </c>
      <c r="AQ69" s="69">
        <v>104.036007421992</v>
      </c>
      <c r="AR69" s="69">
        <v>2.9237659489977399</v>
      </c>
      <c r="AS69" s="69">
        <v>0.24224175141145399</v>
      </c>
      <c r="AT69" s="69">
        <v>0.19471330651426999</v>
      </c>
      <c r="AU69" s="69">
        <v>8.2285536697802097</v>
      </c>
      <c r="AV69" s="69">
        <v>2.33042697560386</v>
      </c>
      <c r="AW69" s="69">
        <v>10.3397365286003</v>
      </c>
      <c r="AX69" s="69">
        <v>0.364363551046962</v>
      </c>
      <c r="AY69" s="69">
        <v>0.98736511334795096</v>
      </c>
      <c r="AZ69" s="69">
        <v>4.3510489283237099</v>
      </c>
      <c r="BA69" s="69">
        <v>6.1084887483684804</v>
      </c>
      <c r="BB69" s="69">
        <v>10.181755857995901</v>
      </c>
      <c r="BC69" s="69">
        <v>4.3572851741224801</v>
      </c>
      <c r="BD69" s="69">
        <v>11.8361159550407</v>
      </c>
      <c r="BE69" s="69">
        <v>2.4933287135337698</v>
      </c>
      <c r="BF69" s="69">
        <v>3.54470208394482</v>
      </c>
      <c r="BG69" s="69">
        <v>2.5513232530283099</v>
      </c>
      <c r="BH69" s="69">
        <v>7.9177558969562902</v>
      </c>
      <c r="BI69" s="69">
        <v>0.65619917470950795</v>
      </c>
      <c r="BJ69" s="69">
        <v>58.363227919423203</v>
      </c>
      <c r="BK69" s="69">
        <v>7.1329956929602298</v>
      </c>
      <c r="BL69" s="69">
        <v>11.5054504783671</v>
      </c>
      <c r="BM69" s="69">
        <v>27.715898046108101</v>
      </c>
      <c r="BN69" s="69">
        <v>48032.774050932203</v>
      </c>
      <c r="BO69" s="69">
        <v>8.2975465736632206</v>
      </c>
      <c r="BP69" s="69">
        <v>7.8636578670211801</v>
      </c>
      <c r="BQ69" s="70">
        <v>0</v>
      </c>
      <c r="BR69" s="71">
        <v>48359.9093008442</v>
      </c>
      <c r="BS69" s="72">
        <v>573.66506084129696</v>
      </c>
      <c r="BT69" s="73">
        <v>60417.763933585898</v>
      </c>
      <c r="BU69" s="73">
        <v>9953.7784063400504</v>
      </c>
      <c r="BV69" s="121">
        <v>271981.91258647101</v>
      </c>
      <c r="BW69" s="73">
        <v>24.188828149060701</v>
      </c>
      <c r="BX69" s="74">
        <v>0</v>
      </c>
      <c r="BY69" s="107">
        <v>342951.30881538702</v>
      </c>
      <c r="BZ69" s="75">
        <v>391311.21811623097</v>
      </c>
    </row>
    <row r="70" spans="1:80" ht="15" customHeight="1" x14ac:dyDescent="0.3">
      <c r="A70" s="33" t="s">
        <v>88</v>
      </c>
      <c r="B70" s="11" t="s">
        <v>156</v>
      </c>
      <c r="C70" s="68">
        <v>0.32030673084177003</v>
      </c>
      <c r="D70" s="69">
        <v>7.3362236631412401</v>
      </c>
      <c r="E70" s="69">
        <v>1.72014597038436</v>
      </c>
      <c r="F70" s="69">
        <v>0.87395700606033799</v>
      </c>
      <c r="G70" s="69">
        <v>13.3270241459571</v>
      </c>
      <c r="H70" s="69">
        <v>0.71788227753980005</v>
      </c>
      <c r="I70" s="69">
        <v>4.7592134331429697E-2</v>
      </c>
      <c r="J70" s="69">
        <v>55.203176737059103</v>
      </c>
      <c r="K70" s="69">
        <v>7.4038472166315996</v>
      </c>
      <c r="L70" s="69">
        <v>73.122559776394894</v>
      </c>
      <c r="M70" s="69">
        <v>99.814952119672299</v>
      </c>
      <c r="N70" s="69">
        <v>5.6555790589778203</v>
      </c>
      <c r="O70" s="69">
        <v>2.24280648286621</v>
      </c>
      <c r="P70" s="69">
        <v>7.7885747432611803</v>
      </c>
      <c r="Q70" s="69">
        <v>12.5342804908174</v>
      </c>
      <c r="R70" s="69">
        <v>1.3448289221413099</v>
      </c>
      <c r="S70" s="69">
        <v>13.5081865025833</v>
      </c>
      <c r="T70" s="69">
        <v>1.07612779525983</v>
      </c>
      <c r="U70" s="69">
        <v>5.41494336830592</v>
      </c>
      <c r="V70" s="69">
        <v>4.9258845675281604</v>
      </c>
      <c r="W70" s="69">
        <v>3.7178506198327201</v>
      </c>
      <c r="X70" s="69">
        <v>11.2725404312338</v>
      </c>
      <c r="Y70" s="69">
        <v>24.012613836580801</v>
      </c>
      <c r="Z70" s="69">
        <v>39.680706284950901</v>
      </c>
      <c r="AA70" s="69">
        <v>12.7152435159178</v>
      </c>
      <c r="AB70" s="69">
        <v>6.9756789451331196</v>
      </c>
      <c r="AC70" s="69">
        <v>5.8197565156184403</v>
      </c>
      <c r="AD70" s="69">
        <v>0.43968516795157803</v>
      </c>
      <c r="AE70" s="69">
        <v>11.3420497186095</v>
      </c>
      <c r="AF70" s="69">
        <v>24.54496631196</v>
      </c>
      <c r="AG70" s="69">
        <v>12.370036028164201</v>
      </c>
      <c r="AH70" s="69">
        <v>12.1652318586621</v>
      </c>
      <c r="AI70" s="69">
        <v>60.913403452796501</v>
      </c>
      <c r="AJ70" s="69">
        <v>3.1989860794076201</v>
      </c>
      <c r="AK70" s="69">
        <v>4.2099130043379001</v>
      </c>
      <c r="AL70" s="69">
        <v>9.1673143986112606</v>
      </c>
      <c r="AM70" s="69">
        <v>2.8249297433830201</v>
      </c>
      <c r="AN70" s="69">
        <v>41.572675215638597</v>
      </c>
      <c r="AO70" s="69">
        <v>4.8992082876694196</v>
      </c>
      <c r="AP70" s="69">
        <v>29.152350754057299</v>
      </c>
      <c r="AQ70" s="69">
        <v>501.12357571369</v>
      </c>
      <c r="AR70" s="69">
        <v>18.075131210748101</v>
      </c>
      <c r="AS70" s="69">
        <v>1.4405628840606199</v>
      </c>
      <c r="AT70" s="69">
        <v>2.8117927161129499</v>
      </c>
      <c r="AU70" s="69">
        <v>36.859331949484599</v>
      </c>
      <c r="AV70" s="69">
        <v>20.625914273205201</v>
      </c>
      <c r="AW70" s="69">
        <v>18.643974531316299</v>
      </c>
      <c r="AX70" s="69">
        <v>11.6046168786251</v>
      </c>
      <c r="AY70" s="69">
        <v>1907.3392994072201</v>
      </c>
      <c r="AZ70" s="69">
        <v>313.05306636051898</v>
      </c>
      <c r="BA70" s="69">
        <v>63.519858927549102</v>
      </c>
      <c r="BB70" s="69">
        <v>175.10641182870799</v>
      </c>
      <c r="BC70" s="69">
        <v>17.8693157799608</v>
      </c>
      <c r="BD70" s="69">
        <v>90.392915763571395</v>
      </c>
      <c r="BE70" s="69">
        <v>11.117893977821501</v>
      </c>
      <c r="BF70" s="69">
        <v>170.94210041189999</v>
      </c>
      <c r="BG70" s="69">
        <v>24.350448930522901</v>
      </c>
      <c r="BH70" s="69">
        <v>52.6350773063335</v>
      </c>
      <c r="BI70" s="69">
        <v>4.4726245063714298</v>
      </c>
      <c r="BJ70" s="69">
        <v>891.798894651414</v>
      </c>
      <c r="BK70" s="69">
        <v>111.17480630977801</v>
      </c>
      <c r="BL70" s="69">
        <v>58.467886600346503</v>
      </c>
      <c r="BM70" s="69">
        <v>109.54326803974701</v>
      </c>
      <c r="BN70" s="69">
        <v>3.4454998513038801</v>
      </c>
      <c r="BO70" s="69">
        <v>742.42765642133304</v>
      </c>
      <c r="BP70" s="69">
        <v>1441.8817392738299</v>
      </c>
      <c r="BQ70" s="70">
        <v>0</v>
      </c>
      <c r="BR70" s="71">
        <v>7436.0976843857497</v>
      </c>
      <c r="BS70" s="72">
        <v>2609.1010192099402</v>
      </c>
      <c r="BT70" s="73">
        <v>0</v>
      </c>
      <c r="BU70" s="73">
        <v>12067.915755919899</v>
      </c>
      <c r="BV70" s="121">
        <v>33158.2649509779</v>
      </c>
      <c r="BW70" s="73">
        <v>0</v>
      </c>
      <c r="BX70" s="74">
        <v>0</v>
      </c>
      <c r="BY70" s="107">
        <v>47835.2817261077</v>
      </c>
      <c r="BZ70" s="75">
        <v>55271.379410493399</v>
      </c>
    </row>
    <row r="71" spans="1:80" ht="15" customHeight="1" x14ac:dyDescent="0.3">
      <c r="A71" s="33" t="s">
        <v>89</v>
      </c>
      <c r="B71" s="11" t="s">
        <v>157</v>
      </c>
      <c r="C71" s="68">
        <v>174.173217723238</v>
      </c>
      <c r="D71" s="69">
        <v>43.044128505274799</v>
      </c>
      <c r="E71" s="69">
        <v>28.9952609287078</v>
      </c>
      <c r="F71" s="69">
        <v>56.0949093325329</v>
      </c>
      <c r="G71" s="69">
        <v>886.13436063524603</v>
      </c>
      <c r="H71" s="69">
        <v>797.99527480468498</v>
      </c>
      <c r="I71" s="69">
        <v>77.394495343131496</v>
      </c>
      <c r="J71" s="69">
        <v>379.13063825711799</v>
      </c>
      <c r="K71" s="69">
        <v>194.624827611597</v>
      </c>
      <c r="L71" s="69">
        <v>322.75002502007101</v>
      </c>
      <c r="M71" s="69">
        <v>193.280475952796</v>
      </c>
      <c r="N71" s="69">
        <v>28.20030935902</v>
      </c>
      <c r="O71" s="69">
        <v>80.211475816100204</v>
      </c>
      <c r="P71" s="69">
        <v>133.88935652050901</v>
      </c>
      <c r="Q71" s="69">
        <v>57.518725255289098</v>
      </c>
      <c r="R71" s="69">
        <v>160.39453710831299</v>
      </c>
      <c r="S71" s="69">
        <v>263.86994971565701</v>
      </c>
      <c r="T71" s="69">
        <v>55.0461414273896</v>
      </c>
      <c r="U71" s="69">
        <v>241.67540292481399</v>
      </c>
      <c r="V71" s="69">
        <v>156.902174924615</v>
      </c>
      <c r="W71" s="69">
        <v>226.60970426267599</v>
      </c>
      <c r="X71" s="69">
        <v>81.110015777843103</v>
      </c>
      <c r="Y71" s="69">
        <v>65.276519476811998</v>
      </c>
      <c r="Z71" s="69">
        <v>159.536977636637</v>
      </c>
      <c r="AA71" s="69">
        <v>263.84776922993501</v>
      </c>
      <c r="AB71" s="69">
        <v>256.81720255140402</v>
      </c>
      <c r="AC71" s="69">
        <v>204.92638328740699</v>
      </c>
      <c r="AD71" s="69">
        <v>90.600372492789006</v>
      </c>
      <c r="AE71" s="69">
        <v>373.41236271964902</v>
      </c>
      <c r="AF71" s="69">
        <v>299.53940123332598</v>
      </c>
      <c r="AG71" s="69">
        <v>183.89533489072301</v>
      </c>
      <c r="AH71" s="69">
        <v>359.73697544384697</v>
      </c>
      <c r="AI71" s="69">
        <v>281.830571112793</v>
      </c>
      <c r="AJ71" s="69">
        <v>211.41268826788499</v>
      </c>
      <c r="AK71" s="69">
        <v>57.171622009710099</v>
      </c>
      <c r="AL71" s="69">
        <v>158.89507342256601</v>
      </c>
      <c r="AM71" s="69">
        <v>3.2052942788166301</v>
      </c>
      <c r="AN71" s="69">
        <v>460.59875730053398</v>
      </c>
      <c r="AO71" s="69">
        <v>1.3988824233386701</v>
      </c>
      <c r="AP71" s="69">
        <v>141.56531471090599</v>
      </c>
      <c r="AQ71" s="69">
        <v>4048.34568913968</v>
      </c>
      <c r="AR71" s="69">
        <v>576.00563625646998</v>
      </c>
      <c r="AS71" s="69">
        <v>6.3732883404214098</v>
      </c>
      <c r="AT71" s="69">
        <v>6.7059735492221</v>
      </c>
      <c r="AU71" s="69">
        <v>1393.15478075037</v>
      </c>
      <c r="AV71" s="69">
        <v>171.48959282072599</v>
      </c>
      <c r="AW71" s="69">
        <v>200.33438279018301</v>
      </c>
      <c r="AX71" s="69">
        <v>34.628447324609802</v>
      </c>
      <c r="AY71" s="69">
        <v>179.70093659059799</v>
      </c>
      <c r="AZ71" s="69">
        <v>2954.50203119771</v>
      </c>
      <c r="BA71" s="69">
        <v>2284.01599993317</v>
      </c>
      <c r="BB71" s="69">
        <v>2077.4146162598799</v>
      </c>
      <c r="BC71" s="69">
        <v>128.03540353430401</v>
      </c>
      <c r="BD71" s="69">
        <v>541.54466063477901</v>
      </c>
      <c r="BE71" s="69">
        <v>88.536587270078797</v>
      </c>
      <c r="BF71" s="69">
        <v>1022.16056965031</v>
      </c>
      <c r="BG71" s="69">
        <v>191.74488188116399</v>
      </c>
      <c r="BH71" s="69">
        <v>1876.3102126394001</v>
      </c>
      <c r="BI71" s="69">
        <v>50.3836713016182</v>
      </c>
      <c r="BJ71" s="69">
        <v>773.06464340184198</v>
      </c>
      <c r="BK71" s="69">
        <v>142.61750389656501</v>
      </c>
      <c r="BL71" s="69">
        <v>615.52585651428899</v>
      </c>
      <c r="BM71" s="69">
        <v>2074.68194150302</v>
      </c>
      <c r="BN71" s="69">
        <v>2572.3818778700602</v>
      </c>
      <c r="BO71" s="69">
        <v>21.8780492013131</v>
      </c>
      <c r="BP71" s="69">
        <v>678.45582599676595</v>
      </c>
      <c r="BQ71" s="70">
        <v>0</v>
      </c>
      <c r="BR71" s="71">
        <v>32922.705969944203</v>
      </c>
      <c r="BS71" s="72">
        <v>15.507235783779199</v>
      </c>
      <c r="BT71" s="73">
        <v>0</v>
      </c>
      <c r="BU71" s="73">
        <v>52913</v>
      </c>
      <c r="BV71" s="121">
        <v>100672.40169060099</v>
      </c>
      <c r="BW71" s="73">
        <v>82.4584576918312</v>
      </c>
      <c r="BX71" s="74">
        <v>8.8974985640113101E-3</v>
      </c>
      <c r="BY71" s="107">
        <v>153683.37628157501</v>
      </c>
      <c r="BZ71" s="75">
        <v>186606.08225151899</v>
      </c>
    </row>
    <row r="72" spans="1:80" ht="15" customHeight="1" x14ac:dyDescent="0.3">
      <c r="A72" s="34" t="s">
        <v>90</v>
      </c>
      <c r="B72" s="35" t="s">
        <v>158</v>
      </c>
      <c r="C72" s="76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77">
        <v>0</v>
      </c>
      <c r="AX72" s="77">
        <v>0</v>
      </c>
      <c r="AY72" s="77">
        <v>0</v>
      </c>
      <c r="AZ72" s="77">
        <v>0</v>
      </c>
      <c r="BA72" s="77">
        <v>0</v>
      </c>
      <c r="BB72" s="77">
        <v>0</v>
      </c>
      <c r="BC72" s="77">
        <v>0</v>
      </c>
      <c r="BD72" s="77">
        <v>0</v>
      </c>
      <c r="BE72" s="77">
        <v>0</v>
      </c>
      <c r="BF72" s="77">
        <v>0</v>
      </c>
      <c r="BG72" s="77">
        <v>0</v>
      </c>
      <c r="BH72" s="77">
        <v>0</v>
      </c>
      <c r="BI72" s="77">
        <v>0</v>
      </c>
      <c r="BJ72" s="77">
        <v>0</v>
      </c>
      <c r="BK72" s="77">
        <v>0</v>
      </c>
      <c r="BL72" s="77">
        <v>0</v>
      </c>
      <c r="BM72" s="77">
        <v>0</v>
      </c>
      <c r="BN72" s="77">
        <v>0</v>
      </c>
      <c r="BO72" s="77">
        <v>0</v>
      </c>
      <c r="BP72" s="77">
        <v>0</v>
      </c>
      <c r="BQ72" s="78">
        <v>0</v>
      </c>
      <c r="BR72" s="79">
        <v>0</v>
      </c>
      <c r="BS72" s="80">
        <v>0</v>
      </c>
      <c r="BT72" s="81">
        <v>0</v>
      </c>
      <c r="BU72" s="81">
        <v>0</v>
      </c>
      <c r="BV72" s="122">
        <v>61371</v>
      </c>
      <c r="BW72" s="81">
        <v>0</v>
      </c>
      <c r="BX72" s="82">
        <v>0</v>
      </c>
      <c r="BY72" s="108">
        <v>61371</v>
      </c>
      <c r="BZ72" s="83">
        <v>61371</v>
      </c>
      <c r="CA72" s="84"/>
      <c r="CB72" s="84"/>
    </row>
    <row r="73" spans="1:80" ht="15" customHeight="1" x14ac:dyDescent="0.3">
      <c r="A73" s="42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6"/>
      <c r="BS73" s="86"/>
      <c r="BT73" s="86"/>
      <c r="BU73" s="86"/>
      <c r="BV73" s="86"/>
      <c r="BW73" s="86"/>
      <c r="BX73" s="86"/>
      <c r="BY73" s="86"/>
      <c r="BZ73" s="86"/>
    </row>
    <row r="74" spans="1:80" ht="15" customHeight="1" x14ac:dyDescent="0.3">
      <c r="A74" s="44" t="s">
        <v>159</v>
      </c>
      <c r="B74" s="45"/>
      <c r="C74" s="87">
        <v>348051</v>
      </c>
      <c r="D74" s="47">
        <v>141796</v>
      </c>
      <c r="E74" s="47">
        <v>15212</v>
      </c>
      <c r="F74" s="47">
        <v>18520</v>
      </c>
      <c r="G74" s="47">
        <v>174814</v>
      </c>
      <c r="H74" s="47">
        <v>111869</v>
      </c>
      <c r="I74" s="47">
        <v>16523</v>
      </c>
      <c r="J74" s="47">
        <v>435454</v>
      </c>
      <c r="K74" s="47">
        <v>75667</v>
      </c>
      <c r="L74" s="47">
        <v>435519</v>
      </c>
      <c r="M74" s="47">
        <v>83915</v>
      </c>
      <c r="N74" s="47">
        <v>15547</v>
      </c>
      <c r="O74" s="47">
        <v>63466</v>
      </c>
      <c r="P74" s="47">
        <v>51836</v>
      </c>
      <c r="Q74" s="47">
        <v>34396</v>
      </c>
      <c r="R74" s="47">
        <v>41952</v>
      </c>
      <c r="S74" s="47">
        <v>127062</v>
      </c>
      <c r="T74" s="47">
        <v>14213</v>
      </c>
      <c r="U74" s="47">
        <v>588162</v>
      </c>
      <c r="V74" s="47">
        <v>84734</v>
      </c>
      <c r="W74" s="47">
        <v>290927</v>
      </c>
      <c r="X74" s="47">
        <v>118525</v>
      </c>
      <c r="Y74" s="47">
        <v>56532</v>
      </c>
      <c r="Z74" s="47">
        <v>53734</v>
      </c>
      <c r="AA74" s="47">
        <v>160394</v>
      </c>
      <c r="AB74" s="47">
        <v>100211</v>
      </c>
      <c r="AC74" s="47">
        <v>209604</v>
      </c>
      <c r="AD74" s="47">
        <v>91739</v>
      </c>
      <c r="AE74" s="47">
        <v>138051</v>
      </c>
      <c r="AF74" s="47">
        <v>126429</v>
      </c>
      <c r="AG74" s="47">
        <v>108153</v>
      </c>
      <c r="AH74" s="47">
        <v>183858</v>
      </c>
      <c r="AI74" s="47">
        <v>216145</v>
      </c>
      <c r="AJ74" s="47">
        <v>113059</v>
      </c>
      <c r="AK74" s="47">
        <v>41613</v>
      </c>
      <c r="AL74" s="47">
        <v>68465</v>
      </c>
      <c r="AM74" s="47">
        <v>70840</v>
      </c>
      <c r="AN74" s="47">
        <v>298398</v>
      </c>
      <c r="AO74" s="47">
        <v>43404</v>
      </c>
      <c r="AP74" s="47">
        <v>429230</v>
      </c>
      <c r="AQ74" s="47">
        <v>702500</v>
      </c>
      <c r="AR74" s="47">
        <v>322829</v>
      </c>
      <c r="AS74" s="47">
        <v>20090</v>
      </c>
      <c r="AT74" s="47">
        <v>32676</v>
      </c>
      <c r="AU74" s="47">
        <v>85194</v>
      </c>
      <c r="AV74" s="47">
        <v>15307</v>
      </c>
      <c r="AW74" s="47">
        <v>166632</v>
      </c>
      <c r="AX74" s="47">
        <v>9631</v>
      </c>
      <c r="AY74" s="47">
        <v>29129</v>
      </c>
      <c r="AZ74" s="47">
        <v>103332</v>
      </c>
      <c r="BA74" s="47">
        <v>107503</v>
      </c>
      <c r="BB74" s="47">
        <v>270799</v>
      </c>
      <c r="BC74" s="47">
        <v>58848</v>
      </c>
      <c r="BD74" s="47">
        <v>89956</v>
      </c>
      <c r="BE74" s="47">
        <v>34915</v>
      </c>
      <c r="BF74" s="47">
        <v>92519</v>
      </c>
      <c r="BG74" s="47">
        <v>25361</v>
      </c>
      <c r="BH74" s="47">
        <v>105540</v>
      </c>
      <c r="BI74" s="47">
        <v>10513</v>
      </c>
      <c r="BJ74" s="47">
        <v>273272</v>
      </c>
      <c r="BK74" s="47">
        <v>64020</v>
      </c>
      <c r="BL74" s="47">
        <v>49718</v>
      </c>
      <c r="BM74" s="47">
        <v>120477</v>
      </c>
      <c r="BN74" s="47">
        <v>160147</v>
      </c>
      <c r="BO74" s="47">
        <v>19915</v>
      </c>
      <c r="BP74" s="47">
        <v>99032</v>
      </c>
      <c r="BQ74" s="88">
        <v>0</v>
      </c>
      <c r="BR74" s="89">
        <v>8867874</v>
      </c>
      <c r="BS74" s="90">
        <v>1722169</v>
      </c>
      <c r="BT74" s="91">
        <v>1671535</v>
      </c>
      <c r="BU74" s="91">
        <v>115048</v>
      </c>
      <c r="BV74" s="91">
        <v>5415523</v>
      </c>
      <c r="BW74" s="91">
        <v>1614782</v>
      </c>
      <c r="BX74" s="92">
        <v>144558</v>
      </c>
      <c r="BY74" s="89">
        <v>10683615</v>
      </c>
      <c r="BZ74" s="93">
        <v>19551489</v>
      </c>
    </row>
    <row r="75" spans="1:80" ht="15" customHeight="1" x14ac:dyDescent="0.3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</row>
    <row r="76" spans="1:80" ht="15" customHeight="1" x14ac:dyDescent="0.2">
      <c r="A76" s="53" t="s">
        <v>171</v>
      </c>
    </row>
    <row r="77" spans="1:80" ht="15" customHeight="1" x14ac:dyDescent="0.2"/>
    <row r="78" spans="1:80" ht="15" customHeight="1" x14ac:dyDescent="0.2">
      <c r="A78" s="53"/>
    </row>
    <row r="79" spans="1:80" ht="15" customHeight="1" x14ac:dyDescent="0.3">
      <c r="A79" s="56" t="s">
        <v>172</v>
      </c>
    </row>
    <row r="80" spans="1:80" ht="15" customHeight="1" x14ac:dyDescent="0.2">
      <c r="A80" s="126" t="s">
        <v>173</v>
      </c>
      <c r="B80" s="126"/>
      <c r="C80" s="14" t="s">
        <v>172</v>
      </c>
      <c r="D80" s="15"/>
      <c r="E80" s="15"/>
      <c r="F80" s="15"/>
      <c r="G80" s="15"/>
      <c r="H80" s="15"/>
      <c r="I80" s="14" t="s">
        <v>172</v>
      </c>
      <c r="J80" s="15"/>
      <c r="K80" s="15"/>
      <c r="L80" s="16"/>
      <c r="M80" s="15"/>
      <c r="N80" s="15"/>
      <c r="O80" s="15"/>
      <c r="P80" s="15"/>
      <c r="Q80" s="15"/>
      <c r="R80" s="15"/>
      <c r="S80" s="15"/>
      <c r="T80" s="15"/>
      <c r="U80" s="16"/>
      <c r="V80" s="15"/>
      <c r="W80" s="15"/>
      <c r="X80" s="15"/>
      <c r="Y80" s="14" t="s">
        <v>172</v>
      </c>
      <c r="Z80" s="15"/>
      <c r="AA80" s="15"/>
      <c r="AB80" s="15"/>
      <c r="AC80" s="15"/>
      <c r="AD80" s="16"/>
      <c r="AE80" s="15"/>
      <c r="AF80" s="15"/>
      <c r="AG80" s="15"/>
      <c r="AH80" s="15"/>
      <c r="AI80" s="15"/>
      <c r="AJ80" s="15"/>
      <c r="AK80" s="15"/>
      <c r="AL80" s="15"/>
      <c r="AM80" s="16"/>
      <c r="AN80" s="15"/>
      <c r="AO80" s="15"/>
      <c r="AP80" s="14" t="s">
        <v>172</v>
      </c>
      <c r="AQ80" s="15"/>
      <c r="AR80" s="15"/>
      <c r="AS80" s="15"/>
      <c r="AT80" s="15"/>
      <c r="AU80" s="15"/>
      <c r="AV80" s="16"/>
      <c r="AW80" s="15"/>
      <c r="AX80" s="15"/>
      <c r="AY80" s="15"/>
      <c r="AZ80" s="15"/>
      <c r="BA80" s="15"/>
      <c r="BB80" s="14" t="s">
        <v>172</v>
      </c>
      <c r="BC80" s="15"/>
      <c r="BD80" s="15"/>
      <c r="BE80" s="16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57"/>
    </row>
    <row r="81" spans="1:70" ht="15" customHeight="1" x14ac:dyDescent="0.2">
      <c r="A81" s="126"/>
      <c r="B81" s="126"/>
      <c r="C81" s="17" t="s">
        <v>24</v>
      </c>
      <c r="D81" s="17" t="s">
        <v>25</v>
      </c>
      <c r="E81" s="17" t="s">
        <v>26</v>
      </c>
      <c r="F81" s="17" t="s">
        <v>27</v>
      </c>
      <c r="G81" s="17" t="s">
        <v>28</v>
      </c>
      <c r="H81" s="17" t="s">
        <v>29</v>
      </c>
      <c r="I81" s="17" t="s">
        <v>30</v>
      </c>
      <c r="J81" s="17" t="s">
        <v>31</v>
      </c>
      <c r="K81" s="17" t="s">
        <v>32</v>
      </c>
      <c r="L81" s="17" t="s">
        <v>33</v>
      </c>
      <c r="M81" s="17" t="s">
        <v>34</v>
      </c>
      <c r="N81" s="17" t="s">
        <v>35</v>
      </c>
      <c r="O81" s="17" t="s">
        <v>36</v>
      </c>
      <c r="P81" s="17" t="s">
        <v>37</v>
      </c>
      <c r="Q81" s="17" t="s">
        <v>38</v>
      </c>
      <c r="R81" s="17" t="s">
        <v>39</v>
      </c>
      <c r="S81" s="17" t="s">
        <v>40</v>
      </c>
      <c r="T81" s="17" t="s">
        <v>41</v>
      </c>
      <c r="U81" s="17" t="s">
        <v>42</v>
      </c>
      <c r="V81" s="17" t="s">
        <v>43</v>
      </c>
      <c r="W81" s="17" t="s">
        <v>44</v>
      </c>
      <c r="X81" s="17" t="s">
        <v>45</v>
      </c>
      <c r="Y81" s="17" t="s">
        <v>46</v>
      </c>
      <c r="Z81" s="17" t="s">
        <v>47</v>
      </c>
      <c r="AA81" s="17" t="s">
        <v>48</v>
      </c>
      <c r="AB81" s="17" t="s">
        <v>49</v>
      </c>
      <c r="AC81" s="17" t="s">
        <v>50</v>
      </c>
      <c r="AD81" s="17" t="s">
        <v>51</v>
      </c>
      <c r="AE81" s="17" t="s">
        <v>52</v>
      </c>
      <c r="AF81" s="17" t="s">
        <v>53</v>
      </c>
      <c r="AG81" s="17" t="s">
        <v>54</v>
      </c>
      <c r="AH81" s="17" t="s">
        <v>55</v>
      </c>
      <c r="AI81" s="17" t="s">
        <v>56</v>
      </c>
      <c r="AJ81" s="17" t="s">
        <v>57</v>
      </c>
      <c r="AK81" s="17" t="s">
        <v>58</v>
      </c>
      <c r="AL81" s="17" t="s">
        <v>59</v>
      </c>
      <c r="AM81" s="17" t="s">
        <v>60</v>
      </c>
      <c r="AN81" s="17" t="s">
        <v>61</v>
      </c>
      <c r="AO81" s="17" t="s">
        <v>62</v>
      </c>
      <c r="AP81" s="17" t="s">
        <v>63</v>
      </c>
      <c r="AQ81" s="17" t="s">
        <v>64</v>
      </c>
      <c r="AR81" s="17" t="s">
        <v>65</v>
      </c>
      <c r="AS81" s="17" t="s">
        <v>66</v>
      </c>
      <c r="AT81" s="17" t="s">
        <v>67</v>
      </c>
      <c r="AU81" s="17" t="s">
        <v>68</v>
      </c>
      <c r="AV81" s="17" t="s">
        <v>69</v>
      </c>
      <c r="AW81" s="17" t="s">
        <v>70</v>
      </c>
      <c r="AX81" s="17" t="s">
        <v>71</v>
      </c>
      <c r="AY81" s="17" t="s">
        <v>72</v>
      </c>
      <c r="AZ81" s="17" t="s">
        <v>73</v>
      </c>
      <c r="BA81" s="17" t="s">
        <v>74</v>
      </c>
      <c r="BB81" s="17" t="s">
        <v>75</v>
      </c>
      <c r="BC81" s="17" t="s">
        <v>76</v>
      </c>
      <c r="BD81" s="17" t="s">
        <v>77</v>
      </c>
      <c r="BE81" s="17" t="s">
        <v>78</v>
      </c>
      <c r="BF81" s="17" t="s">
        <v>79</v>
      </c>
      <c r="BG81" s="17" t="s">
        <v>80</v>
      </c>
      <c r="BH81" s="17" t="s">
        <v>81</v>
      </c>
      <c r="BI81" s="17" t="s">
        <v>82</v>
      </c>
      <c r="BJ81" s="17" t="s">
        <v>83</v>
      </c>
      <c r="BK81" s="17" t="s">
        <v>84</v>
      </c>
      <c r="BL81" s="17" t="s">
        <v>85</v>
      </c>
      <c r="BM81" s="17" t="s">
        <v>86</v>
      </c>
      <c r="BN81" s="17" t="s">
        <v>87</v>
      </c>
      <c r="BO81" s="17" t="s">
        <v>88</v>
      </c>
      <c r="BP81" s="17" t="s">
        <v>89</v>
      </c>
      <c r="BQ81" s="17" t="s">
        <v>90</v>
      </c>
      <c r="BR81" s="128" t="s">
        <v>159</v>
      </c>
    </row>
    <row r="82" spans="1:70" ht="52.15" customHeight="1" x14ac:dyDescent="0.2">
      <c r="A82" s="126"/>
      <c r="B82" s="126"/>
      <c r="C82" s="18" t="s">
        <v>92</v>
      </c>
      <c r="D82" s="18" t="s">
        <v>93</v>
      </c>
      <c r="E82" s="18" t="s">
        <v>94</v>
      </c>
      <c r="F82" s="18" t="s">
        <v>95</v>
      </c>
      <c r="G82" s="18" t="s">
        <v>96</v>
      </c>
      <c r="H82" s="18" t="s">
        <v>97</v>
      </c>
      <c r="I82" s="18" t="s">
        <v>98</v>
      </c>
      <c r="J82" s="18" t="s">
        <v>99</v>
      </c>
      <c r="K82" s="18" t="s">
        <v>100</v>
      </c>
      <c r="L82" s="18" t="s">
        <v>101</v>
      </c>
      <c r="M82" s="18" t="s">
        <v>102</v>
      </c>
      <c r="N82" s="18" t="s">
        <v>103</v>
      </c>
      <c r="O82" s="18" t="s">
        <v>104</v>
      </c>
      <c r="P82" s="18" t="s">
        <v>105</v>
      </c>
      <c r="Q82" s="18" t="s">
        <v>106</v>
      </c>
      <c r="R82" s="18" t="s">
        <v>107</v>
      </c>
      <c r="S82" s="18" t="s">
        <v>108</v>
      </c>
      <c r="T82" s="18" t="s">
        <v>109</v>
      </c>
      <c r="U82" s="18" t="s">
        <v>110</v>
      </c>
      <c r="V82" s="18" t="s">
        <v>111</v>
      </c>
      <c r="W82" s="18" t="s">
        <v>112</v>
      </c>
      <c r="X82" s="18" t="s">
        <v>113</v>
      </c>
      <c r="Y82" s="18" t="s">
        <v>114</v>
      </c>
      <c r="Z82" s="18" t="s">
        <v>115</v>
      </c>
      <c r="AA82" s="18" t="s">
        <v>116</v>
      </c>
      <c r="AB82" s="18" t="s">
        <v>117</v>
      </c>
      <c r="AC82" s="18" t="s">
        <v>118</v>
      </c>
      <c r="AD82" s="18" t="s">
        <v>119</v>
      </c>
      <c r="AE82" s="18" t="s">
        <v>120</v>
      </c>
      <c r="AF82" s="18" t="s">
        <v>121</v>
      </c>
      <c r="AG82" s="18" t="s">
        <v>122</v>
      </c>
      <c r="AH82" s="18" t="s">
        <v>123</v>
      </c>
      <c r="AI82" s="18" t="s">
        <v>124</v>
      </c>
      <c r="AJ82" s="18" t="s">
        <v>125</v>
      </c>
      <c r="AK82" s="18" t="s">
        <v>126</v>
      </c>
      <c r="AL82" s="18" t="s">
        <v>127</v>
      </c>
      <c r="AM82" s="18" t="s">
        <v>128</v>
      </c>
      <c r="AN82" s="18" t="s">
        <v>129</v>
      </c>
      <c r="AO82" s="18" t="s">
        <v>130</v>
      </c>
      <c r="AP82" s="18" t="s">
        <v>131</v>
      </c>
      <c r="AQ82" s="18" t="s">
        <v>132</v>
      </c>
      <c r="AR82" s="18" t="s">
        <v>133</v>
      </c>
      <c r="AS82" s="18" t="s">
        <v>134</v>
      </c>
      <c r="AT82" s="18" t="s">
        <v>135</v>
      </c>
      <c r="AU82" s="18" t="s">
        <v>136</v>
      </c>
      <c r="AV82" s="18" t="s">
        <v>137</v>
      </c>
      <c r="AW82" s="18" t="s">
        <v>138</v>
      </c>
      <c r="AX82" s="18" t="s">
        <v>139</v>
      </c>
      <c r="AY82" s="18" t="s">
        <v>140</v>
      </c>
      <c r="AZ82" s="18" t="s">
        <v>141</v>
      </c>
      <c r="BA82" s="18" t="s">
        <v>142</v>
      </c>
      <c r="BB82" s="18" t="s">
        <v>143</v>
      </c>
      <c r="BC82" s="18" t="s">
        <v>144</v>
      </c>
      <c r="BD82" s="18" t="s">
        <v>145</v>
      </c>
      <c r="BE82" s="18" t="s">
        <v>146</v>
      </c>
      <c r="BF82" s="18" t="s">
        <v>147</v>
      </c>
      <c r="BG82" s="18" t="s">
        <v>148</v>
      </c>
      <c r="BH82" s="18" t="s">
        <v>149</v>
      </c>
      <c r="BI82" s="18" t="s">
        <v>150</v>
      </c>
      <c r="BJ82" s="18" t="s">
        <v>151</v>
      </c>
      <c r="BK82" s="18" t="s">
        <v>152</v>
      </c>
      <c r="BL82" s="18" t="s">
        <v>153</v>
      </c>
      <c r="BM82" s="18" t="s">
        <v>154</v>
      </c>
      <c r="BN82" s="18" t="s">
        <v>155</v>
      </c>
      <c r="BO82" s="18" t="s">
        <v>156</v>
      </c>
      <c r="BP82" s="18" t="s">
        <v>157</v>
      </c>
      <c r="BQ82" s="18" t="s">
        <v>158</v>
      </c>
      <c r="BR82" s="128">
        <v>1277285</v>
      </c>
    </row>
    <row r="83" spans="1:70" s="113" customFormat="1" ht="15" customHeight="1" x14ac:dyDescent="0.3">
      <c r="A83" s="109" t="s">
        <v>174</v>
      </c>
      <c r="B83" s="109"/>
      <c r="C83" s="110">
        <v>421109</v>
      </c>
      <c r="D83" s="111">
        <v>130445</v>
      </c>
      <c r="E83" s="111">
        <v>39531</v>
      </c>
      <c r="F83" s="111">
        <v>11561</v>
      </c>
      <c r="G83" s="111">
        <v>231887</v>
      </c>
      <c r="H83" s="111">
        <v>167230</v>
      </c>
      <c r="I83" s="111">
        <v>14189</v>
      </c>
      <c r="J83" s="111">
        <v>59950</v>
      </c>
      <c r="K83" s="111">
        <v>18988</v>
      </c>
      <c r="L83" s="111">
        <v>78319</v>
      </c>
      <c r="M83" s="111">
        <v>26193</v>
      </c>
      <c r="N83" s="111">
        <v>3106</v>
      </c>
      <c r="O83" s="111">
        <v>19370</v>
      </c>
      <c r="P83" s="111">
        <v>28809</v>
      </c>
      <c r="Q83" s="111">
        <v>16343</v>
      </c>
      <c r="R83" s="111">
        <v>19564</v>
      </c>
      <c r="S83" s="111">
        <v>29864</v>
      </c>
      <c r="T83" s="111">
        <v>8119</v>
      </c>
      <c r="U83" s="111">
        <v>90157</v>
      </c>
      <c r="V83" s="111">
        <v>20994</v>
      </c>
      <c r="W83" s="111">
        <v>62229</v>
      </c>
      <c r="X83" s="111">
        <v>19572</v>
      </c>
      <c r="Y83" s="111">
        <v>11340</v>
      </c>
      <c r="Z83" s="111">
        <v>45544</v>
      </c>
      <c r="AA83" s="111">
        <v>37300</v>
      </c>
      <c r="AB83" s="111">
        <v>42799</v>
      </c>
      <c r="AC83" s="111">
        <v>96011</v>
      </c>
      <c r="AD83" s="111">
        <v>29466</v>
      </c>
      <c r="AE83" s="111">
        <v>51610</v>
      </c>
      <c r="AF83" s="111">
        <v>19947</v>
      </c>
      <c r="AG83" s="111">
        <v>29515</v>
      </c>
      <c r="AH83" s="111">
        <v>59125</v>
      </c>
      <c r="AI83" s="111">
        <v>25538</v>
      </c>
      <c r="AJ83" s="111">
        <v>32464</v>
      </c>
      <c r="AK83" s="111">
        <v>8912</v>
      </c>
      <c r="AL83" s="111">
        <v>44592</v>
      </c>
      <c r="AM83" s="111">
        <v>37099</v>
      </c>
      <c r="AN83" s="111">
        <v>157298</v>
      </c>
      <c r="AO83" s="111">
        <v>63684</v>
      </c>
      <c r="AP83" s="111">
        <v>275111</v>
      </c>
      <c r="AQ83" s="111">
        <v>965702</v>
      </c>
      <c r="AR83" s="111">
        <v>183535</v>
      </c>
      <c r="AS83" s="111">
        <v>14616</v>
      </c>
      <c r="AT83" s="111">
        <v>3073</v>
      </c>
      <c r="AU83" s="111">
        <v>102818</v>
      </c>
      <c r="AV83" s="111">
        <v>16415</v>
      </c>
      <c r="AW83" s="111">
        <v>120712</v>
      </c>
      <c r="AX83" s="111">
        <v>7995</v>
      </c>
      <c r="AY83" s="111">
        <v>17533</v>
      </c>
      <c r="AZ83" s="111">
        <v>79011</v>
      </c>
      <c r="BA83" s="111">
        <v>159992</v>
      </c>
      <c r="BB83" s="111">
        <v>447048</v>
      </c>
      <c r="BC83" s="111">
        <v>699465</v>
      </c>
      <c r="BD83" s="111">
        <v>195074</v>
      </c>
      <c r="BE83" s="111">
        <v>50176</v>
      </c>
      <c r="BF83" s="111">
        <v>53773</v>
      </c>
      <c r="BG83" s="111">
        <v>49842</v>
      </c>
      <c r="BH83" s="111">
        <v>213521</v>
      </c>
      <c r="BI83" s="111">
        <v>36376</v>
      </c>
      <c r="BJ83" s="111">
        <v>719944</v>
      </c>
      <c r="BK83" s="111">
        <v>340323</v>
      </c>
      <c r="BL83" s="111">
        <v>100728</v>
      </c>
      <c r="BM83" s="111">
        <v>158689</v>
      </c>
      <c r="BN83" s="111">
        <v>222222</v>
      </c>
      <c r="BO83" s="111">
        <v>22891</v>
      </c>
      <c r="BP83" s="111">
        <v>86270</v>
      </c>
      <c r="BQ83" s="112">
        <v>61371</v>
      </c>
      <c r="BR83" s="107">
        <v>7713999</v>
      </c>
    </row>
    <row r="84" spans="1:70" s="113" customFormat="1" ht="15" customHeight="1" x14ac:dyDescent="0.3">
      <c r="A84" s="109" t="s">
        <v>175</v>
      </c>
      <c r="B84" s="109"/>
      <c r="C84" s="110">
        <v>37950</v>
      </c>
      <c r="D84" s="111">
        <v>25160</v>
      </c>
      <c r="E84" s="111">
        <v>2882</v>
      </c>
      <c r="F84" s="111">
        <v>4882</v>
      </c>
      <c r="G84" s="111">
        <v>21242</v>
      </c>
      <c r="H84" s="111">
        <v>5777</v>
      </c>
      <c r="I84" s="111">
        <v>3331</v>
      </c>
      <c r="J84" s="111">
        <v>40203</v>
      </c>
      <c r="K84" s="111">
        <v>9426</v>
      </c>
      <c r="L84" s="111">
        <v>39201</v>
      </c>
      <c r="M84" s="111">
        <v>11397</v>
      </c>
      <c r="N84" s="111">
        <v>1988</v>
      </c>
      <c r="O84" s="111">
        <v>12601</v>
      </c>
      <c r="P84" s="111">
        <v>19120</v>
      </c>
      <c r="Q84" s="111">
        <v>10928</v>
      </c>
      <c r="R84" s="111">
        <v>8175</v>
      </c>
      <c r="S84" s="111">
        <v>16184</v>
      </c>
      <c r="T84" s="111">
        <v>5338</v>
      </c>
      <c r="U84" s="111">
        <v>12103</v>
      </c>
      <c r="V84" s="111">
        <v>8112</v>
      </c>
      <c r="W84" s="111">
        <v>15965</v>
      </c>
      <c r="X84" s="111">
        <v>11824</v>
      </c>
      <c r="Y84" s="111">
        <v>7306</v>
      </c>
      <c r="Z84" s="111">
        <v>15775</v>
      </c>
      <c r="AA84" s="111">
        <v>25874</v>
      </c>
      <c r="AB84" s="111">
        <v>23721</v>
      </c>
      <c r="AC84" s="111">
        <v>14974</v>
      </c>
      <c r="AD84" s="111">
        <v>7744</v>
      </c>
      <c r="AE84" s="111">
        <v>27076</v>
      </c>
      <c r="AF84" s="111">
        <v>10741</v>
      </c>
      <c r="AG84" s="111">
        <v>18582</v>
      </c>
      <c r="AH84" s="111">
        <v>35143</v>
      </c>
      <c r="AI84" s="111">
        <v>20439</v>
      </c>
      <c r="AJ84" s="111">
        <v>22668</v>
      </c>
      <c r="AK84" s="111">
        <v>8254</v>
      </c>
      <c r="AL84" s="111">
        <v>20315</v>
      </c>
      <c r="AM84" s="111">
        <v>18587</v>
      </c>
      <c r="AN84" s="111">
        <v>20258</v>
      </c>
      <c r="AO84" s="111">
        <v>25019</v>
      </c>
      <c r="AP84" s="111">
        <v>130162</v>
      </c>
      <c r="AQ84" s="111">
        <v>471788</v>
      </c>
      <c r="AR84" s="111">
        <v>96653</v>
      </c>
      <c r="AS84" s="111">
        <v>6472</v>
      </c>
      <c r="AT84" s="111">
        <v>6682</v>
      </c>
      <c r="AU84" s="111">
        <v>48512</v>
      </c>
      <c r="AV84" s="111">
        <v>10988</v>
      </c>
      <c r="AW84" s="111">
        <v>57472</v>
      </c>
      <c r="AX84" s="111">
        <v>6183</v>
      </c>
      <c r="AY84" s="111">
        <v>12175</v>
      </c>
      <c r="AZ84" s="111">
        <v>23331</v>
      </c>
      <c r="BA84" s="111">
        <v>81702</v>
      </c>
      <c r="BB84" s="111">
        <v>201153</v>
      </c>
      <c r="BC84" s="111">
        <v>9646</v>
      </c>
      <c r="BD84" s="111">
        <v>80109</v>
      </c>
      <c r="BE84" s="111">
        <v>24050</v>
      </c>
      <c r="BF84" s="111">
        <v>22628</v>
      </c>
      <c r="BG84" s="111">
        <v>14950</v>
      </c>
      <c r="BH84" s="111">
        <v>145387</v>
      </c>
      <c r="BI84" s="111">
        <v>32583</v>
      </c>
      <c r="BJ84" s="111">
        <v>603962</v>
      </c>
      <c r="BK84" s="111">
        <v>323126</v>
      </c>
      <c r="BL84" s="111">
        <v>87511</v>
      </c>
      <c r="BM84" s="111">
        <v>149825</v>
      </c>
      <c r="BN84" s="111">
        <v>122204</v>
      </c>
      <c r="BO84" s="111">
        <v>13514</v>
      </c>
      <c r="BP84" s="111">
        <v>44244</v>
      </c>
      <c r="BQ84" s="112">
        <v>61371</v>
      </c>
      <c r="BR84" s="107">
        <v>3534648</v>
      </c>
    </row>
    <row r="85" spans="1:70" ht="15" customHeight="1" x14ac:dyDescent="0.3">
      <c r="A85" s="11" t="s">
        <v>176</v>
      </c>
      <c r="B85" s="11"/>
      <c r="C85" s="68">
        <v>32130</v>
      </c>
      <c r="D85" s="69">
        <v>21953</v>
      </c>
      <c r="E85" s="69">
        <v>2497</v>
      </c>
      <c r="F85" s="69">
        <v>3819</v>
      </c>
      <c r="G85" s="69">
        <v>16134</v>
      </c>
      <c r="H85" s="69">
        <v>4505</v>
      </c>
      <c r="I85" s="69">
        <v>2646</v>
      </c>
      <c r="J85" s="69">
        <v>31659</v>
      </c>
      <c r="K85" s="69">
        <v>6714</v>
      </c>
      <c r="L85" s="69">
        <v>30796</v>
      </c>
      <c r="M85" s="69">
        <v>8785</v>
      </c>
      <c r="N85" s="69">
        <v>1508</v>
      </c>
      <c r="O85" s="69">
        <v>10276</v>
      </c>
      <c r="P85" s="69">
        <v>15412</v>
      </c>
      <c r="Q85" s="69">
        <v>9104</v>
      </c>
      <c r="R85" s="69">
        <v>6732</v>
      </c>
      <c r="S85" s="69">
        <v>12680</v>
      </c>
      <c r="T85" s="69">
        <v>4388</v>
      </c>
      <c r="U85" s="69">
        <v>8760</v>
      </c>
      <c r="V85" s="69">
        <v>6140</v>
      </c>
      <c r="W85" s="69">
        <v>12076</v>
      </c>
      <c r="X85" s="69">
        <v>9101</v>
      </c>
      <c r="Y85" s="69">
        <v>5723</v>
      </c>
      <c r="Z85" s="69">
        <v>12102</v>
      </c>
      <c r="AA85" s="69">
        <v>20045</v>
      </c>
      <c r="AB85" s="69">
        <v>18923</v>
      </c>
      <c r="AC85" s="69">
        <v>11307</v>
      </c>
      <c r="AD85" s="69">
        <v>6216</v>
      </c>
      <c r="AE85" s="69">
        <v>21508</v>
      </c>
      <c r="AF85" s="69">
        <v>8468</v>
      </c>
      <c r="AG85" s="69">
        <v>14383</v>
      </c>
      <c r="AH85" s="69">
        <v>27444</v>
      </c>
      <c r="AI85" s="69">
        <v>15764</v>
      </c>
      <c r="AJ85" s="69">
        <v>18860</v>
      </c>
      <c r="AK85" s="69">
        <v>6705</v>
      </c>
      <c r="AL85" s="69">
        <v>16300</v>
      </c>
      <c r="AM85" s="69">
        <v>15342</v>
      </c>
      <c r="AN85" s="69">
        <v>14733</v>
      </c>
      <c r="AO85" s="69">
        <v>18965</v>
      </c>
      <c r="AP85" s="69">
        <v>107355</v>
      </c>
      <c r="AQ85" s="69">
        <v>373643</v>
      </c>
      <c r="AR85" s="69">
        <v>78295</v>
      </c>
      <c r="AS85" s="69">
        <v>5296</v>
      </c>
      <c r="AT85" s="69">
        <v>5574</v>
      </c>
      <c r="AU85" s="69">
        <v>37541</v>
      </c>
      <c r="AV85" s="69">
        <v>9134</v>
      </c>
      <c r="AW85" s="69">
        <v>48793</v>
      </c>
      <c r="AX85" s="69">
        <v>5210</v>
      </c>
      <c r="AY85" s="69">
        <v>10231</v>
      </c>
      <c r="AZ85" s="69">
        <v>17555</v>
      </c>
      <c r="BA85" s="69">
        <v>65562</v>
      </c>
      <c r="BB85" s="69">
        <v>153797</v>
      </c>
      <c r="BC85" s="69">
        <v>7572</v>
      </c>
      <c r="BD85" s="69">
        <v>65440</v>
      </c>
      <c r="BE85" s="69">
        <v>19296</v>
      </c>
      <c r="BF85" s="69">
        <v>18734</v>
      </c>
      <c r="BG85" s="69">
        <v>11963</v>
      </c>
      <c r="BH85" s="69">
        <v>117177</v>
      </c>
      <c r="BI85" s="69">
        <v>25808</v>
      </c>
      <c r="BJ85" s="69">
        <v>429084</v>
      </c>
      <c r="BK85" s="69">
        <v>260257</v>
      </c>
      <c r="BL85" s="69">
        <v>73352</v>
      </c>
      <c r="BM85" s="69">
        <v>122956</v>
      </c>
      <c r="BN85" s="69">
        <v>105371</v>
      </c>
      <c r="BO85" s="69">
        <v>11720</v>
      </c>
      <c r="BP85" s="69">
        <v>37798</v>
      </c>
      <c r="BQ85" s="70">
        <v>59897</v>
      </c>
      <c r="BR85" s="71">
        <v>2795014</v>
      </c>
    </row>
    <row r="86" spans="1:70" ht="15" customHeight="1" x14ac:dyDescent="0.3">
      <c r="A86" s="11" t="s">
        <v>177</v>
      </c>
      <c r="B86" s="11"/>
      <c r="C86" s="68">
        <v>5820</v>
      </c>
      <c r="D86" s="69">
        <v>3207</v>
      </c>
      <c r="E86" s="69">
        <v>385</v>
      </c>
      <c r="F86" s="69">
        <v>1063</v>
      </c>
      <c r="G86" s="69">
        <v>5108</v>
      </c>
      <c r="H86" s="69">
        <v>1272</v>
      </c>
      <c r="I86" s="69">
        <v>685</v>
      </c>
      <c r="J86" s="69">
        <v>8544</v>
      </c>
      <c r="K86" s="69">
        <v>2712</v>
      </c>
      <c r="L86" s="69">
        <v>8405</v>
      </c>
      <c r="M86" s="69">
        <v>2612</v>
      </c>
      <c r="N86" s="69">
        <v>480</v>
      </c>
      <c r="O86" s="69">
        <v>2325</v>
      </c>
      <c r="P86" s="69">
        <v>3708</v>
      </c>
      <c r="Q86" s="69">
        <v>1824</v>
      </c>
      <c r="R86" s="69">
        <v>1443</v>
      </c>
      <c r="S86" s="69">
        <v>3504</v>
      </c>
      <c r="T86" s="69">
        <v>950</v>
      </c>
      <c r="U86" s="69">
        <v>3343</v>
      </c>
      <c r="V86" s="69">
        <v>1972</v>
      </c>
      <c r="W86" s="69">
        <v>3889</v>
      </c>
      <c r="X86" s="69">
        <v>2723</v>
      </c>
      <c r="Y86" s="69">
        <v>1583</v>
      </c>
      <c r="Z86" s="69">
        <v>3673</v>
      </c>
      <c r="AA86" s="69">
        <v>5829</v>
      </c>
      <c r="AB86" s="69">
        <v>4798</v>
      </c>
      <c r="AC86" s="69">
        <v>3667</v>
      </c>
      <c r="AD86" s="69">
        <v>1528</v>
      </c>
      <c r="AE86" s="69">
        <v>5568</v>
      </c>
      <c r="AF86" s="69">
        <v>2273</v>
      </c>
      <c r="AG86" s="69">
        <v>4199</v>
      </c>
      <c r="AH86" s="69">
        <v>7699</v>
      </c>
      <c r="AI86" s="69">
        <v>4675</v>
      </c>
      <c r="AJ86" s="69">
        <v>3808</v>
      </c>
      <c r="AK86" s="69">
        <v>1549</v>
      </c>
      <c r="AL86" s="69">
        <v>4015</v>
      </c>
      <c r="AM86" s="69">
        <v>3245</v>
      </c>
      <c r="AN86" s="69">
        <v>5525</v>
      </c>
      <c r="AO86" s="69">
        <v>6054</v>
      </c>
      <c r="AP86" s="69">
        <v>22807</v>
      </c>
      <c r="AQ86" s="69">
        <v>98145</v>
      </c>
      <c r="AR86" s="69">
        <v>18358</v>
      </c>
      <c r="AS86" s="69">
        <v>1176</v>
      </c>
      <c r="AT86" s="69">
        <v>1108</v>
      </c>
      <c r="AU86" s="69">
        <v>10971</v>
      </c>
      <c r="AV86" s="69">
        <v>1854</v>
      </c>
      <c r="AW86" s="69">
        <v>8679</v>
      </c>
      <c r="AX86" s="69">
        <v>973</v>
      </c>
      <c r="AY86" s="69">
        <v>1944</v>
      </c>
      <c r="AZ86" s="69">
        <v>5776</v>
      </c>
      <c r="BA86" s="69">
        <v>16140</v>
      </c>
      <c r="BB86" s="69">
        <v>47356</v>
      </c>
      <c r="BC86" s="69">
        <v>2074</v>
      </c>
      <c r="BD86" s="69">
        <v>14669</v>
      </c>
      <c r="BE86" s="69">
        <v>4754</v>
      </c>
      <c r="BF86" s="69">
        <v>3894</v>
      </c>
      <c r="BG86" s="69">
        <v>2987</v>
      </c>
      <c r="BH86" s="69">
        <v>28210</v>
      </c>
      <c r="BI86" s="69">
        <v>6775</v>
      </c>
      <c r="BJ86" s="69">
        <v>88731</v>
      </c>
      <c r="BK86" s="69">
        <v>55672</v>
      </c>
      <c r="BL86" s="69">
        <v>14159</v>
      </c>
      <c r="BM86" s="69">
        <v>19588</v>
      </c>
      <c r="BN86" s="69">
        <v>16833</v>
      </c>
      <c r="BO86" s="69">
        <v>1794</v>
      </c>
      <c r="BP86" s="69">
        <v>6446</v>
      </c>
      <c r="BQ86" s="70">
        <v>1474</v>
      </c>
      <c r="BR86" s="71">
        <v>639009</v>
      </c>
    </row>
    <row r="87" spans="1:70" ht="15" customHeight="1" x14ac:dyDescent="0.3">
      <c r="A87" s="11" t="s">
        <v>178</v>
      </c>
      <c r="B87" s="11"/>
      <c r="C87" s="68">
        <v>5820</v>
      </c>
      <c r="D87" s="69">
        <v>3207</v>
      </c>
      <c r="E87" s="69">
        <v>385</v>
      </c>
      <c r="F87" s="69">
        <v>1053</v>
      </c>
      <c r="G87" s="69">
        <v>4097</v>
      </c>
      <c r="H87" s="69">
        <v>1223</v>
      </c>
      <c r="I87" s="69">
        <v>647</v>
      </c>
      <c r="J87" s="69">
        <v>8291</v>
      </c>
      <c r="K87" s="69">
        <v>2655</v>
      </c>
      <c r="L87" s="69">
        <v>8085</v>
      </c>
      <c r="M87" s="69">
        <v>2516</v>
      </c>
      <c r="N87" s="69">
        <v>435</v>
      </c>
      <c r="O87" s="69">
        <v>2271</v>
      </c>
      <c r="P87" s="69">
        <v>3666</v>
      </c>
      <c r="Q87" s="69">
        <v>1802</v>
      </c>
      <c r="R87" s="69">
        <v>1384</v>
      </c>
      <c r="S87" s="69">
        <v>3122</v>
      </c>
      <c r="T87" s="69">
        <v>910</v>
      </c>
      <c r="U87" s="69">
        <v>2000</v>
      </c>
      <c r="V87" s="69">
        <v>1952</v>
      </c>
      <c r="W87" s="69">
        <v>3494</v>
      </c>
      <c r="X87" s="69">
        <v>2411</v>
      </c>
      <c r="Y87" s="69">
        <v>1546</v>
      </c>
      <c r="Z87" s="69">
        <v>3417</v>
      </c>
      <c r="AA87" s="69">
        <v>5648</v>
      </c>
      <c r="AB87" s="69">
        <v>4653</v>
      </c>
      <c r="AC87" s="69">
        <v>3355</v>
      </c>
      <c r="AD87" s="69">
        <v>1443</v>
      </c>
      <c r="AE87" s="69">
        <v>5407</v>
      </c>
      <c r="AF87" s="69">
        <v>2206</v>
      </c>
      <c r="AG87" s="69">
        <v>4021</v>
      </c>
      <c r="AH87" s="69">
        <v>7342</v>
      </c>
      <c r="AI87" s="69">
        <v>4427</v>
      </c>
      <c r="AJ87" s="69">
        <v>3642</v>
      </c>
      <c r="AK87" s="69">
        <v>1454</v>
      </c>
      <c r="AL87" s="69">
        <v>3899</v>
      </c>
      <c r="AM87" s="69">
        <v>3124</v>
      </c>
      <c r="AN87" s="69">
        <v>4041</v>
      </c>
      <c r="AO87" s="69">
        <v>5385</v>
      </c>
      <c r="AP87" s="69">
        <v>22210</v>
      </c>
      <c r="AQ87" s="69">
        <v>96961</v>
      </c>
      <c r="AR87" s="69">
        <v>17574</v>
      </c>
      <c r="AS87" s="69">
        <v>1128</v>
      </c>
      <c r="AT87" s="69">
        <v>1085</v>
      </c>
      <c r="AU87" s="69">
        <v>9486</v>
      </c>
      <c r="AV87" s="69">
        <v>1807</v>
      </c>
      <c r="AW87" s="69">
        <v>8628</v>
      </c>
      <c r="AX87" s="69">
        <v>943</v>
      </c>
      <c r="AY87" s="69">
        <v>1873</v>
      </c>
      <c r="AZ87" s="69">
        <v>4576</v>
      </c>
      <c r="BA87" s="69">
        <v>15121</v>
      </c>
      <c r="BB87" s="69">
        <v>41014</v>
      </c>
      <c r="BC87" s="69">
        <v>2015</v>
      </c>
      <c r="BD87" s="69">
        <v>13441</v>
      </c>
      <c r="BE87" s="69">
        <v>4573</v>
      </c>
      <c r="BF87" s="69">
        <v>3792</v>
      </c>
      <c r="BG87" s="69">
        <v>2904</v>
      </c>
      <c r="BH87" s="69">
        <v>27696</v>
      </c>
      <c r="BI87" s="69">
        <v>6725</v>
      </c>
      <c r="BJ87" s="69">
        <v>86596</v>
      </c>
      <c r="BK87" s="69">
        <v>55338</v>
      </c>
      <c r="BL87" s="69">
        <v>14077</v>
      </c>
      <c r="BM87" s="69">
        <v>19567</v>
      </c>
      <c r="BN87" s="69">
        <v>16723</v>
      </c>
      <c r="BO87" s="69">
        <v>1741</v>
      </c>
      <c r="BP87" s="69">
        <v>6349</v>
      </c>
      <c r="BQ87" s="70">
        <v>1474</v>
      </c>
      <c r="BR87" s="71">
        <v>611853</v>
      </c>
    </row>
    <row r="88" spans="1:70" ht="15" customHeight="1" x14ac:dyDescent="0.3">
      <c r="A88" s="11" t="s">
        <v>179</v>
      </c>
      <c r="B88" s="11"/>
      <c r="C88" s="68">
        <v>0</v>
      </c>
      <c r="D88" s="69">
        <v>0</v>
      </c>
      <c r="E88" s="69">
        <v>0</v>
      </c>
      <c r="F88" s="69">
        <v>10</v>
      </c>
      <c r="G88" s="69">
        <v>1011</v>
      </c>
      <c r="H88" s="69">
        <v>49</v>
      </c>
      <c r="I88" s="69">
        <v>38</v>
      </c>
      <c r="J88" s="69">
        <v>253</v>
      </c>
      <c r="K88" s="69">
        <v>57</v>
      </c>
      <c r="L88" s="69">
        <v>320</v>
      </c>
      <c r="M88" s="69">
        <v>96</v>
      </c>
      <c r="N88" s="69">
        <v>45</v>
      </c>
      <c r="O88" s="69">
        <v>54</v>
      </c>
      <c r="P88" s="69">
        <v>42</v>
      </c>
      <c r="Q88" s="69">
        <v>22</v>
      </c>
      <c r="R88" s="69">
        <v>59</v>
      </c>
      <c r="S88" s="69">
        <v>382</v>
      </c>
      <c r="T88" s="69">
        <v>40</v>
      </c>
      <c r="U88" s="69">
        <v>1343</v>
      </c>
      <c r="V88" s="69">
        <v>20</v>
      </c>
      <c r="W88" s="69">
        <v>395</v>
      </c>
      <c r="X88" s="69">
        <v>312</v>
      </c>
      <c r="Y88" s="69">
        <v>37</v>
      </c>
      <c r="Z88" s="69">
        <v>256</v>
      </c>
      <c r="AA88" s="69">
        <v>181</v>
      </c>
      <c r="AB88" s="69">
        <v>145</v>
      </c>
      <c r="AC88" s="69">
        <v>312</v>
      </c>
      <c r="AD88" s="69">
        <v>85</v>
      </c>
      <c r="AE88" s="69">
        <v>161</v>
      </c>
      <c r="AF88" s="69">
        <v>67</v>
      </c>
      <c r="AG88" s="69">
        <v>178</v>
      </c>
      <c r="AH88" s="69">
        <v>357</v>
      </c>
      <c r="AI88" s="69">
        <v>248</v>
      </c>
      <c r="AJ88" s="69">
        <v>166</v>
      </c>
      <c r="AK88" s="69">
        <v>95</v>
      </c>
      <c r="AL88" s="69">
        <v>116</v>
      </c>
      <c r="AM88" s="69">
        <v>121</v>
      </c>
      <c r="AN88" s="69">
        <v>1484</v>
      </c>
      <c r="AO88" s="69">
        <v>669</v>
      </c>
      <c r="AP88" s="69">
        <v>597</v>
      </c>
      <c r="AQ88" s="69">
        <v>1184</v>
      </c>
      <c r="AR88" s="69">
        <v>784</v>
      </c>
      <c r="AS88" s="69">
        <v>48</v>
      </c>
      <c r="AT88" s="69">
        <v>23</v>
      </c>
      <c r="AU88" s="69">
        <v>1485</v>
      </c>
      <c r="AV88" s="69">
        <v>47</v>
      </c>
      <c r="AW88" s="69">
        <v>51</v>
      </c>
      <c r="AX88" s="69">
        <v>30</v>
      </c>
      <c r="AY88" s="69">
        <v>71</v>
      </c>
      <c r="AZ88" s="69">
        <v>1200</v>
      </c>
      <c r="BA88" s="69">
        <v>1019</v>
      </c>
      <c r="BB88" s="69">
        <v>6342</v>
      </c>
      <c r="BC88" s="69">
        <v>59</v>
      </c>
      <c r="BD88" s="69">
        <v>1228</v>
      </c>
      <c r="BE88" s="69">
        <v>181</v>
      </c>
      <c r="BF88" s="69">
        <v>102</v>
      </c>
      <c r="BG88" s="69">
        <v>83</v>
      </c>
      <c r="BH88" s="69">
        <v>514</v>
      </c>
      <c r="BI88" s="69">
        <v>50</v>
      </c>
      <c r="BJ88" s="69">
        <v>2135</v>
      </c>
      <c r="BK88" s="69">
        <v>334</v>
      </c>
      <c r="BL88" s="69">
        <v>82</v>
      </c>
      <c r="BM88" s="69">
        <v>21</v>
      </c>
      <c r="BN88" s="69">
        <v>110</v>
      </c>
      <c r="BO88" s="69">
        <v>53</v>
      </c>
      <c r="BP88" s="69">
        <v>97</v>
      </c>
      <c r="BQ88" s="70">
        <v>0</v>
      </c>
      <c r="BR88" s="71">
        <v>27156</v>
      </c>
    </row>
    <row r="89" spans="1:70" ht="15" customHeight="1" x14ac:dyDescent="0.3">
      <c r="A89" s="11" t="s">
        <v>180</v>
      </c>
      <c r="B89" s="11"/>
      <c r="C89" s="68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69">
        <v>0</v>
      </c>
      <c r="AU89" s="69">
        <v>0</v>
      </c>
      <c r="AV89" s="69">
        <v>0</v>
      </c>
      <c r="AW89" s="69">
        <v>0</v>
      </c>
      <c r="AX89" s="69">
        <v>0</v>
      </c>
      <c r="AY89" s="69">
        <v>0</v>
      </c>
      <c r="AZ89" s="69">
        <v>0</v>
      </c>
      <c r="BA89" s="69">
        <v>0</v>
      </c>
      <c r="BB89" s="69">
        <v>0</v>
      </c>
      <c r="BC89" s="69">
        <v>0</v>
      </c>
      <c r="BD89" s="69">
        <v>0</v>
      </c>
      <c r="BE89" s="69">
        <v>0</v>
      </c>
      <c r="BF89" s="69">
        <v>0</v>
      </c>
      <c r="BG89" s="69">
        <v>0</v>
      </c>
      <c r="BH89" s="69">
        <v>0</v>
      </c>
      <c r="BI89" s="69">
        <v>0</v>
      </c>
      <c r="BJ89" s="69">
        <v>86147</v>
      </c>
      <c r="BK89" s="69">
        <v>7197</v>
      </c>
      <c r="BL89" s="69">
        <v>0</v>
      </c>
      <c r="BM89" s="69">
        <v>7281</v>
      </c>
      <c r="BN89" s="69">
        <v>0</v>
      </c>
      <c r="BO89" s="69">
        <v>0</v>
      </c>
      <c r="BP89" s="69">
        <v>0</v>
      </c>
      <c r="BQ89" s="70">
        <v>0</v>
      </c>
      <c r="BR89" s="71">
        <v>100625</v>
      </c>
    </row>
    <row r="90" spans="1:70" ht="15" customHeight="1" x14ac:dyDescent="0.3">
      <c r="A90" s="11" t="s">
        <v>181</v>
      </c>
      <c r="B90" s="11"/>
      <c r="C90" s="68">
        <v>387668</v>
      </c>
      <c r="D90" s="69">
        <v>104422</v>
      </c>
      <c r="E90" s="69">
        <v>36464</v>
      </c>
      <c r="F90" s="69">
        <v>6459</v>
      </c>
      <c r="G90" s="69">
        <v>208581</v>
      </c>
      <c r="H90" s="69">
        <v>159899</v>
      </c>
      <c r="I90" s="69">
        <v>10623</v>
      </c>
      <c r="J90" s="69">
        <v>16083</v>
      </c>
      <c r="K90" s="69">
        <v>8407</v>
      </c>
      <c r="L90" s="69">
        <v>34467</v>
      </c>
      <c r="M90" s="69">
        <v>13705</v>
      </c>
      <c r="N90" s="69">
        <v>983</v>
      </c>
      <c r="O90" s="69">
        <v>6140</v>
      </c>
      <c r="P90" s="69">
        <v>9028</v>
      </c>
      <c r="Q90" s="69">
        <v>4952</v>
      </c>
      <c r="R90" s="69">
        <v>10843</v>
      </c>
      <c r="S90" s="69">
        <v>12579</v>
      </c>
      <c r="T90" s="69">
        <v>2534</v>
      </c>
      <c r="U90" s="69">
        <v>76087</v>
      </c>
      <c r="V90" s="69">
        <v>12070</v>
      </c>
      <c r="W90" s="69">
        <v>44152</v>
      </c>
      <c r="X90" s="69">
        <v>6759</v>
      </c>
      <c r="Y90" s="69">
        <v>3494</v>
      </c>
      <c r="Z90" s="69">
        <v>28971</v>
      </c>
      <c r="AA90" s="69">
        <v>9935</v>
      </c>
      <c r="AB90" s="69">
        <v>17937</v>
      </c>
      <c r="AC90" s="69">
        <v>79135</v>
      </c>
      <c r="AD90" s="69">
        <v>20949</v>
      </c>
      <c r="AE90" s="69">
        <v>23055</v>
      </c>
      <c r="AF90" s="69">
        <v>7925</v>
      </c>
      <c r="AG90" s="69">
        <v>9878</v>
      </c>
      <c r="AH90" s="69">
        <v>22082</v>
      </c>
      <c r="AI90" s="69">
        <v>3503</v>
      </c>
      <c r="AJ90" s="69">
        <v>8612</v>
      </c>
      <c r="AK90" s="69">
        <v>249</v>
      </c>
      <c r="AL90" s="69">
        <v>23406</v>
      </c>
      <c r="AM90" s="69">
        <v>17962</v>
      </c>
      <c r="AN90" s="69">
        <v>133278</v>
      </c>
      <c r="AO90" s="69">
        <v>37659</v>
      </c>
      <c r="AP90" s="69">
        <v>141157</v>
      </c>
      <c r="AQ90" s="69">
        <v>478681</v>
      </c>
      <c r="AR90" s="69">
        <v>83255</v>
      </c>
      <c r="AS90" s="69">
        <v>7668</v>
      </c>
      <c r="AT90" s="69">
        <v>-4181</v>
      </c>
      <c r="AU90" s="69">
        <v>52461</v>
      </c>
      <c r="AV90" s="69">
        <v>5073</v>
      </c>
      <c r="AW90" s="69">
        <v>61681</v>
      </c>
      <c r="AX90" s="69">
        <v>1631</v>
      </c>
      <c r="AY90" s="69">
        <v>4481</v>
      </c>
      <c r="AZ90" s="69">
        <v>52994</v>
      </c>
      <c r="BA90" s="69">
        <v>75511</v>
      </c>
      <c r="BB90" s="69">
        <v>239754</v>
      </c>
      <c r="BC90" s="69">
        <v>689238</v>
      </c>
      <c r="BD90" s="69">
        <v>111759</v>
      </c>
      <c r="BE90" s="69">
        <v>25863</v>
      </c>
      <c r="BF90" s="69">
        <v>30311</v>
      </c>
      <c r="BG90" s="69">
        <v>34254</v>
      </c>
      <c r="BH90" s="69">
        <v>63863</v>
      </c>
      <c r="BI90" s="69">
        <v>2789</v>
      </c>
      <c r="BJ90" s="69">
        <v>115808</v>
      </c>
      <c r="BK90" s="69">
        <v>17197</v>
      </c>
      <c r="BL90" s="69">
        <v>10805</v>
      </c>
      <c r="BM90" s="69">
        <v>8864</v>
      </c>
      <c r="BN90" s="69">
        <v>96532</v>
      </c>
      <c r="BO90" s="69">
        <v>9097</v>
      </c>
      <c r="BP90" s="69">
        <v>40908</v>
      </c>
      <c r="BQ90" s="70">
        <v>0</v>
      </c>
      <c r="BR90" s="71">
        <v>4078389</v>
      </c>
    </row>
    <row r="91" spans="1:70" ht="15" customHeight="1" x14ac:dyDescent="0.3">
      <c r="A91" s="11" t="s">
        <v>182</v>
      </c>
      <c r="B91" s="11"/>
      <c r="C91" s="68">
        <v>184642</v>
      </c>
      <c r="D91" s="69">
        <v>69026</v>
      </c>
      <c r="E91" s="69">
        <v>16923</v>
      </c>
      <c r="F91" s="69">
        <v>269</v>
      </c>
      <c r="G91" s="69">
        <v>0</v>
      </c>
      <c r="H91" s="69">
        <v>0</v>
      </c>
      <c r="I91" s="69">
        <v>0</v>
      </c>
      <c r="J91" s="69">
        <v>406</v>
      </c>
      <c r="K91" s="69">
        <v>0</v>
      </c>
      <c r="L91" s="69">
        <v>4027</v>
      </c>
      <c r="M91" s="69">
        <v>27</v>
      </c>
      <c r="N91" s="69">
        <v>0</v>
      </c>
      <c r="O91" s="69">
        <v>1035</v>
      </c>
      <c r="P91" s="69">
        <v>4774</v>
      </c>
      <c r="Q91" s="69">
        <v>733</v>
      </c>
      <c r="R91" s="69">
        <v>1708</v>
      </c>
      <c r="S91" s="69">
        <v>309</v>
      </c>
      <c r="T91" s="69">
        <v>522</v>
      </c>
      <c r="U91" s="69">
        <v>0</v>
      </c>
      <c r="V91" s="69">
        <v>0</v>
      </c>
      <c r="W91" s="69">
        <v>0</v>
      </c>
      <c r="X91" s="69">
        <v>0</v>
      </c>
      <c r="Y91" s="69">
        <v>613</v>
      </c>
      <c r="Z91" s="69">
        <v>0</v>
      </c>
      <c r="AA91" s="69">
        <v>389</v>
      </c>
      <c r="AB91" s="69">
        <v>856</v>
      </c>
      <c r="AC91" s="69">
        <v>0</v>
      </c>
      <c r="AD91" s="69">
        <v>-19</v>
      </c>
      <c r="AE91" s="69">
        <v>2556</v>
      </c>
      <c r="AF91" s="69">
        <v>0</v>
      </c>
      <c r="AG91" s="69">
        <v>0</v>
      </c>
      <c r="AH91" s="69">
        <v>0</v>
      </c>
      <c r="AI91" s="69">
        <v>0</v>
      </c>
      <c r="AJ91" s="69">
        <v>32</v>
      </c>
      <c r="AK91" s="69">
        <v>1</v>
      </c>
      <c r="AL91" s="69">
        <v>1416</v>
      </c>
      <c r="AM91" s="69">
        <v>4388</v>
      </c>
      <c r="AN91" s="69">
        <v>0</v>
      </c>
      <c r="AO91" s="69">
        <v>1511</v>
      </c>
      <c r="AP91" s="69">
        <v>66152</v>
      </c>
      <c r="AQ91" s="69">
        <v>82623</v>
      </c>
      <c r="AR91" s="69">
        <v>24784</v>
      </c>
      <c r="AS91" s="69">
        <v>271</v>
      </c>
      <c r="AT91" s="69">
        <v>0</v>
      </c>
      <c r="AU91" s="69">
        <v>1972</v>
      </c>
      <c r="AV91" s="69">
        <v>1448</v>
      </c>
      <c r="AW91" s="69">
        <v>39681</v>
      </c>
      <c r="AX91" s="69">
        <v>22</v>
      </c>
      <c r="AY91" s="69">
        <v>1137</v>
      </c>
      <c r="AZ91" s="69">
        <v>388</v>
      </c>
      <c r="BA91" s="69">
        <v>13885</v>
      </c>
      <c r="BB91" s="69">
        <v>3201</v>
      </c>
      <c r="BC91" s="69">
        <v>3741</v>
      </c>
      <c r="BD91" s="69">
        <v>37402</v>
      </c>
      <c r="BE91" s="69">
        <v>10984</v>
      </c>
      <c r="BF91" s="69">
        <v>6539</v>
      </c>
      <c r="BG91" s="69">
        <v>588</v>
      </c>
      <c r="BH91" s="69">
        <v>6740</v>
      </c>
      <c r="BI91" s="69">
        <v>924</v>
      </c>
      <c r="BJ91" s="69">
        <v>0</v>
      </c>
      <c r="BK91" s="69">
        <v>0</v>
      </c>
      <c r="BL91" s="69">
        <v>8883</v>
      </c>
      <c r="BM91" s="69">
        <v>0</v>
      </c>
      <c r="BN91" s="69">
        <v>58199</v>
      </c>
      <c r="BO91" s="69">
        <v>5814</v>
      </c>
      <c r="BP91" s="69">
        <v>29999</v>
      </c>
      <c r="BQ91" s="70">
        <v>0</v>
      </c>
      <c r="BR91" s="71">
        <v>701521</v>
      </c>
    </row>
    <row r="92" spans="1:70" ht="15" customHeight="1" x14ac:dyDescent="0.3">
      <c r="A92" s="11" t="s">
        <v>183</v>
      </c>
      <c r="B92" s="11"/>
      <c r="C92" s="68">
        <v>203026</v>
      </c>
      <c r="D92" s="69">
        <v>35396</v>
      </c>
      <c r="E92" s="69">
        <v>19541</v>
      </c>
      <c r="F92" s="69">
        <v>6190</v>
      </c>
      <c r="G92" s="69">
        <v>208581</v>
      </c>
      <c r="H92" s="69">
        <v>159899</v>
      </c>
      <c r="I92" s="69">
        <v>10623</v>
      </c>
      <c r="J92" s="69">
        <v>15677</v>
      </c>
      <c r="K92" s="69">
        <v>8407</v>
      </c>
      <c r="L92" s="69">
        <v>30440</v>
      </c>
      <c r="M92" s="69">
        <v>13678</v>
      </c>
      <c r="N92" s="69">
        <v>983</v>
      </c>
      <c r="O92" s="69">
        <v>5105</v>
      </c>
      <c r="P92" s="69">
        <v>4254</v>
      </c>
      <c r="Q92" s="69">
        <v>4219</v>
      </c>
      <c r="R92" s="69">
        <v>9135</v>
      </c>
      <c r="S92" s="69">
        <v>12270</v>
      </c>
      <c r="T92" s="69">
        <v>2012</v>
      </c>
      <c r="U92" s="69">
        <v>76087</v>
      </c>
      <c r="V92" s="69">
        <v>12070</v>
      </c>
      <c r="W92" s="69">
        <v>44152</v>
      </c>
      <c r="X92" s="69">
        <v>6759</v>
      </c>
      <c r="Y92" s="69">
        <v>2881</v>
      </c>
      <c r="Z92" s="69">
        <v>28971</v>
      </c>
      <c r="AA92" s="69">
        <v>9546</v>
      </c>
      <c r="AB92" s="69">
        <v>17081</v>
      </c>
      <c r="AC92" s="69">
        <v>79135</v>
      </c>
      <c r="AD92" s="69">
        <v>20968</v>
      </c>
      <c r="AE92" s="69">
        <v>20499</v>
      </c>
      <c r="AF92" s="69">
        <v>7925</v>
      </c>
      <c r="AG92" s="69">
        <v>9878</v>
      </c>
      <c r="AH92" s="69">
        <v>22082</v>
      </c>
      <c r="AI92" s="69">
        <v>3503</v>
      </c>
      <c r="AJ92" s="69">
        <v>8580</v>
      </c>
      <c r="AK92" s="69">
        <v>248</v>
      </c>
      <c r="AL92" s="69">
        <v>21990</v>
      </c>
      <c r="AM92" s="69">
        <v>13574</v>
      </c>
      <c r="AN92" s="69">
        <v>133278</v>
      </c>
      <c r="AO92" s="69">
        <v>36148</v>
      </c>
      <c r="AP92" s="69">
        <v>75005</v>
      </c>
      <c r="AQ92" s="69">
        <v>396058</v>
      </c>
      <c r="AR92" s="69">
        <v>58471</v>
      </c>
      <c r="AS92" s="69">
        <v>7397</v>
      </c>
      <c r="AT92" s="69">
        <v>-4181</v>
      </c>
      <c r="AU92" s="69">
        <v>50489</v>
      </c>
      <c r="AV92" s="69">
        <v>3625</v>
      </c>
      <c r="AW92" s="69">
        <v>22000</v>
      </c>
      <c r="AX92" s="69">
        <v>1609</v>
      </c>
      <c r="AY92" s="69">
        <v>3344</v>
      </c>
      <c r="AZ92" s="69">
        <v>52606</v>
      </c>
      <c r="BA92" s="69">
        <v>61626</v>
      </c>
      <c r="BB92" s="69">
        <v>236553</v>
      </c>
      <c r="BC92" s="69">
        <v>685497</v>
      </c>
      <c r="BD92" s="69">
        <v>74357</v>
      </c>
      <c r="BE92" s="69">
        <v>14879</v>
      </c>
      <c r="BF92" s="69">
        <v>23772</v>
      </c>
      <c r="BG92" s="69">
        <v>33666</v>
      </c>
      <c r="BH92" s="69">
        <v>57123</v>
      </c>
      <c r="BI92" s="69">
        <v>1865</v>
      </c>
      <c r="BJ92" s="69">
        <v>115808</v>
      </c>
      <c r="BK92" s="69">
        <v>17197</v>
      </c>
      <c r="BL92" s="69">
        <v>1922</v>
      </c>
      <c r="BM92" s="69">
        <v>8864</v>
      </c>
      <c r="BN92" s="69">
        <v>38333</v>
      </c>
      <c r="BO92" s="69">
        <v>3283</v>
      </c>
      <c r="BP92" s="69">
        <v>10909</v>
      </c>
      <c r="BQ92" s="70">
        <v>0</v>
      </c>
      <c r="BR92" s="71">
        <v>3376868</v>
      </c>
    </row>
    <row r="93" spans="1:70" ht="15" customHeight="1" x14ac:dyDescent="0.3">
      <c r="A93" s="11" t="s">
        <v>184</v>
      </c>
      <c r="B93" s="11"/>
      <c r="C93" s="68">
        <v>3349</v>
      </c>
      <c r="D93" s="69">
        <v>909</v>
      </c>
      <c r="E93" s="69">
        <v>219</v>
      </c>
      <c r="F93" s="69">
        <v>237</v>
      </c>
      <c r="G93" s="69">
        <v>2064</v>
      </c>
      <c r="H93" s="69">
        <v>1561</v>
      </c>
      <c r="I93" s="69">
        <v>235</v>
      </c>
      <c r="J93" s="69">
        <v>3687</v>
      </c>
      <c r="K93" s="69">
        <v>1186</v>
      </c>
      <c r="L93" s="69">
        <v>4679</v>
      </c>
      <c r="M93" s="69">
        <v>1100</v>
      </c>
      <c r="N93" s="69">
        <v>135</v>
      </c>
      <c r="O93" s="69">
        <v>635</v>
      </c>
      <c r="P93" s="69">
        <v>661</v>
      </c>
      <c r="Q93" s="69">
        <v>463</v>
      </c>
      <c r="R93" s="69">
        <v>555</v>
      </c>
      <c r="S93" s="69">
        <v>1123</v>
      </c>
      <c r="T93" s="69">
        <v>247</v>
      </c>
      <c r="U93" s="69">
        <v>2008</v>
      </c>
      <c r="V93" s="69">
        <v>838</v>
      </c>
      <c r="W93" s="69">
        <v>2120</v>
      </c>
      <c r="X93" s="69">
        <v>989</v>
      </c>
      <c r="Y93" s="69">
        <v>540</v>
      </c>
      <c r="Z93" s="69">
        <v>804</v>
      </c>
      <c r="AA93" s="69">
        <v>1524</v>
      </c>
      <c r="AB93" s="69">
        <v>1168</v>
      </c>
      <c r="AC93" s="69">
        <v>1916</v>
      </c>
      <c r="AD93" s="69">
        <v>781</v>
      </c>
      <c r="AE93" s="69">
        <v>1497</v>
      </c>
      <c r="AF93" s="69">
        <v>1281</v>
      </c>
      <c r="AG93" s="69">
        <v>1075</v>
      </c>
      <c r="AH93" s="69">
        <v>1953</v>
      </c>
      <c r="AI93" s="69">
        <v>1655</v>
      </c>
      <c r="AJ93" s="69">
        <v>1233</v>
      </c>
      <c r="AK93" s="69">
        <v>423</v>
      </c>
      <c r="AL93" s="69">
        <v>879</v>
      </c>
      <c r="AM93" s="69">
        <v>550</v>
      </c>
      <c r="AN93" s="69">
        <v>3794</v>
      </c>
      <c r="AO93" s="69">
        <v>1014</v>
      </c>
      <c r="AP93" s="69">
        <v>3891</v>
      </c>
      <c r="AQ93" s="69">
        <v>15409</v>
      </c>
      <c r="AR93" s="69">
        <v>4071</v>
      </c>
      <c r="AS93" s="69">
        <v>476</v>
      </c>
      <c r="AT93" s="69">
        <v>579</v>
      </c>
      <c r="AU93" s="69">
        <v>1858</v>
      </c>
      <c r="AV93" s="69">
        <v>354</v>
      </c>
      <c r="AW93" s="69">
        <v>1559</v>
      </c>
      <c r="AX93" s="69">
        <v>181</v>
      </c>
      <c r="AY93" s="69">
        <v>877</v>
      </c>
      <c r="AZ93" s="69">
        <v>2703</v>
      </c>
      <c r="BA93" s="69">
        <v>2779</v>
      </c>
      <c r="BB93" s="69">
        <v>6141</v>
      </c>
      <c r="BC93" s="69">
        <v>581</v>
      </c>
      <c r="BD93" s="69">
        <v>3206</v>
      </c>
      <c r="BE93" s="69">
        <v>857</v>
      </c>
      <c r="BF93" s="69">
        <v>834</v>
      </c>
      <c r="BG93" s="69">
        <v>680</v>
      </c>
      <c r="BH93" s="69">
        <v>4284</v>
      </c>
      <c r="BI93" s="69">
        <v>1004</v>
      </c>
      <c r="BJ93" s="69">
        <v>174</v>
      </c>
      <c r="BK93" s="69">
        <v>0</v>
      </c>
      <c r="BL93" s="69">
        <v>2412</v>
      </c>
      <c r="BM93" s="69">
        <v>0</v>
      </c>
      <c r="BN93" s="69">
        <v>3523</v>
      </c>
      <c r="BO93" s="69">
        <v>280</v>
      </c>
      <c r="BP93" s="69">
        <v>1118</v>
      </c>
      <c r="BQ93" s="70">
        <v>0</v>
      </c>
      <c r="BR93" s="71">
        <v>110918</v>
      </c>
    </row>
    <row r="94" spans="1:70" ht="15" customHeight="1" x14ac:dyDescent="0.3">
      <c r="A94" s="11" t="s">
        <v>185</v>
      </c>
      <c r="B94" s="11"/>
      <c r="C94" s="68">
        <v>-7858</v>
      </c>
      <c r="D94" s="69">
        <v>-46</v>
      </c>
      <c r="E94" s="69">
        <v>-34</v>
      </c>
      <c r="F94" s="69">
        <v>-17</v>
      </c>
      <c r="G94" s="69">
        <v>0</v>
      </c>
      <c r="H94" s="69">
        <v>-7</v>
      </c>
      <c r="I94" s="69">
        <v>0</v>
      </c>
      <c r="J94" s="69">
        <v>-23</v>
      </c>
      <c r="K94" s="69">
        <v>-31</v>
      </c>
      <c r="L94" s="69">
        <v>-28</v>
      </c>
      <c r="M94" s="69">
        <v>-9</v>
      </c>
      <c r="N94" s="69">
        <v>0</v>
      </c>
      <c r="O94" s="69">
        <v>-6</v>
      </c>
      <c r="P94" s="69">
        <v>0</v>
      </c>
      <c r="Q94" s="69">
        <v>0</v>
      </c>
      <c r="R94" s="69">
        <v>-9</v>
      </c>
      <c r="S94" s="69">
        <v>-22</v>
      </c>
      <c r="T94" s="69">
        <v>0</v>
      </c>
      <c r="U94" s="69">
        <v>-41</v>
      </c>
      <c r="V94" s="69">
        <v>-26</v>
      </c>
      <c r="W94" s="69">
        <v>-8</v>
      </c>
      <c r="X94" s="69">
        <v>0</v>
      </c>
      <c r="Y94" s="69">
        <v>0</v>
      </c>
      <c r="Z94" s="69">
        <v>-6</v>
      </c>
      <c r="AA94" s="69">
        <v>-33</v>
      </c>
      <c r="AB94" s="69">
        <v>-27</v>
      </c>
      <c r="AC94" s="69">
        <v>-14</v>
      </c>
      <c r="AD94" s="69">
        <v>-8</v>
      </c>
      <c r="AE94" s="69">
        <v>-18</v>
      </c>
      <c r="AF94" s="69">
        <v>0</v>
      </c>
      <c r="AG94" s="69">
        <v>-20</v>
      </c>
      <c r="AH94" s="69">
        <v>-53</v>
      </c>
      <c r="AI94" s="69">
        <v>-59</v>
      </c>
      <c r="AJ94" s="69">
        <v>-49</v>
      </c>
      <c r="AK94" s="69">
        <v>-14</v>
      </c>
      <c r="AL94" s="69">
        <v>-8</v>
      </c>
      <c r="AM94" s="69">
        <v>0</v>
      </c>
      <c r="AN94" s="69">
        <v>-32</v>
      </c>
      <c r="AO94" s="69">
        <v>-8</v>
      </c>
      <c r="AP94" s="69">
        <v>-99</v>
      </c>
      <c r="AQ94" s="69">
        <v>-176</v>
      </c>
      <c r="AR94" s="69">
        <v>-444</v>
      </c>
      <c r="AS94" s="69">
        <v>0</v>
      </c>
      <c r="AT94" s="69">
        <v>-7</v>
      </c>
      <c r="AU94" s="69">
        <v>-13</v>
      </c>
      <c r="AV94" s="69">
        <v>0</v>
      </c>
      <c r="AW94" s="69">
        <v>0</v>
      </c>
      <c r="AX94" s="69">
        <v>0</v>
      </c>
      <c r="AY94" s="69">
        <v>0</v>
      </c>
      <c r="AZ94" s="69">
        <v>-17</v>
      </c>
      <c r="BA94" s="69">
        <v>0</v>
      </c>
      <c r="BB94" s="69">
        <v>0</v>
      </c>
      <c r="BC94" s="69">
        <v>0</v>
      </c>
      <c r="BD94" s="69">
        <v>0</v>
      </c>
      <c r="BE94" s="69">
        <v>-594</v>
      </c>
      <c r="BF94" s="69">
        <v>0</v>
      </c>
      <c r="BG94" s="69">
        <v>-42</v>
      </c>
      <c r="BH94" s="69">
        <v>-13</v>
      </c>
      <c r="BI94" s="69">
        <v>0</v>
      </c>
      <c r="BJ94" s="69">
        <v>0</v>
      </c>
      <c r="BK94" s="69">
        <v>0</v>
      </c>
      <c r="BL94" s="69">
        <v>0</v>
      </c>
      <c r="BM94" s="69">
        <v>0</v>
      </c>
      <c r="BN94" s="69">
        <v>-37</v>
      </c>
      <c r="BO94" s="69">
        <v>0</v>
      </c>
      <c r="BP94" s="69">
        <v>0</v>
      </c>
      <c r="BQ94" s="70">
        <v>0</v>
      </c>
      <c r="BR94" s="71">
        <v>-9956</v>
      </c>
    </row>
    <row r="95" spans="1:70" s="113" customFormat="1" ht="15" customHeight="1" x14ac:dyDescent="0.3">
      <c r="A95" s="109" t="s">
        <v>186</v>
      </c>
      <c r="B95" s="109"/>
      <c r="C95" s="110">
        <v>769160</v>
      </c>
      <c r="D95" s="111">
        <v>272241</v>
      </c>
      <c r="E95" s="111">
        <v>54743</v>
      </c>
      <c r="F95" s="111">
        <v>30081</v>
      </c>
      <c r="G95" s="111">
        <v>406701</v>
      </c>
      <c r="H95" s="111">
        <v>279099</v>
      </c>
      <c r="I95" s="111">
        <v>30712</v>
      </c>
      <c r="J95" s="111">
        <v>495404</v>
      </c>
      <c r="K95" s="111">
        <v>94655</v>
      </c>
      <c r="L95" s="111">
        <v>513838</v>
      </c>
      <c r="M95" s="111">
        <v>110108</v>
      </c>
      <c r="N95" s="111">
        <v>18653</v>
      </c>
      <c r="O95" s="111">
        <v>82836</v>
      </c>
      <c r="P95" s="111">
        <v>80645</v>
      </c>
      <c r="Q95" s="111">
        <v>50739</v>
      </c>
      <c r="R95" s="111">
        <v>61516</v>
      </c>
      <c r="S95" s="111">
        <v>156926</v>
      </c>
      <c r="T95" s="111">
        <v>22332</v>
      </c>
      <c r="U95" s="111">
        <v>678319</v>
      </c>
      <c r="V95" s="111">
        <v>105728</v>
      </c>
      <c r="W95" s="111">
        <v>353156</v>
      </c>
      <c r="X95" s="111">
        <v>138097</v>
      </c>
      <c r="Y95" s="111">
        <v>67872</v>
      </c>
      <c r="Z95" s="111">
        <v>99278</v>
      </c>
      <c r="AA95" s="111">
        <v>197694</v>
      </c>
      <c r="AB95" s="111">
        <v>143010</v>
      </c>
      <c r="AC95" s="111">
        <v>305615</v>
      </c>
      <c r="AD95" s="111">
        <v>121205</v>
      </c>
      <c r="AE95" s="111">
        <v>189661</v>
      </c>
      <c r="AF95" s="111">
        <v>146376</v>
      </c>
      <c r="AG95" s="111">
        <v>137668</v>
      </c>
      <c r="AH95" s="111">
        <v>242983</v>
      </c>
      <c r="AI95" s="111">
        <v>241683</v>
      </c>
      <c r="AJ95" s="111">
        <v>145523</v>
      </c>
      <c r="AK95" s="111">
        <v>50525</v>
      </c>
      <c r="AL95" s="111">
        <v>113057</v>
      </c>
      <c r="AM95" s="111">
        <v>107939</v>
      </c>
      <c r="AN95" s="111">
        <v>455696</v>
      </c>
      <c r="AO95" s="111">
        <v>107088</v>
      </c>
      <c r="AP95" s="111">
        <v>704341</v>
      </c>
      <c r="AQ95" s="111">
        <v>1668202</v>
      </c>
      <c r="AR95" s="111">
        <v>506364</v>
      </c>
      <c r="AS95" s="111">
        <v>34706</v>
      </c>
      <c r="AT95" s="111">
        <v>35749</v>
      </c>
      <c r="AU95" s="111">
        <v>188012</v>
      </c>
      <c r="AV95" s="111">
        <v>31722</v>
      </c>
      <c r="AW95" s="111">
        <v>287344</v>
      </c>
      <c r="AX95" s="111">
        <v>17626</v>
      </c>
      <c r="AY95" s="111">
        <v>46662</v>
      </c>
      <c r="AZ95" s="111">
        <v>182343</v>
      </c>
      <c r="BA95" s="111">
        <v>267495</v>
      </c>
      <c r="BB95" s="111">
        <v>717847</v>
      </c>
      <c r="BC95" s="111">
        <v>758313</v>
      </c>
      <c r="BD95" s="111">
        <v>285030</v>
      </c>
      <c r="BE95" s="111">
        <v>85091</v>
      </c>
      <c r="BF95" s="111">
        <v>146292</v>
      </c>
      <c r="BG95" s="111">
        <v>75203</v>
      </c>
      <c r="BH95" s="111">
        <v>319061</v>
      </c>
      <c r="BI95" s="111">
        <v>46889</v>
      </c>
      <c r="BJ95" s="111">
        <v>993216</v>
      </c>
      <c r="BK95" s="111">
        <v>404343</v>
      </c>
      <c r="BL95" s="111">
        <v>150446</v>
      </c>
      <c r="BM95" s="111">
        <v>279166</v>
      </c>
      <c r="BN95" s="111">
        <v>382369</v>
      </c>
      <c r="BO95" s="111">
        <v>42806</v>
      </c>
      <c r="BP95" s="111">
        <v>185302</v>
      </c>
      <c r="BQ95" s="112">
        <v>61371</v>
      </c>
      <c r="BR95" s="107">
        <v>16581873</v>
      </c>
    </row>
    <row r="96" spans="1:70" s="113" customFormat="1" ht="15" customHeight="1" x14ac:dyDescent="0.3">
      <c r="A96" s="114" t="s">
        <v>187</v>
      </c>
      <c r="B96" s="115"/>
      <c r="C96" s="116">
        <v>6934294</v>
      </c>
      <c r="D96" s="117">
        <v>5393173</v>
      </c>
      <c r="E96" s="117">
        <v>815655</v>
      </c>
      <c r="F96" s="117">
        <v>110127</v>
      </c>
      <c r="G96" s="117">
        <v>55195</v>
      </c>
      <c r="H96" s="117">
        <v>42815</v>
      </c>
      <c r="I96" s="117">
        <v>35085</v>
      </c>
      <c r="J96" s="117">
        <v>860656</v>
      </c>
      <c r="K96" s="117">
        <v>139807</v>
      </c>
      <c r="L96" s="117">
        <v>1272409</v>
      </c>
      <c r="M96" s="117">
        <v>188767</v>
      </c>
      <c r="N96" s="117">
        <v>17515</v>
      </c>
      <c r="O96" s="117">
        <v>638518</v>
      </c>
      <c r="P96" s="117">
        <v>1655089</v>
      </c>
      <c r="Q96" s="117">
        <v>455637</v>
      </c>
      <c r="R96" s="117">
        <v>389391</v>
      </c>
      <c r="S96" s="117">
        <v>216547</v>
      </c>
      <c r="T96" s="117">
        <v>168568</v>
      </c>
      <c r="U96" s="117">
        <v>22483</v>
      </c>
      <c r="V96" s="117">
        <v>108126</v>
      </c>
      <c r="W96" s="117">
        <v>112336</v>
      </c>
      <c r="X96" s="117">
        <v>97429</v>
      </c>
      <c r="Y96" s="117">
        <v>138125</v>
      </c>
      <c r="Z96" s="117">
        <v>113456</v>
      </c>
      <c r="AA96" s="117">
        <v>444332</v>
      </c>
      <c r="AB96" s="117">
        <v>609593</v>
      </c>
      <c r="AC96" s="117">
        <v>131519</v>
      </c>
      <c r="AD96" s="117">
        <v>108045</v>
      </c>
      <c r="AE96" s="117">
        <v>702971</v>
      </c>
      <c r="AF96" s="117">
        <v>122788</v>
      </c>
      <c r="AG96" s="117">
        <v>228003</v>
      </c>
      <c r="AH96" s="117">
        <v>436572</v>
      </c>
      <c r="AI96" s="117">
        <v>155333</v>
      </c>
      <c r="AJ96" s="117">
        <v>304453</v>
      </c>
      <c r="AK96" s="117">
        <v>87198</v>
      </c>
      <c r="AL96" s="117">
        <v>773017</v>
      </c>
      <c r="AM96" s="117">
        <v>673031</v>
      </c>
      <c r="AN96" s="117">
        <v>174830</v>
      </c>
      <c r="AO96" s="117">
        <v>606919</v>
      </c>
      <c r="AP96" s="117">
        <v>8267084</v>
      </c>
      <c r="AQ96" s="117">
        <v>18825573</v>
      </c>
      <c r="AR96" s="117">
        <v>4123552</v>
      </c>
      <c r="AS96" s="117">
        <v>48865</v>
      </c>
      <c r="AT96" s="117">
        <v>51770</v>
      </c>
      <c r="AU96" s="117">
        <v>937458</v>
      </c>
      <c r="AV96" s="117">
        <v>402267</v>
      </c>
      <c r="AW96" s="117">
        <v>4980988</v>
      </c>
      <c r="AX96" s="117">
        <v>126997</v>
      </c>
      <c r="AY96" s="117">
        <v>154532</v>
      </c>
      <c r="AZ96" s="117">
        <v>322694</v>
      </c>
      <c r="BA96" s="117">
        <v>962675</v>
      </c>
      <c r="BB96" s="117">
        <v>1519655</v>
      </c>
      <c r="BC96" s="117">
        <v>518258</v>
      </c>
      <c r="BD96" s="117">
        <v>2206221</v>
      </c>
      <c r="BE96" s="117">
        <v>777044</v>
      </c>
      <c r="BF96" s="117">
        <v>850029</v>
      </c>
      <c r="BG96" s="117">
        <v>320139</v>
      </c>
      <c r="BH96" s="117">
        <v>4539907</v>
      </c>
      <c r="BI96" s="117">
        <v>785372</v>
      </c>
      <c r="BJ96" s="117">
        <v>4692057</v>
      </c>
      <c r="BK96" s="117">
        <v>4226629</v>
      </c>
      <c r="BL96" s="117">
        <v>2757268</v>
      </c>
      <c r="BM96" s="117">
        <v>2306888</v>
      </c>
      <c r="BN96" s="117">
        <v>3908377</v>
      </c>
      <c r="BO96" s="117">
        <v>937222</v>
      </c>
      <c r="BP96" s="117">
        <v>4342454</v>
      </c>
      <c r="BQ96" s="118">
        <v>5633396</v>
      </c>
      <c r="BR96" s="108">
        <v>105065178</v>
      </c>
    </row>
  </sheetData>
  <mergeCells count="14">
    <mergeCell ref="BZ3:BZ5"/>
    <mergeCell ref="BR4:BR5"/>
    <mergeCell ref="BS4:BS5"/>
    <mergeCell ref="BT4:BT5"/>
    <mergeCell ref="BU4:BU5"/>
    <mergeCell ref="BV4:BV5"/>
    <mergeCell ref="BW4:BW5"/>
    <mergeCell ref="BX4:BX5"/>
    <mergeCell ref="BY4:BY5"/>
    <mergeCell ref="A80:B82"/>
    <mergeCell ref="BR81:BR82"/>
    <mergeCell ref="A3:A5"/>
    <mergeCell ref="B3:B5"/>
    <mergeCell ref="BS3:BY3"/>
  </mergeCells>
  <pageMargins left="0.196527777777778" right="0" top="0.196527777777778" bottom="0.196527777777778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CB77"/>
  <sheetViews>
    <sheetView showGridLines="0" zoomScaleNormal="100" workbookViewId="0">
      <pane xSplit="2" ySplit="5" topLeftCell="BO6" activePane="bottomRight" state="frozen"/>
      <selection pane="topRight"/>
      <selection pane="bottomLeft"/>
      <selection pane="bottomRight" activeCell="BW14" sqref="BW14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78" width="20.7109375" customWidth="1"/>
  </cols>
  <sheetData>
    <row r="1" spans="1:78" ht="15" customHeight="1" x14ac:dyDescent="0.3">
      <c r="A1" s="12" t="s">
        <v>197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78" ht="15" customHeight="1" x14ac:dyDescent="0.3">
      <c r="A2" s="12" t="s">
        <v>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</row>
    <row r="3" spans="1:78" ht="15" customHeight="1" x14ac:dyDescent="0.2">
      <c r="A3" s="126" t="s">
        <v>189</v>
      </c>
      <c r="B3" s="126" t="s">
        <v>190</v>
      </c>
      <c r="C3" s="14" t="s">
        <v>161</v>
      </c>
      <c r="D3" s="15"/>
      <c r="E3" s="15"/>
      <c r="F3" s="15"/>
      <c r="G3" s="15"/>
      <c r="H3" s="15"/>
      <c r="I3" s="15"/>
      <c r="J3" s="15"/>
      <c r="K3" s="15"/>
      <c r="L3" s="16" t="s">
        <v>161</v>
      </c>
      <c r="M3" s="15"/>
      <c r="N3" s="15"/>
      <c r="O3" s="15"/>
      <c r="P3" s="15"/>
      <c r="Q3" s="15"/>
      <c r="R3" s="15"/>
      <c r="S3" s="15"/>
      <c r="T3" s="15"/>
      <c r="U3" s="16" t="s">
        <v>161</v>
      </c>
      <c r="V3" s="15"/>
      <c r="W3" s="15"/>
      <c r="X3" s="15"/>
      <c r="Y3" s="15"/>
      <c r="Z3" s="15"/>
      <c r="AA3" s="15"/>
      <c r="AB3" s="15"/>
      <c r="AC3" s="15"/>
      <c r="AD3" s="16" t="s">
        <v>161</v>
      </c>
      <c r="AE3" s="15"/>
      <c r="AF3" s="15"/>
      <c r="AG3" s="15"/>
      <c r="AH3" s="15"/>
      <c r="AI3" s="15"/>
      <c r="AJ3" s="15"/>
      <c r="AK3" s="15"/>
      <c r="AL3" s="15"/>
      <c r="AM3" s="16" t="s">
        <v>161</v>
      </c>
      <c r="AN3" s="15"/>
      <c r="AO3" s="15"/>
      <c r="AP3" s="15"/>
      <c r="AQ3" s="15"/>
      <c r="AR3" s="15"/>
      <c r="AS3" s="15"/>
      <c r="AT3" s="15"/>
      <c r="AU3" s="15"/>
      <c r="AV3" s="16" t="s">
        <v>161</v>
      </c>
      <c r="AW3" s="15"/>
      <c r="AX3" s="15"/>
      <c r="AY3" s="15"/>
      <c r="AZ3" s="15"/>
      <c r="BA3" s="15"/>
      <c r="BB3" s="15"/>
      <c r="BC3" s="15"/>
      <c r="BD3" s="15"/>
      <c r="BE3" s="16" t="s">
        <v>161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59" t="s">
        <v>161</v>
      </c>
      <c r="BS3" s="127" t="s">
        <v>162</v>
      </c>
      <c r="BT3" s="127"/>
      <c r="BU3" s="127"/>
      <c r="BV3" s="127"/>
      <c r="BW3" s="127"/>
      <c r="BX3" s="127"/>
      <c r="BY3" s="127"/>
      <c r="BZ3" s="128" t="s">
        <v>163</v>
      </c>
    </row>
    <row r="4" spans="1:78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  <c r="BR4" s="128" t="s">
        <v>164</v>
      </c>
      <c r="BS4" s="128" t="s">
        <v>165</v>
      </c>
      <c r="BT4" s="128" t="s">
        <v>166</v>
      </c>
      <c r="BU4" s="128" t="s">
        <v>167</v>
      </c>
      <c r="BV4" s="128" t="s">
        <v>168</v>
      </c>
      <c r="BW4" s="128" t="s">
        <v>169</v>
      </c>
      <c r="BX4" s="128" t="s">
        <v>170</v>
      </c>
      <c r="BY4" s="128" t="s">
        <v>162</v>
      </c>
      <c r="BZ4" s="128"/>
    </row>
    <row r="5" spans="1:78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  <c r="BR5" s="128"/>
      <c r="BS5" s="128"/>
      <c r="BT5" s="128"/>
      <c r="BU5" s="128"/>
      <c r="BV5" s="128"/>
      <c r="BW5" s="128"/>
      <c r="BX5" s="128"/>
      <c r="BY5" s="128"/>
      <c r="BZ5" s="128"/>
    </row>
    <row r="6" spans="1:78" ht="15" customHeight="1" x14ac:dyDescent="0.3">
      <c r="A6" s="19" t="s">
        <v>24</v>
      </c>
      <c r="B6" s="11" t="s">
        <v>92</v>
      </c>
      <c r="C6" s="60">
        <v>16983.247640976799</v>
      </c>
      <c r="D6" s="61">
        <v>11985.7118715913</v>
      </c>
      <c r="E6" s="61">
        <v>219.75067867827599</v>
      </c>
      <c r="F6" s="61">
        <v>2.4446188831995901</v>
      </c>
      <c r="G6" s="61">
        <v>10.070757673037299</v>
      </c>
      <c r="H6" s="61">
        <v>18.831943136767599</v>
      </c>
      <c r="I6" s="61">
        <v>2.5990456554613499</v>
      </c>
      <c r="J6" s="61">
        <v>13773.569014287201</v>
      </c>
      <c r="K6" s="61">
        <v>40352.239443632803</v>
      </c>
      <c r="L6" s="61">
        <v>144426.083779712</v>
      </c>
      <c r="M6" s="61">
        <v>3476.9129644576301</v>
      </c>
      <c r="N6" s="61">
        <v>7355.7566927649405</v>
      </c>
      <c r="O6" s="61">
        <v>12151.147821455401</v>
      </c>
      <c r="P6" s="61">
        <v>826.38093235854296</v>
      </c>
      <c r="Q6" s="61">
        <v>8.2014628021535501</v>
      </c>
      <c r="R6" s="61">
        <v>139.511083554712</v>
      </c>
      <c r="S6" s="61">
        <v>262.77827453264098</v>
      </c>
      <c r="T6" s="61">
        <v>0.30482600334756499</v>
      </c>
      <c r="U6" s="61">
        <v>17.250539534068899</v>
      </c>
      <c r="V6" s="61">
        <v>36913.890216475003</v>
      </c>
      <c r="W6" s="61">
        <v>18.947496079245902</v>
      </c>
      <c r="X6" s="61">
        <v>22.664833288947101</v>
      </c>
      <c r="Y6" s="61">
        <v>4.2399617473883104</v>
      </c>
      <c r="Z6" s="61">
        <v>28.012323629647401</v>
      </c>
      <c r="AA6" s="61">
        <v>38.054853464048499</v>
      </c>
      <c r="AB6" s="61">
        <v>24.278499006860699</v>
      </c>
      <c r="AC6" s="61">
        <v>61.220021748223303</v>
      </c>
      <c r="AD6" s="61">
        <v>39.645899255179501</v>
      </c>
      <c r="AE6" s="61">
        <v>6.24891835412999</v>
      </c>
      <c r="AF6" s="61">
        <v>0.42540656962946799</v>
      </c>
      <c r="AG6" s="61">
        <v>0.505770915948766</v>
      </c>
      <c r="AH6" s="61">
        <v>1.46293364534828</v>
      </c>
      <c r="AI6" s="61">
        <v>0.727851998321555</v>
      </c>
      <c r="AJ6" s="61">
        <v>0.60726419511461804</v>
      </c>
      <c r="AK6" s="61">
        <v>0.62477458778066997</v>
      </c>
      <c r="AL6" s="61">
        <v>17.623418931504599</v>
      </c>
      <c r="AM6" s="61">
        <v>0.12588053197613899</v>
      </c>
      <c r="AN6" s="61">
        <v>0.96140955529054795</v>
      </c>
      <c r="AO6" s="61">
        <v>77.168599513695796</v>
      </c>
      <c r="AP6" s="61">
        <v>415.16463182773703</v>
      </c>
      <c r="AQ6" s="61">
        <v>19996.859219469799</v>
      </c>
      <c r="AR6" s="61">
        <v>2.0821477395877501</v>
      </c>
      <c r="AS6" s="61">
        <v>0.113491132801399</v>
      </c>
      <c r="AT6" s="61">
        <v>0.34712637425138998</v>
      </c>
      <c r="AU6" s="61">
        <v>19.797531816222801</v>
      </c>
      <c r="AV6" s="61">
        <v>436.34999235867201</v>
      </c>
      <c r="AW6" s="61">
        <v>5788.0274436897598</v>
      </c>
      <c r="AX6" s="61">
        <v>0.21432553113201</v>
      </c>
      <c r="AY6" s="61">
        <v>0.95087960595968302</v>
      </c>
      <c r="AZ6" s="61">
        <v>45.613296795034998</v>
      </c>
      <c r="BA6" s="61">
        <v>5.3546602290244198</v>
      </c>
      <c r="BB6" s="61">
        <v>16.3279877596046</v>
      </c>
      <c r="BC6" s="61">
        <v>19.471190625466601</v>
      </c>
      <c r="BD6" s="61">
        <v>13.650208777078699</v>
      </c>
      <c r="BE6" s="61">
        <v>16.444522473309501</v>
      </c>
      <c r="BF6" s="61">
        <v>2.0917105848824402</v>
      </c>
      <c r="BG6" s="61">
        <v>1.4085659030225901</v>
      </c>
      <c r="BH6" s="61">
        <v>215.55613440657501</v>
      </c>
      <c r="BI6" s="61">
        <v>0.48304965700464098</v>
      </c>
      <c r="BJ6" s="61">
        <v>1299.83057372947</v>
      </c>
      <c r="BK6" s="61">
        <v>517.26448181550495</v>
      </c>
      <c r="BL6" s="61">
        <v>92.627136533180106</v>
      </c>
      <c r="BM6" s="61">
        <v>674.39034154712999</v>
      </c>
      <c r="BN6" s="61">
        <v>279.33630282785202</v>
      </c>
      <c r="BO6" s="61">
        <v>5.6342111738988399</v>
      </c>
      <c r="BP6" s="61">
        <v>421.33590069856302</v>
      </c>
      <c r="BQ6" s="62">
        <v>0</v>
      </c>
      <c r="BR6" s="63">
        <v>319556.95679026598</v>
      </c>
      <c r="BS6" s="64">
        <v>281689.035167542</v>
      </c>
      <c r="BT6" s="65">
        <v>103.837562460512</v>
      </c>
      <c r="BU6" s="65">
        <v>0</v>
      </c>
      <c r="BV6" s="65">
        <v>109557.21222353</v>
      </c>
      <c r="BW6" s="65">
        <v>4584.3615690712504</v>
      </c>
      <c r="BX6" s="66">
        <v>53668.596687131198</v>
      </c>
      <c r="BY6" s="63">
        <v>449603.04320973402</v>
      </c>
      <c r="BZ6" s="67">
        <v>769160</v>
      </c>
    </row>
    <row r="7" spans="1:78" ht="15" customHeight="1" x14ac:dyDescent="0.3">
      <c r="A7" s="19" t="s">
        <v>25</v>
      </c>
      <c r="B7" s="11" t="s">
        <v>93</v>
      </c>
      <c r="C7" s="68">
        <v>1874.4990742775401</v>
      </c>
      <c r="D7" s="69">
        <v>10816.7605496</v>
      </c>
      <c r="E7" s="69">
        <v>281.81531881158099</v>
      </c>
      <c r="F7" s="69">
        <v>6.1725582703029902</v>
      </c>
      <c r="G7" s="69">
        <v>24.822897209708</v>
      </c>
      <c r="H7" s="69">
        <v>33.799521884358498</v>
      </c>
      <c r="I7" s="69">
        <v>4.7537387996443803</v>
      </c>
      <c r="J7" s="69">
        <v>160629.40235576601</v>
      </c>
      <c r="K7" s="69">
        <v>227.40567877949499</v>
      </c>
      <c r="L7" s="69">
        <v>8330.10011922382</v>
      </c>
      <c r="M7" s="69">
        <v>86.564137191050193</v>
      </c>
      <c r="N7" s="69">
        <v>341.714340809372</v>
      </c>
      <c r="O7" s="69">
        <v>481.17479650085602</v>
      </c>
      <c r="P7" s="69">
        <v>385.60221437552002</v>
      </c>
      <c r="Q7" s="69">
        <v>8.8757715095057108</v>
      </c>
      <c r="R7" s="69">
        <v>279.87373398051699</v>
      </c>
      <c r="S7" s="69">
        <v>466.44825185010802</v>
      </c>
      <c r="T7" s="69">
        <v>0.52309191151216905</v>
      </c>
      <c r="U7" s="69">
        <v>1.31739760335433</v>
      </c>
      <c r="V7" s="69">
        <v>426.28389005583</v>
      </c>
      <c r="W7" s="69">
        <v>52.668934083088402</v>
      </c>
      <c r="X7" s="69">
        <v>11.0100835791932</v>
      </c>
      <c r="Y7" s="69">
        <v>10.846312919333799</v>
      </c>
      <c r="Z7" s="69">
        <v>13.7749876090248</v>
      </c>
      <c r="AA7" s="69">
        <v>57.558184916699403</v>
      </c>
      <c r="AB7" s="69">
        <v>110.718922295727</v>
      </c>
      <c r="AC7" s="69">
        <v>130.39123870142001</v>
      </c>
      <c r="AD7" s="69">
        <v>76.286198759283096</v>
      </c>
      <c r="AE7" s="69">
        <v>5.0184879408309797</v>
      </c>
      <c r="AF7" s="69">
        <v>0.86395702563646404</v>
      </c>
      <c r="AG7" s="69">
        <v>1.51897135536854</v>
      </c>
      <c r="AH7" s="69">
        <v>2.8508172911251402</v>
      </c>
      <c r="AI7" s="69">
        <v>1.33324066505189</v>
      </c>
      <c r="AJ7" s="69">
        <v>1.3350735667098601</v>
      </c>
      <c r="AK7" s="69">
        <v>0.94154856716990099</v>
      </c>
      <c r="AL7" s="69">
        <v>10.494813420344</v>
      </c>
      <c r="AM7" s="69">
        <v>0.29735100558148397</v>
      </c>
      <c r="AN7" s="69">
        <v>1.2626596698186501</v>
      </c>
      <c r="AO7" s="69">
        <v>12.0469517823873</v>
      </c>
      <c r="AP7" s="69">
        <v>818.192360022598</v>
      </c>
      <c r="AQ7" s="69">
        <v>717.91887720160798</v>
      </c>
      <c r="AR7" s="69">
        <v>2.0699010152570398</v>
      </c>
      <c r="AS7" s="69">
        <v>9.4280220013958194E-2</v>
      </c>
      <c r="AT7" s="69">
        <v>0.35233015409090701</v>
      </c>
      <c r="AU7" s="69">
        <v>32.880639256258704</v>
      </c>
      <c r="AV7" s="69">
        <v>518.21709792607896</v>
      </c>
      <c r="AW7" s="69">
        <v>2589.1851868213998</v>
      </c>
      <c r="AX7" s="69">
        <v>0.32953477971244099</v>
      </c>
      <c r="AY7" s="69">
        <v>1.46913268676819</v>
      </c>
      <c r="AZ7" s="69">
        <v>81.394049172992496</v>
      </c>
      <c r="BA7" s="69">
        <v>8.7423478722065493</v>
      </c>
      <c r="BB7" s="69">
        <v>25.271437558166301</v>
      </c>
      <c r="BC7" s="69">
        <v>35.848426204963303</v>
      </c>
      <c r="BD7" s="69">
        <v>10.594616395114899</v>
      </c>
      <c r="BE7" s="69">
        <v>21.3149074253473</v>
      </c>
      <c r="BF7" s="69">
        <v>9.5876250216221095</v>
      </c>
      <c r="BG7" s="69">
        <v>1.91931374152071</v>
      </c>
      <c r="BH7" s="69">
        <v>40.599941633261999</v>
      </c>
      <c r="BI7" s="69">
        <v>0.590767540086509</v>
      </c>
      <c r="BJ7" s="69">
        <v>428.53961821193599</v>
      </c>
      <c r="BK7" s="69">
        <v>152.296892249682</v>
      </c>
      <c r="BL7" s="69">
        <v>29.553771352143599</v>
      </c>
      <c r="BM7" s="69">
        <v>187.680020242795</v>
      </c>
      <c r="BN7" s="69">
        <v>133.616517452496</v>
      </c>
      <c r="BO7" s="69">
        <v>5.0786781816633697</v>
      </c>
      <c r="BP7" s="69">
        <v>59.635322622223001</v>
      </c>
      <c r="BQ7" s="70">
        <v>0</v>
      </c>
      <c r="BR7" s="71">
        <v>191122.101766526</v>
      </c>
      <c r="BS7" s="72">
        <v>12861.731237481699</v>
      </c>
      <c r="BT7" s="73">
        <v>5.7739431852063996</v>
      </c>
      <c r="BU7" s="73">
        <v>0</v>
      </c>
      <c r="BV7" s="73">
        <v>38242.643231383801</v>
      </c>
      <c r="BW7" s="73">
        <v>28770.169723540901</v>
      </c>
      <c r="BX7" s="74">
        <v>1238.58009788202</v>
      </c>
      <c r="BY7" s="71">
        <v>81118.898233473694</v>
      </c>
      <c r="BZ7" s="75">
        <v>272241</v>
      </c>
    </row>
    <row r="8" spans="1:78" ht="15" customHeight="1" x14ac:dyDescent="0.3">
      <c r="A8" s="19" t="s">
        <v>26</v>
      </c>
      <c r="B8" s="11" t="s">
        <v>94</v>
      </c>
      <c r="C8" s="68">
        <v>1688.5049794855199</v>
      </c>
      <c r="D8" s="69">
        <v>1700.0692261730601</v>
      </c>
      <c r="E8" s="69">
        <v>2524.3458107759802</v>
      </c>
      <c r="F8" s="69">
        <v>2.42130557957833</v>
      </c>
      <c r="G8" s="69">
        <v>1.9440342339352601</v>
      </c>
      <c r="H8" s="69">
        <v>2.56964456343443</v>
      </c>
      <c r="I8" s="69">
        <v>0.35119115098120701</v>
      </c>
      <c r="J8" s="69">
        <v>2907.4262361948299</v>
      </c>
      <c r="K8" s="69">
        <v>1.2932913902536001</v>
      </c>
      <c r="L8" s="69">
        <v>339.88064823806701</v>
      </c>
      <c r="M8" s="69">
        <v>17.352535350390401</v>
      </c>
      <c r="N8" s="69">
        <v>17.945642363564701</v>
      </c>
      <c r="O8" s="69">
        <v>26.683224789141299</v>
      </c>
      <c r="P8" s="69">
        <v>6.6290399061429399</v>
      </c>
      <c r="Q8" s="69">
        <v>4.5406797291379899</v>
      </c>
      <c r="R8" s="69">
        <v>3296.8901921178899</v>
      </c>
      <c r="S8" s="69">
        <v>5362.1790099252603</v>
      </c>
      <c r="T8" s="69">
        <v>4.1243098089289901E-2</v>
      </c>
      <c r="U8" s="69">
        <v>0.10967613215416799</v>
      </c>
      <c r="V8" s="69">
        <v>13.029997867379</v>
      </c>
      <c r="W8" s="69">
        <v>334.062306256677</v>
      </c>
      <c r="X8" s="69">
        <v>3.5972104639601201</v>
      </c>
      <c r="Y8" s="69">
        <v>0.14048076087202399</v>
      </c>
      <c r="Z8" s="69">
        <v>0.209533236126351</v>
      </c>
      <c r="AA8" s="69">
        <v>606.36747763561903</v>
      </c>
      <c r="AB8" s="69">
        <v>116.633913028271</v>
      </c>
      <c r="AC8" s="69">
        <v>1428.9897716371199</v>
      </c>
      <c r="AD8" s="69">
        <v>5.6256292367961702</v>
      </c>
      <c r="AE8" s="69">
        <v>5.7305412901184498</v>
      </c>
      <c r="AF8" s="69">
        <v>9.2514461132860798E-2</v>
      </c>
      <c r="AG8" s="69">
        <v>0.14463256242389999</v>
      </c>
      <c r="AH8" s="69">
        <v>0.318472748685528</v>
      </c>
      <c r="AI8" s="69">
        <v>0.14276051693144401</v>
      </c>
      <c r="AJ8" s="69">
        <v>0.12895160021436999</v>
      </c>
      <c r="AK8" s="69">
        <v>8.0979667045254805E-2</v>
      </c>
      <c r="AL8" s="69">
        <v>2.0563198578850099</v>
      </c>
      <c r="AM8" s="69">
        <v>3.5468853954746297E-2</v>
      </c>
      <c r="AN8" s="69">
        <v>0.17288638743155399</v>
      </c>
      <c r="AO8" s="69">
        <v>0.826808876823659</v>
      </c>
      <c r="AP8" s="69">
        <v>959.18055987609898</v>
      </c>
      <c r="AQ8" s="69">
        <v>176.834385341337</v>
      </c>
      <c r="AR8" s="69">
        <v>0.22782768105467499</v>
      </c>
      <c r="AS8" s="69">
        <v>1.08558256909746E-2</v>
      </c>
      <c r="AT8" s="69">
        <v>3.2371689658823602E-2</v>
      </c>
      <c r="AU8" s="69">
        <v>2.55006225289269</v>
      </c>
      <c r="AV8" s="69">
        <v>42.962256012153397</v>
      </c>
      <c r="AW8" s="69">
        <v>473.161358495088</v>
      </c>
      <c r="AX8" s="69">
        <v>3.9132559624546003E-2</v>
      </c>
      <c r="AY8" s="69">
        <v>0.15461912518776799</v>
      </c>
      <c r="AZ8" s="69">
        <v>6.0155937694650197</v>
      </c>
      <c r="BA8" s="69">
        <v>0.846241509815437</v>
      </c>
      <c r="BB8" s="69">
        <v>2.0933957067676001</v>
      </c>
      <c r="BC8" s="69">
        <v>2.7185940525428598</v>
      </c>
      <c r="BD8" s="69">
        <v>0.95679367085359901</v>
      </c>
      <c r="BE8" s="69">
        <v>3.9464391468042002</v>
      </c>
      <c r="BF8" s="69">
        <v>0.24312273597560399</v>
      </c>
      <c r="BG8" s="69">
        <v>0.19536080448242699</v>
      </c>
      <c r="BH8" s="69">
        <v>2.8141439025821899</v>
      </c>
      <c r="BI8" s="69">
        <v>6.0217608333799501E-2</v>
      </c>
      <c r="BJ8" s="69">
        <v>114.75740507609</v>
      </c>
      <c r="BK8" s="69">
        <v>71.484970048416102</v>
      </c>
      <c r="BL8" s="69">
        <v>7.0629456705111302</v>
      </c>
      <c r="BM8" s="69">
        <v>93.786223026511905</v>
      </c>
      <c r="BN8" s="69">
        <v>15.5859973806442</v>
      </c>
      <c r="BO8" s="69">
        <v>0.48511085950202598</v>
      </c>
      <c r="BP8" s="69">
        <v>4.3423871333597104</v>
      </c>
      <c r="BQ8" s="70">
        <v>0</v>
      </c>
      <c r="BR8" s="71">
        <v>22402.1126391043</v>
      </c>
      <c r="BS8" s="72">
        <v>6680.5288009347296</v>
      </c>
      <c r="BT8" s="73">
        <v>2.80924164712434</v>
      </c>
      <c r="BU8" s="73">
        <v>0</v>
      </c>
      <c r="BV8" s="73">
        <v>24518.907905027801</v>
      </c>
      <c r="BW8" s="73">
        <v>2061.3205778254901</v>
      </c>
      <c r="BX8" s="74">
        <v>-922.67916453947703</v>
      </c>
      <c r="BY8" s="71">
        <v>32340.8873608957</v>
      </c>
      <c r="BZ8" s="75">
        <v>54743</v>
      </c>
    </row>
    <row r="9" spans="1:78" ht="15" customHeight="1" x14ac:dyDescent="0.3">
      <c r="A9" s="19" t="s">
        <v>27</v>
      </c>
      <c r="B9" s="11" t="s">
        <v>95</v>
      </c>
      <c r="C9" s="68">
        <v>149.30588030674301</v>
      </c>
      <c r="D9" s="69">
        <v>819.54278323703704</v>
      </c>
      <c r="E9" s="69">
        <v>22.086799277284701</v>
      </c>
      <c r="F9" s="69">
        <v>411.91150671127502</v>
      </c>
      <c r="G9" s="69">
        <v>820.36058842778198</v>
      </c>
      <c r="H9" s="69">
        <v>1.3538069505585699</v>
      </c>
      <c r="I9" s="69">
        <v>5.7939026623958396</v>
      </c>
      <c r="J9" s="69">
        <v>104.863711141214</v>
      </c>
      <c r="K9" s="69">
        <v>20.752811128379701</v>
      </c>
      <c r="L9" s="69">
        <v>326.85422640847497</v>
      </c>
      <c r="M9" s="69">
        <v>27.084261336552501</v>
      </c>
      <c r="N9" s="69">
        <v>2.8390051411376498E-2</v>
      </c>
      <c r="O9" s="69">
        <v>0.43891063332982999</v>
      </c>
      <c r="P9" s="69">
        <v>0.208273774530435</v>
      </c>
      <c r="Q9" s="69">
        <v>0.329812564673924</v>
      </c>
      <c r="R9" s="69">
        <v>0.184273650325605</v>
      </c>
      <c r="S9" s="69">
        <v>15.974643807595299</v>
      </c>
      <c r="T9" s="69">
        <v>1.0945433942092799</v>
      </c>
      <c r="U9" s="69">
        <v>11.3681872336139</v>
      </c>
      <c r="V9" s="69">
        <v>586.10945815822697</v>
      </c>
      <c r="W9" s="69">
        <v>1865.4501991753</v>
      </c>
      <c r="X9" s="69">
        <v>133.68132873953101</v>
      </c>
      <c r="Y9" s="69">
        <v>6.0951226313859799</v>
      </c>
      <c r="Z9" s="69">
        <v>1.3907623425447599</v>
      </c>
      <c r="AA9" s="69">
        <v>6.6222773875156502</v>
      </c>
      <c r="AB9" s="69">
        <v>7666.4636463980996</v>
      </c>
      <c r="AC9" s="69">
        <v>1964.2615700910101</v>
      </c>
      <c r="AD9" s="69">
        <v>625.11207352530096</v>
      </c>
      <c r="AE9" s="69">
        <v>14.376460932684401</v>
      </c>
      <c r="AF9" s="69">
        <v>0.72291194816895898</v>
      </c>
      <c r="AG9" s="69">
        <v>81.703797435364905</v>
      </c>
      <c r="AH9" s="69">
        <v>8.7163353279023994</v>
      </c>
      <c r="AI9" s="69">
        <v>24.6809986465557</v>
      </c>
      <c r="AJ9" s="69">
        <v>56.982151006760702</v>
      </c>
      <c r="AK9" s="69">
        <v>4.3157239215305401</v>
      </c>
      <c r="AL9" s="69">
        <v>47.6684462011021</v>
      </c>
      <c r="AM9" s="69">
        <v>4.5992116017874896</v>
      </c>
      <c r="AN9" s="69">
        <v>360.93966690653298</v>
      </c>
      <c r="AO9" s="69">
        <v>625.18773077510696</v>
      </c>
      <c r="AP9" s="69">
        <v>7223.8027351206401</v>
      </c>
      <c r="AQ9" s="69">
        <v>135.81180434332001</v>
      </c>
      <c r="AR9" s="69">
        <v>0.71747171153080103</v>
      </c>
      <c r="AS9" s="69">
        <v>0.14348154142727601</v>
      </c>
      <c r="AT9" s="69">
        <v>4.71650951511116E-2</v>
      </c>
      <c r="AU9" s="69">
        <v>8.6290967587452805</v>
      </c>
      <c r="AV9" s="69">
        <v>2.9290382543667599</v>
      </c>
      <c r="AW9" s="69">
        <v>14.1530676406302</v>
      </c>
      <c r="AX9" s="69">
        <v>9.88582049512466E-2</v>
      </c>
      <c r="AY9" s="69">
        <v>0.13386898151177601</v>
      </c>
      <c r="AZ9" s="69">
        <v>0.58754712452271995</v>
      </c>
      <c r="BA9" s="69">
        <v>0.90582522918713804</v>
      </c>
      <c r="BB9" s="69">
        <v>1.21831116361596</v>
      </c>
      <c r="BC9" s="69">
        <v>264.72213266597299</v>
      </c>
      <c r="BD9" s="69">
        <v>1.376368901924</v>
      </c>
      <c r="BE9" s="69">
        <v>1.3755184696396701</v>
      </c>
      <c r="BF9" s="69">
        <v>0.49763655051359701</v>
      </c>
      <c r="BG9" s="69">
        <v>0.372001998211131</v>
      </c>
      <c r="BH9" s="69">
        <v>1.96848096491904</v>
      </c>
      <c r="BI9" s="69">
        <v>0.10602792280522499</v>
      </c>
      <c r="BJ9" s="69">
        <v>97.280214919452405</v>
      </c>
      <c r="BK9" s="69">
        <v>21.476332246481402</v>
      </c>
      <c r="BL9" s="69">
        <v>1.44445158884362</v>
      </c>
      <c r="BM9" s="69">
        <v>14.3470208741206</v>
      </c>
      <c r="BN9" s="69">
        <v>4.4411685331868398</v>
      </c>
      <c r="BO9" s="69">
        <v>0.99521822646064595</v>
      </c>
      <c r="BP9" s="69">
        <v>2.7906141341328699</v>
      </c>
      <c r="BQ9" s="70">
        <v>0</v>
      </c>
      <c r="BR9" s="71">
        <v>24626.988645016099</v>
      </c>
      <c r="BS9" s="72">
        <v>3920.8760417917701</v>
      </c>
      <c r="BT9" s="73">
        <v>6.2149683295315998E-2</v>
      </c>
      <c r="BU9" s="73">
        <v>0</v>
      </c>
      <c r="BV9" s="73">
        <v>184.282832962594</v>
      </c>
      <c r="BW9" s="73">
        <v>19.988709897570001</v>
      </c>
      <c r="BX9" s="74">
        <v>1328.80162064869</v>
      </c>
      <c r="BY9" s="71">
        <v>5454.0113549839198</v>
      </c>
      <c r="BZ9" s="75">
        <v>30081</v>
      </c>
    </row>
    <row r="10" spans="1:78" ht="15" customHeight="1" x14ac:dyDescent="0.3">
      <c r="A10" s="19" t="s">
        <v>28</v>
      </c>
      <c r="B10" s="11" t="s">
        <v>96</v>
      </c>
      <c r="C10" s="68">
        <v>29.4987798954458</v>
      </c>
      <c r="D10" s="69">
        <v>18.332812401847299</v>
      </c>
      <c r="E10" s="69">
        <v>1.32328541402433</v>
      </c>
      <c r="F10" s="69">
        <v>4.3985043231080496</v>
      </c>
      <c r="G10" s="69">
        <v>9720.6024889706096</v>
      </c>
      <c r="H10" s="69">
        <v>1297.65640083983</v>
      </c>
      <c r="I10" s="69">
        <v>66.3664760646502</v>
      </c>
      <c r="J10" s="69">
        <v>36.200819824070997</v>
      </c>
      <c r="K10" s="69">
        <v>1.24698374281298</v>
      </c>
      <c r="L10" s="69">
        <v>316.20719979008999</v>
      </c>
      <c r="M10" s="69">
        <v>65.334293995520895</v>
      </c>
      <c r="N10" s="69">
        <v>0.24801618158689301</v>
      </c>
      <c r="O10" s="69">
        <v>54.769254806406799</v>
      </c>
      <c r="P10" s="69">
        <v>1.1817855936441799</v>
      </c>
      <c r="Q10" s="69">
        <v>1.72188879631748</v>
      </c>
      <c r="R10" s="69">
        <v>28.8137600648116</v>
      </c>
      <c r="S10" s="69">
        <v>360.28358805809398</v>
      </c>
      <c r="T10" s="69">
        <v>0.60773736849773097</v>
      </c>
      <c r="U10" s="69">
        <v>162686.386294342</v>
      </c>
      <c r="V10" s="69">
        <v>1.7993495986142001</v>
      </c>
      <c r="W10" s="69">
        <v>942.57372652477704</v>
      </c>
      <c r="X10" s="69">
        <v>50.767453045490299</v>
      </c>
      <c r="Y10" s="69">
        <v>15.101049982038999</v>
      </c>
      <c r="Z10" s="69">
        <v>16.846368054455699</v>
      </c>
      <c r="AA10" s="69">
        <v>65.127524764205603</v>
      </c>
      <c r="AB10" s="69">
        <v>340.86297779900798</v>
      </c>
      <c r="AC10" s="69">
        <v>237.593643639118</v>
      </c>
      <c r="AD10" s="69">
        <v>156.27750717852001</v>
      </c>
      <c r="AE10" s="69">
        <v>179.138341411814</v>
      </c>
      <c r="AF10" s="69">
        <v>0.91118770416070105</v>
      </c>
      <c r="AG10" s="69">
        <v>22.558511552896</v>
      </c>
      <c r="AH10" s="69">
        <v>60.5320430429854</v>
      </c>
      <c r="AI10" s="69">
        <v>28.3016641001633</v>
      </c>
      <c r="AJ10" s="69">
        <v>66.047686536085195</v>
      </c>
      <c r="AK10" s="69">
        <v>1.52204961569598</v>
      </c>
      <c r="AL10" s="69">
        <v>2.66746139160561</v>
      </c>
      <c r="AM10" s="69">
        <v>23.0186444040156</v>
      </c>
      <c r="AN10" s="69">
        <v>10436.1124301257</v>
      </c>
      <c r="AO10" s="69">
        <v>1553.9861626188101</v>
      </c>
      <c r="AP10" s="69">
        <v>1775.4246052701801</v>
      </c>
      <c r="AQ10" s="69">
        <v>211.913248805363</v>
      </c>
      <c r="AR10" s="69">
        <v>147.80096375934301</v>
      </c>
      <c r="AS10" s="69">
        <v>2.55195397675462</v>
      </c>
      <c r="AT10" s="69">
        <v>0.32073306754666298</v>
      </c>
      <c r="AU10" s="69">
        <v>144.30287350151801</v>
      </c>
      <c r="AV10" s="69">
        <v>3.1956246579543</v>
      </c>
      <c r="AW10" s="69">
        <v>38.591913993991803</v>
      </c>
      <c r="AX10" s="69">
        <v>0.618934659289886</v>
      </c>
      <c r="AY10" s="69">
        <v>1.3472218790259001</v>
      </c>
      <c r="AZ10" s="69">
        <v>193.397282454459</v>
      </c>
      <c r="BA10" s="69">
        <v>8.11883922856609</v>
      </c>
      <c r="BB10" s="69">
        <v>13.103140270668</v>
      </c>
      <c r="BC10" s="69">
        <v>4.8264331177678104</v>
      </c>
      <c r="BD10" s="69">
        <v>14.2719004015912</v>
      </c>
      <c r="BE10" s="69">
        <v>80.371917382971702</v>
      </c>
      <c r="BF10" s="69">
        <v>4.7809737120103604</v>
      </c>
      <c r="BG10" s="69">
        <v>5.9231611942134101</v>
      </c>
      <c r="BH10" s="69">
        <v>15.5000354998073</v>
      </c>
      <c r="BI10" s="69">
        <v>0.93974616625803198</v>
      </c>
      <c r="BJ10" s="69">
        <v>3256.2141814575202</v>
      </c>
      <c r="BK10" s="69">
        <v>38.204306507720901</v>
      </c>
      <c r="BL10" s="69">
        <v>14.3154394035954</v>
      </c>
      <c r="BM10" s="69">
        <v>3.3085933001007199</v>
      </c>
      <c r="BN10" s="69">
        <v>8.1286353660871296</v>
      </c>
      <c r="BO10" s="69">
        <v>10.547889326085</v>
      </c>
      <c r="BP10" s="69">
        <v>35.877657471111803</v>
      </c>
      <c r="BQ10" s="70">
        <v>0</v>
      </c>
      <c r="BR10" s="71">
        <v>194926.82435939499</v>
      </c>
      <c r="BS10" s="72">
        <v>165143.33269096099</v>
      </c>
      <c r="BT10" s="73">
        <v>0</v>
      </c>
      <c r="BU10" s="73">
        <v>0</v>
      </c>
      <c r="BV10" s="73">
        <v>540.19110118745402</v>
      </c>
      <c r="BW10" s="73">
        <v>56116.761007055502</v>
      </c>
      <c r="BX10" s="74">
        <v>-10026.1091585996</v>
      </c>
      <c r="BY10" s="71">
        <v>211774.17564060501</v>
      </c>
      <c r="BZ10" s="75">
        <v>406700.99999999901</v>
      </c>
    </row>
    <row r="11" spans="1:78" ht="15" customHeight="1" x14ac:dyDescent="0.3">
      <c r="A11" s="19" t="s">
        <v>29</v>
      </c>
      <c r="B11" s="11" t="s">
        <v>97</v>
      </c>
      <c r="C11" s="68">
        <v>0.57938893100547995</v>
      </c>
      <c r="D11" s="69">
        <v>1.12518019350873</v>
      </c>
      <c r="E11" s="69">
        <v>7.2169608452123293E-2</v>
      </c>
      <c r="F11" s="69">
        <v>7.6912666479920205E-2</v>
      </c>
      <c r="G11" s="69">
        <v>13.183717193289199</v>
      </c>
      <c r="H11" s="69">
        <v>7085.1146589343898</v>
      </c>
      <c r="I11" s="69">
        <v>96.663035752810103</v>
      </c>
      <c r="J11" s="69">
        <v>1.1569485933978301</v>
      </c>
      <c r="K11" s="69">
        <v>0.103843791685271</v>
      </c>
      <c r="L11" s="69">
        <v>1.3084138834547101</v>
      </c>
      <c r="M11" s="69">
        <v>0.36478133259191098</v>
      </c>
      <c r="N11" s="69">
        <v>0.100935870168158</v>
      </c>
      <c r="O11" s="69">
        <v>0.21336356542765</v>
      </c>
      <c r="P11" s="69">
        <v>8.6208663927640206E-2</v>
      </c>
      <c r="Q11" s="69">
        <v>9.5419597274650797E-2</v>
      </c>
      <c r="R11" s="69">
        <v>0.19038568627883301</v>
      </c>
      <c r="S11" s="69">
        <v>0.91082844164837395</v>
      </c>
      <c r="T11" s="69">
        <v>0.62982935507261095</v>
      </c>
      <c r="U11" s="69">
        <v>0.295013457541905</v>
      </c>
      <c r="V11" s="69">
        <v>1.7563509568745E-2</v>
      </c>
      <c r="W11" s="69">
        <v>0.53316218206459898</v>
      </c>
      <c r="X11" s="69">
        <v>0.53170564157865996</v>
      </c>
      <c r="Y11" s="69">
        <v>0.26368342718600501</v>
      </c>
      <c r="Z11" s="69">
        <v>0.99040312235537398</v>
      </c>
      <c r="AA11" s="69">
        <v>0.464201673602128</v>
      </c>
      <c r="AB11" s="69">
        <v>359.91118394985102</v>
      </c>
      <c r="AC11" s="69">
        <v>53412.974487658001</v>
      </c>
      <c r="AD11" s="69">
        <v>93.643610230663796</v>
      </c>
      <c r="AE11" s="69">
        <v>5.5406240338544404</v>
      </c>
      <c r="AF11" s="69">
        <v>0.50556913214311605</v>
      </c>
      <c r="AG11" s="69">
        <v>13.2937031405962</v>
      </c>
      <c r="AH11" s="69">
        <v>21.480474770581498</v>
      </c>
      <c r="AI11" s="69">
        <v>3.9077493804908099</v>
      </c>
      <c r="AJ11" s="69">
        <v>6.2448253197851402</v>
      </c>
      <c r="AK11" s="69">
        <v>1.92706104465816</v>
      </c>
      <c r="AL11" s="69">
        <v>4.6684771274772698</v>
      </c>
      <c r="AM11" s="69">
        <v>8.1808276512355693</v>
      </c>
      <c r="AN11" s="69">
        <v>0.314959450173313</v>
      </c>
      <c r="AO11" s="69">
        <v>20.412119656361298</v>
      </c>
      <c r="AP11" s="69">
        <v>177.92838302923701</v>
      </c>
      <c r="AQ11" s="69">
        <v>4.3795196265010397</v>
      </c>
      <c r="AR11" s="69">
        <v>1.38793220855267</v>
      </c>
      <c r="AS11" s="69">
        <v>0.20282440963855999</v>
      </c>
      <c r="AT11" s="69">
        <v>4.2930700117338001E-3</v>
      </c>
      <c r="AU11" s="69">
        <v>9.8628107512458705</v>
      </c>
      <c r="AV11" s="69">
        <v>0.34065219011722198</v>
      </c>
      <c r="AW11" s="69">
        <v>3.2937782530126101</v>
      </c>
      <c r="AX11" s="69">
        <v>1.5945302998794701E-2</v>
      </c>
      <c r="AY11" s="69">
        <v>2.1579946147912001E-2</v>
      </c>
      <c r="AZ11" s="69">
        <v>24.521045438767299</v>
      </c>
      <c r="BA11" s="69">
        <v>0.77643600487059306</v>
      </c>
      <c r="BB11" s="69">
        <v>5.1043241973167399</v>
      </c>
      <c r="BC11" s="69">
        <v>8.2290382147639605</v>
      </c>
      <c r="BD11" s="69">
        <v>1.9471677473957101</v>
      </c>
      <c r="BE11" s="69">
        <v>13.5947548076171</v>
      </c>
      <c r="BF11" s="69">
        <v>0.120790919733927</v>
      </c>
      <c r="BG11" s="69">
        <v>0.20164959141796199</v>
      </c>
      <c r="BH11" s="69">
        <v>9.0296511033505293</v>
      </c>
      <c r="BI11" s="69">
        <v>8.0307834806766704E-2</v>
      </c>
      <c r="BJ11" s="69">
        <v>57.497405632753903</v>
      </c>
      <c r="BK11" s="69">
        <v>2.7379923585340502</v>
      </c>
      <c r="BL11" s="69">
        <v>0.25688563971216599</v>
      </c>
      <c r="BM11" s="69">
        <v>18.170858479379799</v>
      </c>
      <c r="BN11" s="69">
        <v>0.163655020680499</v>
      </c>
      <c r="BO11" s="69">
        <v>0.89916665909487503</v>
      </c>
      <c r="BP11" s="69">
        <v>0.55834767032008703</v>
      </c>
      <c r="BQ11" s="70">
        <v>0</v>
      </c>
      <c r="BR11" s="71">
        <v>61499.404623728602</v>
      </c>
      <c r="BS11" s="72">
        <v>223601.70009923499</v>
      </c>
      <c r="BT11" s="73">
        <v>0</v>
      </c>
      <c r="BU11" s="73">
        <v>0</v>
      </c>
      <c r="BV11" s="73">
        <v>12.07303968217</v>
      </c>
      <c r="BW11" s="73">
        <v>1676.7645984610999</v>
      </c>
      <c r="BX11" s="74">
        <v>-7690.9423611069697</v>
      </c>
      <c r="BY11" s="71">
        <v>217599.59537627199</v>
      </c>
      <c r="BZ11" s="75">
        <v>279099</v>
      </c>
    </row>
    <row r="12" spans="1:78" ht="15" customHeight="1" x14ac:dyDescent="0.3">
      <c r="A12" s="19" t="s">
        <v>30</v>
      </c>
      <c r="B12" s="11" t="s">
        <v>98</v>
      </c>
      <c r="C12" s="68">
        <v>2.1655422418666301</v>
      </c>
      <c r="D12" s="69">
        <v>0.90008043921423098</v>
      </c>
      <c r="E12" s="69">
        <v>3.2068864511072298E-2</v>
      </c>
      <c r="F12" s="69">
        <v>4.10610859596863E-2</v>
      </c>
      <c r="G12" s="69">
        <v>84.367646188284894</v>
      </c>
      <c r="H12" s="69">
        <v>45.8800889036686</v>
      </c>
      <c r="I12" s="69">
        <v>1118.64708498031</v>
      </c>
      <c r="J12" s="69">
        <v>6.0059433463412999</v>
      </c>
      <c r="K12" s="69">
        <v>0.107547833644396</v>
      </c>
      <c r="L12" s="69">
        <v>10.7394156411659</v>
      </c>
      <c r="M12" s="69">
        <v>1.06159456750758</v>
      </c>
      <c r="N12" s="69">
        <v>1.03097301433446E-2</v>
      </c>
      <c r="O12" s="69">
        <v>5.1172838628204501E-2</v>
      </c>
      <c r="P12" s="69">
        <v>3.3658592086460798E-2</v>
      </c>
      <c r="Q12" s="69">
        <v>4.4480464940693298E-2</v>
      </c>
      <c r="R12" s="69">
        <v>2.2742833968818099E-2</v>
      </c>
      <c r="S12" s="69">
        <v>6.0892226380000398</v>
      </c>
      <c r="T12" s="69">
        <v>4.4153165361436004</v>
      </c>
      <c r="U12" s="69">
        <v>1.90450031570388E-2</v>
      </c>
      <c r="V12" s="69">
        <v>1.5104693700788201E-2</v>
      </c>
      <c r="W12" s="69">
        <v>5.8977151101645298</v>
      </c>
      <c r="X12" s="69">
        <v>4.1912475531456401</v>
      </c>
      <c r="Y12" s="69">
        <v>0.348202287457824</v>
      </c>
      <c r="Z12" s="69">
        <v>0.34250801686925397</v>
      </c>
      <c r="AA12" s="69">
        <v>2.2227501197522299</v>
      </c>
      <c r="AB12" s="69">
        <v>76.716171188059405</v>
      </c>
      <c r="AC12" s="69">
        <v>3239.7422969716599</v>
      </c>
      <c r="AD12" s="69">
        <v>6179.2444401498597</v>
      </c>
      <c r="AE12" s="69">
        <v>46.301518207281099</v>
      </c>
      <c r="AF12" s="69">
        <v>2.5968498798476198</v>
      </c>
      <c r="AG12" s="69">
        <v>107.188202764894</v>
      </c>
      <c r="AH12" s="69">
        <v>18.783824944751299</v>
      </c>
      <c r="AI12" s="69">
        <v>12.5989115524404</v>
      </c>
      <c r="AJ12" s="69">
        <v>63.086284579214698</v>
      </c>
      <c r="AK12" s="69">
        <v>13.3107957286065</v>
      </c>
      <c r="AL12" s="69">
        <v>40.446999615956699</v>
      </c>
      <c r="AM12" s="69">
        <v>5.9567096791316203</v>
      </c>
      <c r="AN12" s="69">
        <v>0.313792272410438</v>
      </c>
      <c r="AO12" s="69">
        <v>1.72876546749386</v>
      </c>
      <c r="AP12" s="69">
        <v>35.099867228875603</v>
      </c>
      <c r="AQ12" s="69">
        <v>0.72400193651936395</v>
      </c>
      <c r="AR12" s="69">
        <v>0.38967242619010001</v>
      </c>
      <c r="AS12" s="69">
        <v>3.1921229478085698E-3</v>
      </c>
      <c r="AT12" s="69">
        <v>1.6544119516223601E-3</v>
      </c>
      <c r="AU12" s="69">
        <v>7.86161964466227E-3</v>
      </c>
      <c r="AV12" s="69">
        <v>9.4119893150290998E-2</v>
      </c>
      <c r="AW12" s="69">
        <v>0.37689695967718201</v>
      </c>
      <c r="AX12" s="69">
        <v>5.3356850521186E-3</v>
      </c>
      <c r="AY12" s="69">
        <v>3.91841649526349E-3</v>
      </c>
      <c r="AZ12" s="69">
        <v>2.5889595427732601E-2</v>
      </c>
      <c r="BA12" s="69">
        <v>4.7137502561013997E-2</v>
      </c>
      <c r="BB12" s="69">
        <v>1.1482986812797901E-2</v>
      </c>
      <c r="BC12" s="69">
        <v>0.67079816057501396</v>
      </c>
      <c r="BD12" s="69">
        <v>9.1292269030363703E-3</v>
      </c>
      <c r="BE12" s="69">
        <v>1.18743686990659</v>
      </c>
      <c r="BF12" s="69">
        <v>2.20131337858183E-2</v>
      </c>
      <c r="BG12" s="69">
        <v>1.67371530192321E-2</v>
      </c>
      <c r="BH12" s="69">
        <v>6.7187298054005903E-2</v>
      </c>
      <c r="BI12" s="69">
        <v>1.99097116765958E-3</v>
      </c>
      <c r="BJ12" s="69">
        <v>0.27972888212043501</v>
      </c>
      <c r="BK12" s="69">
        <v>0.10290386351467901</v>
      </c>
      <c r="BL12" s="69">
        <v>6.3217129921737201E-3</v>
      </c>
      <c r="BM12" s="69">
        <v>0.20327233843435299</v>
      </c>
      <c r="BN12" s="69">
        <v>0.20872473677654099</v>
      </c>
      <c r="BO12" s="69">
        <v>2.4562729382856699E-3</v>
      </c>
      <c r="BP12" s="69">
        <v>8.4460186539612903E-2</v>
      </c>
      <c r="BQ12" s="70">
        <v>0</v>
      </c>
      <c r="BR12" s="71">
        <v>11141.3213051043</v>
      </c>
      <c r="BS12" s="72">
        <v>22406.649542715099</v>
      </c>
      <c r="BT12" s="73">
        <v>1.1762297814085901E-2</v>
      </c>
      <c r="BU12" s="73">
        <v>0</v>
      </c>
      <c r="BV12" s="73">
        <v>9.5843550309548604</v>
      </c>
      <c r="BW12" s="73">
        <v>11.0599450687154</v>
      </c>
      <c r="BX12" s="74">
        <v>-2856.6269102168098</v>
      </c>
      <c r="BY12" s="71">
        <v>19570.678694895701</v>
      </c>
      <c r="BZ12" s="75">
        <v>30712</v>
      </c>
    </row>
    <row r="13" spans="1:78" ht="15" customHeight="1" x14ac:dyDescent="0.3">
      <c r="A13" s="19" t="s">
        <v>31</v>
      </c>
      <c r="B13" s="11" t="s">
        <v>99</v>
      </c>
      <c r="C13" s="68">
        <v>136.21375523001799</v>
      </c>
      <c r="D13" s="69">
        <v>3742.77468826325</v>
      </c>
      <c r="E13" s="69">
        <v>43.042407294578297</v>
      </c>
      <c r="F13" s="69">
        <v>13.343761922094</v>
      </c>
      <c r="G13" s="69">
        <v>26.276405429518501</v>
      </c>
      <c r="H13" s="69">
        <v>29.104733110604901</v>
      </c>
      <c r="I13" s="69">
        <v>3.9926175717027999</v>
      </c>
      <c r="J13" s="69">
        <v>49307.518704542301</v>
      </c>
      <c r="K13" s="69">
        <v>4.28689668977559</v>
      </c>
      <c r="L13" s="69">
        <v>5384.7847931992201</v>
      </c>
      <c r="M13" s="69">
        <v>87.335646679890104</v>
      </c>
      <c r="N13" s="69">
        <v>2.6322089790173702</v>
      </c>
      <c r="O13" s="69">
        <v>16.246748673128099</v>
      </c>
      <c r="P13" s="69">
        <v>16.040822286281699</v>
      </c>
      <c r="Q13" s="69">
        <v>2163.3048754833198</v>
      </c>
      <c r="R13" s="69">
        <v>13.4451833427906</v>
      </c>
      <c r="S13" s="69">
        <v>44.594234002054002</v>
      </c>
      <c r="T13" s="69">
        <v>4.5450932659173304</v>
      </c>
      <c r="U13" s="69">
        <v>12.2530282776661</v>
      </c>
      <c r="V13" s="69">
        <v>1651.9569492815299</v>
      </c>
      <c r="W13" s="69">
        <v>120.038821146769</v>
      </c>
      <c r="X13" s="69">
        <v>104.023581752605</v>
      </c>
      <c r="Y13" s="69">
        <v>4300.0108140374496</v>
      </c>
      <c r="Z13" s="69">
        <v>23.9060516377223</v>
      </c>
      <c r="AA13" s="69">
        <v>45.150496579699798</v>
      </c>
      <c r="AB13" s="69">
        <v>22.565238306347101</v>
      </c>
      <c r="AC13" s="69">
        <v>43.104933487260098</v>
      </c>
      <c r="AD13" s="69">
        <v>24.759095414395301</v>
      </c>
      <c r="AE13" s="69">
        <v>154.374623245501</v>
      </c>
      <c r="AF13" s="69">
        <v>21.867359433616102</v>
      </c>
      <c r="AG13" s="69">
        <v>33.293451432141403</v>
      </c>
      <c r="AH13" s="69">
        <v>60.797839601194099</v>
      </c>
      <c r="AI13" s="69">
        <v>46.120427625112598</v>
      </c>
      <c r="AJ13" s="69">
        <v>26.347679553034698</v>
      </c>
      <c r="AK13" s="69">
        <v>7.3882532274127097</v>
      </c>
      <c r="AL13" s="69">
        <v>25.703959489304701</v>
      </c>
      <c r="AM13" s="69">
        <v>21.3064849225308</v>
      </c>
      <c r="AN13" s="69">
        <v>11.932753546652799</v>
      </c>
      <c r="AO13" s="69">
        <v>8.0272316788634708</v>
      </c>
      <c r="AP13" s="69">
        <v>91.941221670642307</v>
      </c>
      <c r="AQ13" s="69">
        <v>840.88235046934096</v>
      </c>
      <c r="AR13" s="69">
        <v>50.824006657108598</v>
      </c>
      <c r="AS13" s="69">
        <v>1.18061230774513</v>
      </c>
      <c r="AT13" s="69">
        <v>1.1425436444099599</v>
      </c>
      <c r="AU13" s="69">
        <v>9.7052380521469193</v>
      </c>
      <c r="AV13" s="69">
        <v>770.44717175160702</v>
      </c>
      <c r="AW13" s="69">
        <v>27183.738387809601</v>
      </c>
      <c r="AX13" s="69">
        <v>2.6103824231429802</v>
      </c>
      <c r="AY13" s="69">
        <v>2.5734042735451799</v>
      </c>
      <c r="AZ13" s="69">
        <v>10.1911935274325</v>
      </c>
      <c r="BA13" s="69">
        <v>10.6202597884024</v>
      </c>
      <c r="BB13" s="69">
        <v>13.1678438375809</v>
      </c>
      <c r="BC13" s="69">
        <v>5.76447675791088</v>
      </c>
      <c r="BD13" s="69">
        <v>12.429631332684201</v>
      </c>
      <c r="BE13" s="69">
        <v>10.525853423686</v>
      </c>
      <c r="BF13" s="69">
        <v>14.839883919116099</v>
      </c>
      <c r="BG13" s="69">
        <v>5.8961914483371203</v>
      </c>
      <c r="BH13" s="69">
        <v>15.5353673254819</v>
      </c>
      <c r="BI13" s="69">
        <v>1.5355255665276299</v>
      </c>
      <c r="BJ13" s="69">
        <v>4104.94413559435</v>
      </c>
      <c r="BK13" s="69">
        <v>2006.43230167407</v>
      </c>
      <c r="BL13" s="69">
        <v>403.54655175804402</v>
      </c>
      <c r="BM13" s="69">
        <v>2722.3546534099901</v>
      </c>
      <c r="BN13" s="69">
        <v>1170.9640349107499</v>
      </c>
      <c r="BO13" s="69">
        <v>13.324955507233399</v>
      </c>
      <c r="BP13" s="69">
        <v>330.03943269982801</v>
      </c>
      <c r="BQ13" s="70">
        <v>0</v>
      </c>
      <c r="BR13" s="71">
        <v>107611.57026118301</v>
      </c>
      <c r="BS13" s="72">
        <v>114882.430458052</v>
      </c>
      <c r="BT13" s="73">
        <v>70.217558924301599</v>
      </c>
      <c r="BU13" s="73">
        <v>0</v>
      </c>
      <c r="BV13" s="73">
        <v>270103.10590487102</v>
      </c>
      <c r="BW13" s="73">
        <v>427.822578950977</v>
      </c>
      <c r="BX13" s="74">
        <v>2308.85323801913</v>
      </c>
      <c r="BY13" s="71">
        <v>387792.42973881698</v>
      </c>
      <c r="BZ13" s="75">
        <v>495404</v>
      </c>
    </row>
    <row r="14" spans="1:78" ht="15" customHeight="1" x14ac:dyDescent="0.3">
      <c r="A14" s="19" t="s">
        <v>32</v>
      </c>
      <c r="B14" s="11" t="s">
        <v>100</v>
      </c>
      <c r="C14" s="68">
        <v>90.728566462823096</v>
      </c>
      <c r="D14" s="69">
        <v>140.50226200149899</v>
      </c>
      <c r="E14" s="69">
        <v>5.4568608019941696</v>
      </c>
      <c r="F14" s="69">
        <v>3.17338912553303</v>
      </c>
      <c r="G14" s="69">
        <v>444.37559245409102</v>
      </c>
      <c r="H14" s="69">
        <v>29.612264164528099</v>
      </c>
      <c r="I14" s="69">
        <v>4.2537674319234098</v>
      </c>
      <c r="J14" s="69">
        <v>539.34238245013205</v>
      </c>
      <c r="K14" s="69">
        <v>2290.18059620855</v>
      </c>
      <c r="L14" s="69">
        <v>5421.2738494523901</v>
      </c>
      <c r="M14" s="69">
        <v>1269.66395233359</v>
      </c>
      <c r="N14" s="69">
        <v>0.59231108313517999</v>
      </c>
      <c r="O14" s="69">
        <v>3.15062045085687</v>
      </c>
      <c r="P14" s="69">
        <v>3.5323977306539098</v>
      </c>
      <c r="Q14" s="69">
        <v>1.9130325541808</v>
      </c>
      <c r="R14" s="69">
        <v>55.472190895894599</v>
      </c>
      <c r="S14" s="69">
        <v>12.798776139962801</v>
      </c>
      <c r="T14" s="69">
        <v>0.77068981742196596</v>
      </c>
      <c r="U14" s="69">
        <v>15960.3573003365</v>
      </c>
      <c r="V14" s="69">
        <v>2092.1555779959499</v>
      </c>
      <c r="W14" s="69">
        <v>221.80144020781799</v>
      </c>
      <c r="X14" s="69">
        <v>760.26757051222398</v>
      </c>
      <c r="Y14" s="69">
        <v>1008.04218609467</v>
      </c>
      <c r="Z14" s="69">
        <v>469.906680709098</v>
      </c>
      <c r="AA14" s="69">
        <v>7.1123185527573796</v>
      </c>
      <c r="AB14" s="69">
        <v>5.4721386446992497</v>
      </c>
      <c r="AC14" s="69">
        <v>8.4230471812349492</v>
      </c>
      <c r="AD14" s="69">
        <v>5.3009612508035602</v>
      </c>
      <c r="AE14" s="69">
        <v>30.393969702761002</v>
      </c>
      <c r="AF14" s="69">
        <v>4.7139805300563502</v>
      </c>
      <c r="AG14" s="69">
        <v>10.074713093561201</v>
      </c>
      <c r="AH14" s="69">
        <v>77.560745255235403</v>
      </c>
      <c r="AI14" s="69">
        <v>23.212165295671198</v>
      </c>
      <c r="AJ14" s="69">
        <v>6.57951290397975</v>
      </c>
      <c r="AK14" s="69">
        <v>2.8624135615113602</v>
      </c>
      <c r="AL14" s="69">
        <v>6.9335698944911002</v>
      </c>
      <c r="AM14" s="69">
        <v>31.720874527337301</v>
      </c>
      <c r="AN14" s="69">
        <v>8.7337847325448195</v>
      </c>
      <c r="AO14" s="69">
        <v>37.711323672140999</v>
      </c>
      <c r="AP14" s="69">
        <v>275.17902670563399</v>
      </c>
      <c r="AQ14" s="69">
        <v>848.72802466783003</v>
      </c>
      <c r="AR14" s="69">
        <v>506.356644216174</v>
      </c>
      <c r="AS14" s="69">
        <v>9.6730084228679605</v>
      </c>
      <c r="AT14" s="69">
        <v>16.807292827315401</v>
      </c>
      <c r="AU14" s="69">
        <v>55.676506802543301</v>
      </c>
      <c r="AV14" s="69">
        <v>18.972679039311</v>
      </c>
      <c r="AW14" s="69">
        <v>1053.2816740830301</v>
      </c>
      <c r="AX14" s="69">
        <v>6.3573845511428502</v>
      </c>
      <c r="AY14" s="69">
        <v>12.0642676052105</v>
      </c>
      <c r="AZ14" s="69">
        <v>28.282193051654701</v>
      </c>
      <c r="BA14" s="69">
        <v>48.622071020355101</v>
      </c>
      <c r="BB14" s="69">
        <v>81.947023940473997</v>
      </c>
      <c r="BC14" s="69">
        <v>24.108708895514901</v>
      </c>
      <c r="BD14" s="69">
        <v>91.360629235727004</v>
      </c>
      <c r="BE14" s="69">
        <v>112.11500100277</v>
      </c>
      <c r="BF14" s="69">
        <v>40.765185510909802</v>
      </c>
      <c r="BG14" s="69">
        <v>105.102526356673</v>
      </c>
      <c r="BH14" s="69">
        <v>130.35173945328299</v>
      </c>
      <c r="BI14" s="69">
        <v>51.440529103885098</v>
      </c>
      <c r="BJ14" s="69">
        <v>470.73815239312398</v>
      </c>
      <c r="BK14" s="69">
        <v>116.796205159519</v>
      </c>
      <c r="BL14" s="69">
        <v>20.075405164243701</v>
      </c>
      <c r="BM14" s="69">
        <v>127.427241486911</v>
      </c>
      <c r="BN14" s="69">
        <v>82.845464574172794</v>
      </c>
      <c r="BO14" s="69">
        <v>27.021800396058001</v>
      </c>
      <c r="BP14" s="69">
        <v>118.46907421114101</v>
      </c>
      <c r="BQ14" s="70">
        <v>0</v>
      </c>
      <c r="BR14" s="71">
        <v>35576.695236091597</v>
      </c>
      <c r="BS14" s="72">
        <v>41898.619997957299</v>
      </c>
      <c r="BT14" s="73">
        <v>1.18644158226534</v>
      </c>
      <c r="BU14" s="73">
        <v>0</v>
      </c>
      <c r="BV14" s="73">
        <v>16229.302735158701</v>
      </c>
      <c r="BW14" s="73">
        <v>419.37535338785801</v>
      </c>
      <c r="BX14" s="74">
        <v>529.820235822276</v>
      </c>
      <c r="BY14" s="71">
        <v>59078.304763908403</v>
      </c>
      <c r="BZ14" s="75">
        <v>94655</v>
      </c>
    </row>
    <row r="15" spans="1:78" ht="15" customHeight="1" x14ac:dyDescent="0.3">
      <c r="A15" s="19" t="s">
        <v>33</v>
      </c>
      <c r="B15" s="11" t="s">
        <v>101</v>
      </c>
      <c r="C15" s="68">
        <v>3807.86453487265</v>
      </c>
      <c r="D15" s="69">
        <v>25100.827251319999</v>
      </c>
      <c r="E15" s="69">
        <v>1866.09985047135</v>
      </c>
      <c r="F15" s="69">
        <v>239.28198535270499</v>
      </c>
      <c r="G15" s="69">
        <v>336.80538097958299</v>
      </c>
      <c r="H15" s="69">
        <v>171.206552680134</v>
      </c>
      <c r="I15" s="69">
        <v>27.248698328100598</v>
      </c>
      <c r="J15" s="69">
        <v>50391.391140552398</v>
      </c>
      <c r="K15" s="69">
        <v>70.350487458022997</v>
      </c>
      <c r="L15" s="69">
        <v>53685.329488048097</v>
      </c>
      <c r="M15" s="69">
        <v>3898.3970722170102</v>
      </c>
      <c r="N15" s="69">
        <v>10.629716900356</v>
      </c>
      <c r="O15" s="69">
        <v>77.471686487973102</v>
      </c>
      <c r="P15" s="69">
        <v>67.575224314468201</v>
      </c>
      <c r="Q15" s="69">
        <v>61.306272724480003</v>
      </c>
      <c r="R15" s="69">
        <v>124.122291948618</v>
      </c>
      <c r="S15" s="69">
        <v>1584.3167989543699</v>
      </c>
      <c r="T15" s="69">
        <v>31.563224522245498</v>
      </c>
      <c r="U15" s="69">
        <v>5745.3707676595805</v>
      </c>
      <c r="V15" s="69">
        <v>9950.4344761661596</v>
      </c>
      <c r="W15" s="69">
        <v>1063.6459475660499</v>
      </c>
      <c r="X15" s="69">
        <v>1595.8580335818299</v>
      </c>
      <c r="Y15" s="69">
        <v>1765.3907495963399</v>
      </c>
      <c r="Z15" s="69">
        <v>327.196879224133</v>
      </c>
      <c r="AA15" s="69">
        <v>283.15825048632797</v>
      </c>
      <c r="AB15" s="69">
        <v>166.57773194798199</v>
      </c>
      <c r="AC15" s="69">
        <v>235.08282519267601</v>
      </c>
      <c r="AD15" s="69">
        <v>102.881650875094</v>
      </c>
      <c r="AE15" s="69">
        <v>269.44886558432199</v>
      </c>
      <c r="AF15" s="69">
        <v>83.8418006080597</v>
      </c>
      <c r="AG15" s="69">
        <v>146.75011831341499</v>
      </c>
      <c r="AH15" s="69">
        <v>285.84438090066101</v>
      </c>
      <c r="AI15" s="69">
        <v>200.27273223204699</v>
      </c>
      <c r="AJ15" s="69">
        <v>132.325216527685</v>
      </c>
      <c r="AK15" s="69">
        <v>32.595006609175499</v>
      </c>
      <c r="AL15" s="69">
        <v>135.450996287549</v>
      </c>
      <c r="AM15" s="69">
        <v>106.398378755008</v>
      </c>
      <c r="AN15" s="69">
        <v>49.407444141535599</v>
      </c>
      <c r="AO15" s="69">
        <v>65.968274304869396</v>
      </c>
      <c r="AP15" s="69">
        <v>556.52504618521198</v>
      </c>
      <c r="AQ15" s="69">
        <v>6793.17728699079</v>
      </c>
      <c r="AR15" s="69">
        <v>372.14949363803902</v>
      </c>
      <c r="AS15" s="69">
        <v>8.2242143717694098</v>
      </c>
      <c r="AT15" s="69">
        <v>37.073183971032798</v>
      </c>
      <c r="AU15" s="69">
        <v>77.409483611238599</v>
      </c>
      <c r="AV15" s="69">
        <v>342.96535061650201</v>
      </c>
      <c r="AW15" s="69">
        <v>15847.239415460101</v>
      </c>
      <c r="AX15" s="69">
        <v>12.2002244669454</v>
      </c>
      <c r="AY15" s="69">
        <v>13.858754216446201</v>
      </c>
      <c r="AZ15" s="69">
        <v>56.956867342861699</v>
      </c>
      <c r="BA15" s="69">
        <v>54.102776261884401</v>
      </c>
      <c r="BB15" s="69">
        <v>219.11292462031</v>
      </c>
      <c r="BC15" s="69">
        <v>47.112002572812699</v>
      </c>
      <c r="BD15" s="69">
        <v>108.12530254172</v>
      </c>
      <c r="BE15" s="69">
        <v>73.234056577510302</v>
      </c>
      <c r="BF15" s="69">
        <v>137.41366504378499</v>
      </c>
      <c r="BG15" s="69">
        <v>61.5230432453126</v>
      </c>
      <c r="BH15" s="69">
        <v>112.087459708694</v>
      </c>
      <c r="BI15" s="69">
        <v>23.913333554439198</v>
      </c>
      <c r="BJ15" s="69">
        <v>2669.6795663046801</v>
      </c>
      <c r="BK15" s="69">
        <v>1670.2387081720599</v>
      </c>
      <c r="BL15" s="69">
        <v>257.733145958992</v>
      </c>
      <c r="BM15" s="69">
        <v>3356.80534363277</v>
      </c>
      <c r="BN15" s="69">
        <v>944.668925389577</v>
      </c>
      <c r="BO15" s="69">
        <v>72.327303511804601</v>
      </c>
      <c r="BP15" s="69">
        <v>1149.23983719181</v>
      </c>
      <c r="BQ15" s="70">
        <v>0</v>
      </c>
      <c r="BR15" s="71">
        <v>199370.78489985201</v>
      </c>
      <c r="BS15" s="72">
        <v>77106.360347786802</v>
      </c>
      <c r="BT15" s="73">
        <v>88.1405454727727</v>
      </c>
      <c r="BU15" s="73">
        <v>0</v>
      </c>
      <c r="BV15" s="73">
        <v>227312.147227915</v>
      </c>
      <c r="BW15" s="73">
        <v>1037.9258482087901</v>
      </c>
      <c r="BX15" s="74">
        <v>8922.6411307645703</v>
      </c>
      <c r="BY15" s="71">
        <v>314467.21510014799</v>
      </c>
      <c r="BZ15" s="75">
        <v>513838</v>
      </c>
    </row>
    <row r="16" spans="1:78" ht="15" customHeight="1" x14ac:dyDescent="0.3">
      <c r="A16" s="19" t="s">
        <v>34</v>
      </c>
      <c r="B16" s="11" t="s">
        <v>102</v>
      </c>
      <c r="C16" s="68">
        <v>85.531334227882297</v>
      </c>
      <c r="D16" s="69">
        <v>41.633263281505499</v>
      </c>
      <c r="E16" s="69">
        <v>3.1642291851794599</v>
      </c>
      <c r="F16" s="69">
        <v>20.500361716954899</v>
      </c>
      <c r="G16" s="69">
        <v>39.744404383562603</v>
      </c>
      <c r="H16" s="69">
        <v>42.582992823677003</v>
      </c>
      <c r="I16" s="69">
        <v>6.0942844533414204</v>
      </c>
      <c r="J16" s="69">
        <v>665.187442126875</v>
      </c>
      <c r="K16" s="69">
        <v>6.8436188016376898</v>
      </c>
      <c r="L16" s="69">
        <v>182.94739349941699</v>
      </c>
      <c r="M16" s="69">
        <v>11254.4624045687</v>
      </c>
      <c r="N16" s="69">
        <v>3.1672466928577001</v>
      </c>
      <c r="O16" s="69">
        <v>18.8092792061003</v>
      </c>
      <c r="P16" s="69">
        <v>19.882879541828402</v>
      </c>
      <c r="Q16" s="69">
        <v>11.4733470841665</v>
      </c>
      <c r="R16" s="69">
        <v>19.013763860791101</v>
      </c>
      <c r="S16" s="69">
        <v>41.117011252363703</v>
      </c>
      <c r="T16" s="69">
        <v>6.1558923970118702</v>
      </c>
      <c r="U16" s="69">
        <v>62.088241507450597</v>
      </c>
      <c r="V16" s="69">
        <v>13.383064041026</v>
      </c>
      <c r="W16" s="69">
        <v>56.019072290270401</v>
      </c>
      <c r="X16" s="69">
        <v>57.898282801749303</v>
      </c>
      <c r="Y16" s="69">
        <v>27.872454765051401</v>
      </c>
      <c r="Z16" s="69">
        <v>23.791516812988899</v>
      </c>
      <c r="AA16" s="69">
        <v>51.282685979908202</v>
      </c>
      <c r="AB16" s="69">
        <v>29.283901309062902</v>
      </c>
      <c r="AC16" s="69">
        <v>58.979819066252801</v>
      </c>
      <c r="AD16" s="69">
        <v>28.1726483775495</v>
      </c>
      <c r="AE16" s="69">
        <v>69.635032677112704</v>
      </c>
      <c r="AF16" s="69">
        <v>28.8696860172554</v>
      </c>
      <c r="AG16" s="69">
        <v>46.056217874102799</v>
      </c>
      <c r="AH16" s="69">
        <v>102.37368856372601</v>
      </c>
      <c r="AI16" s="69">
        <v>64.777377165184603</v>
      </c>
      <c r="AJ16" s="69">
        <v>37.209382865588701</v>
      </c>
      <c r="AK16" s="69">
        <v>12.4581442903922</v>
      </c>
      <c r="AL16" s="69">
        <v>31.260210609220699</v>
      </c>
      <c r="AM16" s="69">
        <v>38.053617371093502</v>
      </c>
      <c r="AN16" s="69">
        <v>20.9747138315835</v>
      </c>
      <c r="AO16" s="69">
        <v>12.6178168819212</v>
      </c>
      <c r="AP16" s="69">
        <v>164.62421937781099</v>
      </c>
      <c r="AQ16" s="69">
        <v>431.91083369552001</v>
      </c>
      <c r="AR16" s="69">
        <v>71.529081211413398</v>
      </c>
      <c r="AS16" s="69">
        <v>2.0217305063525202</v>
      </c>
      <c r="AT16" s="69">
        <v>4.8039405525112597</v>
      </c>
      <c r="AU16" s="69">
        <v>28.5490511690017</v>
      </c>
      <c r="AV16" s="69">
        <v>554.76228513076603</v>
      </c>
      <c r="AW16" s="69">
        <v>28692.8902291099</v>
      </c>
      <c r="AX16" s="69">
        <v>3.8808298010206501</v>
      </c>
      <c r="AY16" s="69">
        <v>5.1784291375158498</v>
      </c>
      <c r="AZ16" s="69">
        <v>20.6197199563194</v>
      </c>
      <c r="BA16" s="69">
        <v>24.330830889514999</v>
      </c>
      <c r="BB16" s="69">
        <v>120.46789802476999</v>
      </c>
      <c r="BC16" s="69">
        <v>15.2544338073292</v>
      </c>
      <c r="BD16" s="69">
        <v>40.164703466211101</v>
      </c>
      <c r="BE16" s="69">
        <v>10.2318441296736</v>
      </c>
      <c r="BF16" s="69">
        <v>22.309773839428999</v>
      </c>
      <c r="BG16" s="69">
        <v>10.8499330076408</v>
      </c>
      <c r="BH16" s="69">
        <v>37.402942608743899</v>
      </c>
      <c r="BI16" s="69">
        <v>3.5596006754887299</v>
      </c>
      <c r="BJ16" s="69">
        <v>225.64458276492701</v>
      </c>
      <c r="BK16" s="69">
        <v>126.60630919235599</v>
      </c>
      <c r="BL16" s="69">
        <v>45.614287704967097</v>
      </c>
      <c r="BM16" s="69">
        <v>184.40784233213199</v>
      </c>
      <c r="BN16" s="69">
        <v>227.62929615270301</v>
      </c>
      <c r="BO16" s="69">
        <v>51.444157403212301</v>
      </c>
      <c r="BP16" s="69">
        <v>41.986084173000499</v>
      </c>
      <c r="BQ16" s="70">
        <v>0</v>
      </c>
      <c r="BR16" s="71">
        <v>44510.043594022703</v>
      </c>
      <c r="BS16" s="72">
        <v>4505.40914511559</v>
      </c>
      <c r="BT16" s="73">
        <v>7.0030881562869096</v>
      </c>
      <c r="BU16" s="73">
        <v>0</v>
      </c>
      <c r="BV16" s="73">
        <v>59461.758481566401</v>
      </c>
      <c r="BW16" s="73">
        <v>303.98517277273902</v>
      </c>
      <c r="BX16" s="74">
        <v>1319.8005183663699</v>
      </c>
      <c r="BY16" s="71">
        <v>65597.956405977398</v>
      </c>
      <c r="BZ16" s="75">
        <v>110108</v>
      </c>
    </row>
    <row r="17" spans="1:78" ht="15" customHeight="1" x14ac:dyDescent="0.3">
      <c r="A17" s="19" t="s">
        <v>35</v>
      </c>
      <c r="B17" s="11" t="s">
        <v>103</v>
      </c>
      <c r="C17" s="68">
        <v>11.7039520975637</v>
      </c>
      <c r="D17" s="69">
        <v>2.4525136076042902</v>
      </c>
      <c r="E17" s="69">
        <v>0.18668056389006399</v>
      </c>
      <c r="F17" s="69">
        <v>0.109920149433741</v>
      </c>
      <c r="G17" s="69">
        <v>1.4239831965694301</v>
      </c>
      <c r="H17" s="69">
        <v>2.1427722013135599</v>
      </c>
      <c r="I17" s="69">
        <v>0.19648758780597</v>
      </c>
      <c r="J17" s="69">
        <v>5.2286195592832403</v>
      </c>
      <c r="K17" s="69">
        <v>0.251357197276244</v>
      </c>
      <c r="L17" s="69">
        <v>5.4368853735006999</v>
      </c>
      <c r="M17" s="69">
        <v>0.78670177284518195</v>
      </c>
      <c r="N17" s="69">
        <v>1159.50210273884</v>
      </c>
      <c r="O17" s="69">
        <v>0.91756204441650702</v>
      </c>
      <c r="P17" s="69">
        <v>0.87099422387099901</v>
      </c>
      <c r="Q17" s="69">
        <v>0.70247423283339205</v>
      </c>
      <c r="R17" s="69">
        <v>1.0900638948266499</v>
      </c>
      <c r="S17" s="69">
        <v>5.0446459412167304</v>
      </c>
      <c r="T17" s="69">
        <v>0.59596588963438202</v>
      </c>
      <c r="U17" s="69">
        <v>0.51841262667015398</v>
      </c>
      <c r="V17" s="69">
        <v>0.32784857410560297</v>
      </c>
      <c r="W17" s="69">
        <v>2.21410873323387</v>
      </c>
      <c r="X17" s="69">
        <v>1.08482053730298</v>
      </c>
      <c r="Y17" s="69">
        <v>1.2785608100511801</v>
      </c>
      <c r="Z17" s="69">
        <v>1.33361856375161</v>
      </c>
      <c r="AA17" s="69">
        <v>2.5177282382828401</v>
      </c>
      <c r="AB17" s="69">
        <v>1.88416413489164</v>
      </c>
      <c r="AC17" s="69">
        <v>1.8374243750047701</v>
      </c>
      <c r="AD17" s="69">
        <v>1.33708194785559</v>
      </c>
      <c r="AE17" s="69">
        <v>1.8654848408622999</v>
      </c>
      <c r="AF17" s="69">
        <v>1.38492259185375</v>
      </c>
      <c r="AG17" s="69">
        <v>1.8178363919582801</v>
      </c>
      <c r="AH17" s="69">
        <v>4.2812198015723597</v>
      </c>
      <c r="AI17" s="69">
        <v>2.5844090178158998</v>
      </c>
      <c r="AJ17" s="69">
        <v>1.62533054549971</v>
      </c>
      <c r="AK17" s="69">
        <v>0.35686414759039298</v>
      </c>
      <c r="AL17" s="69">
        <v>1.35615260649754</v>
      </c>
      <c r="AM17" s="69">
        <v>1.4233622446660701</v>
      </c>
      <c r="AN17" s="69">
        <v>0.55321956503069902</v>
      </c>
      <c r="AO17" s="69">
        <v>0.30567606789455198</v>
      </c>
      <c r="AP17" s="69">
        <v>3.9493840919097498</v>
      </c>
      <c r="AQ17" s="69">
        <v>7.9220524020919303</v>
      </c>
      <c r="AR17" s="69">
        <v>2.4933951788157098</v>
      </c>
      <c r="AS17" s="69">
        <v>8.8823966880911903E-2</v>
      </c>
      <c r="AT17" s="69">
        <v>4.4895927813207601E-2</v>
      </c>
      <c r="AU17" s="69">
        <v>0.43656833172795001</v>
      </c>
      <c r="AV17" s="69">
        <v>0.156894366534996</v>
      </c>
      <c r="AW17" s="69">
        <v>2.2644882616669801</v>
      </c>
      <c r="AX17" s="69">
        <v>0.32267065225046199</v>
      </c>
      <c r="AY17" s="69">
        <v>0.140291265970411</v>
      </c>
      <c r="AZ17" s="69">
        <v>0.49103245596066702</v>
      </c>
      <c r="BA17" s="69">
        <v>0.89145594138408901</v>
      </c>
      <c r="BB17" s="69">
        <v>0.76938341132600396</v>
      </c>
      <c r="BC17" s="69">
        <v>0.27024925301708402</v>
      </c>
      <c r="BD17" s="69">
        <v>0.78671625032665204</v>
      </c>
      <c r="BE17" s="69">
        <v>1.65849441935244</v>
      </c>
      <c r="BF17" s="69">
        <v>0.75862147726298701</v>
      </c>
      <c r="BG17" s="69">
        <v>0.44226984308664402</v>
      </c>
      <c r="BH17" s="69">
        <v>1.4080182258765399</v>
      </c>
      <c r="BI17" s="69">
        <v>6.8941674262092301E-2</v>
      </c>
      <c r="BJ17" s="69">
        <v>1.0382069528248901</v>
      </c>
      <c r="BK17" s="69">
        <v>0.67382173206086504</v>
      </c>
      <c r="BL17" s="69">
        <v>0.45948648421832</v>
      </c>
      <c r="BM17" s="69">
        <v>1.2367028319384401</v>
      </c>
      <c r="BN17" s="69">
        <v>1.8270459134457699</v>
      </c>
      <c r="BO17" s="69">
        <v>0.185226050401568</v>
      </c>
      <c r="BP17" s="69">
        <v>0.679576417156604</v>
      </c>
      <c r="BQ17" s="70">
        <v>0</v>
      </c>
      <c r="BR17" s="71">
        <v>1261.9966424146801</v>
      </c>
      <c r="BS17" s="72">
        <v>7600.1729770580096</v>
      </c>
      <c r="BT17" s="73">
        <v>0.27837438160003403</v>
      </c>
      <c r="BU17" s="73">
        <v>0</v>
      </c>
      <c r="BV17" s="73">
        <v>9772.5830985778193</v>
      </c>
      <c r="BW17" s="73">
        <v>91.022249826975397</v>
      </c>
      <c r="BX17" s="74">
        <v>-73.053342259094507</v>
      </c>
      <c r="BY17" s="71">
        <v>17391.003357585301</v>
      </c>
      <c r="BZ17" s="75">
        <v>18653</v>
      </c>
    </row>
    <row r="18" spans="1:78" ht="15" customHeight="1" x14ac:dyDescent="0.3">
      <c r="A18" s="19" t="s">
        <v>36</v>
      </c>
      <c r="B18" s="11" t="s">
        <v>104</v>
      </c>
      <c r="C18" s="68">
        <v>1273.2785841826201</v>
      </c>
      <c r="D18" s="69">
        <v>23.310143913857701</v>
      </c>
      <c r="E18" s="69">
        <v>3.5297109355099301</v>
      </c>
      <c r="F18" s="69">
        <v>268.076590909103</v>
      </c>
      <c r="G18" s="69">
        <v>180.90345846907999</v>
      </c>
      <c r="H18" s="69">
        <v>9.0330783257358807</v>
      </c>
      <c r="I18" s="69">
        <v>9.4954987467283001</v>
      </c>
      <c r="J18" s="69">
        <v>30.0791969406574</v>
      </c>
      <c r="K18" s="69">
        <v>266.38499440493302</v>
      </c>
      <c r="L18" s="69">
        <v>382.30718237221902</v>
      </c>
      <c r="M18" s="69">
        <v>22.991018415577798</v>
      </c>
      <c r="N18" s="69">
        <v>0.90014549808404098</v>
      </c>
      <c r="O18" s="69">
        <v>13880.566868153801</v>
      </c>
      <c r="P18" s="69">
        <v>18964.5753426271</v>
      </c>
      <c r="Q18" s="69">
        <v>3475.10299854085</v>
      </c>
      <c r="R18" s="69">
        <v>16.814710224074101</v>
      </c>
      <c r="S18" s="69">
        <v>221.72449355428199</v>
      </c>
      <c r="T18" s="69">
        <v>5.5542596032279903</v>
      </c>
      <c r="U18" s="69">
        <v>2.4113107830556202</v>
      </c>
      <c r="V18" s="69">
        <v>1.94770329865478</v>
      </c>
      <c r="W18" s="69">
        <v>39.966536480649403</v>
      </c>
      <c r="X18" s="69">
        <v>70.268928786928896</v>
      </c>
      <c r="Y18" s="69">
        <v>17.271076378587701</v>
      </c>
      <c r="Z18" s="69">
        <v>198.020995725467</v>
      </c>
      <c r="AA18" s="69">
        <v>1049.8415773786301</v>
      </c>
      <c r="AB18" s="69">
        <v>60.773895785397102</v>
      </c>
      <c r="AC18" s="69">
        <v>10.3827785234188</v>
      </c>
      <c r="AD18" s="69">
        <v>11.5930308500732</v>
      </c>
      <c r="AE18" s="69">
        <v>99.813046893185003</v>
      </c>
      <c r="AF18" s="69">
        <v>13.453996077996599</v>
      </c>
      <c r="AG18" s="69">
        <v>68.575008965533499</v>
      </c>
      <c r="AH18" s="69">
        <v>46.056948845743101</v>
      </c>
      <c r="AI18" s="69">
        <v>63.297168412236203</v>
      </c>
      <c r="AJ18" s="69">
        <v>1807.00819077447</v>
      </c>
      <c r="AK18" s="69">
        <v>96.473145244768602</v>
      </c>
      <c r="AL18" s="69">
        <v>1978.38857004019</v>
      </c>
      <c r="AM18" s="69">
        <v>17.5923251708519</v>
      </c>
      <c r="AN18" s="69">
        <v>38.292422782679303</v>
      </c>
      <c r="AO18" s="69">
        <v>25.031870412447098</v>
      </c>
      <c r="AP18" s="69">
        <v>660.31220388757902</v>
      </c>
      <c r="AQ18" s="69">
        <v>305.209576642267</v>
      </c>
      <c r="AR18" s="69">
        <v>93.939858449540594</v>
      </c>
      <c r="AS18" s="69">
        <v>28.349420531915602</v>
      </c>
      <c r="AT18" s="69">
        <v>2.7544304715465899</v>
      </c>
      <c r="AU18" s="69">
        <v>11.804651793526601</v>
      </c>
      <c r="AV18" s="69">
        <v>321.41925800367102</v>
      </c>
      <c r="AW18" s="69">
        <v>223.567105658419</v>
      </c>
      <c r="AX18" s="69">
        <v>1.8003253211272301</v>
      </c>
      <c r="AY18" s="69">
        <v>9.0376726940345407</v>
      </c>
      <c r="AZ18" s="69">
        <v>7.7574569400466702</v>
      </c>
      <c r="BA18" s="69">
        <v>8.2417013261284193</v>
      </c>
      <c r="BB18" s="69">
        <v>16.858348007505199</v>
      </c>
      <c r="BC18" s="69">
        <v>8.0787644630340196</v>
      </c>
      <c r="BD18" s="69">
        <v>16.588074506918801</v>
      </c>
      <c r="BE18" s="69">
        <v>9.7099474083049895</v>
      </c>
      <c r="BF18" s="69">
        <v>10.658537546817</v>
      </c>
      <c r="BG18" s="69">
        <v>6.0812504041675499</v>
      </c>
      <c r="BH18" s="69">
        <v>28.457488764269399</v>
      </c>
      <c r="BI18" s="69">
        <v>2.4528505714845199</v>
      </c>
      <c r="BJ18" s="69">
        <v>64.218249480951897</v>
      </c>
      <c r="BK18" s="69">
        <v>65.456516790298494</v>
      </c>
      <c r="BL18" s="69">
        <v>12.3601475372895</v>
      </c>
      <c r="BM18" s="69">
        <v>77.247827431643003</v>
      </c>
      <c r="BN18" s="69">
        <v>91.510955798468302</v>
      </c>
      <c r="BO18" s="69">
        <v>10.309749646196099</v>
      </c>
      <c r="BP18" s="69">
        <v>879.94783423132105</v>
      </c>
      <c r="BQ18" s="70">
        <v>0</v>
      </c>
      <c r="BR18" s="71">
        <v>47725.219007736901</v>
      </c>
      <c r="BS18" s="72">
        <v>3782.0473260314502</v>
      </c>
      <c r="BT18" s="73">
        <v>1.1208614468115601</v>
      </c>
      <c r="BU18" s="73">
        <v>0</v>
      </c>
      <c r="BV18" s="73">
        <v>24442.351854938101</v>
      </c>
      <c r="BW18" s="73">
        <v>171.06632850637101</v>
      </c>
      <c r="BX18" s="74">
        <v>6714.1946213403899</v>
      </c>
      <c r="BY18" s="71">
        <v>35110.780992263099</v>
      </c>
      <c r="BZ18" s="75">
        <v>82836</v>
      </c>
    </row>
    <row r="19" spans="1:78" ht="15" customHeight="1" x14ac:dyDescent="0.3">
      <c r="A19" s="19" t="s">
        <v>37</v>
      </c>
      <c r="B19" s="11" t="s">
        <v>105</v>
      </c>
      <c r="C19" s="68">
        <v>26.8719726761997</v>
      </c>
      <c r="D19" s="69">
        <v>5.47246784718409</v>
      </c>
      <c r="E19" s="69">
        <v>21.091504341242601</v>
      </c>
      <c r="F19" s="69">
        <v>6.95786272140076</v>
      </c>
      <c r="G19" s="69">
        <v>205.702889308615</v>
      </c>
      <c r="H19" s="69">
        <v>4.81993665551345</v>
      </c>
      <c r="I19" s="69">
        <v>0.56246797894404399</v>
      </c>
      <c r="J19" s="69">
        <v>24.431526964718099</v>
      </c>
      <c r="K19" s="69">
        <v>4.12583971778208</v>
      </c>
      <c r="L19" s="69">
        <v>30.009618385827299</v>
      </c>
      <c r="M19" s="69">
        <v>2.0406295702249801</v>
      </c>
      <c r="N19" s="69">
        <v>0.59180799620052904</v>
      </c>
      <c r="O19" s="69">
        <v>144.34908173364801</v>
      </c>
      <c r="P19" s="69">
        <v>3326.2262796424902</v>
      </c>
      <c r="Q19" s="69">
        <v>120.768414075755</v>
      </c>
      <c r="R19" s="69">
        <v>1.6415491445889101</v>
      </c>
      <c r="S19" s="69">
        <v>7.8730355443281104</v>
      </c>
      <c r="T19" s="69">
        <v>0.87699600436769498</v>
      </c>
      <c r="U19" s="69">
        <v>1.2114278762524799</v>
      </c>
      <c r="V19" s="69">
        <v>0.86203240863155295</v>
      </c>
      <c r="W19" s="69">
        <v>5.1294111009337602</v>
      </c>
      <c r="X19" s="69">
        <v>20.399915087222499</v>
      </c>
      <c r="Y19" s="69">
        <v>2.1106572547281299</v>
      </c>
      <c r="Z19" s="69">
        <v>3.2492907626847001</v>
      </c>
      <c r="AA19" s="69">
        <v>12.259838575655101</v>
      </c>
      <c r="AB19" s="69">
        <v>34.122715528509403</v>
      </c>
      <c r="AC19" s="69">
        <v>16.2281952158271</v>
      </c>
      <c r="AD19" s="69">
        <v>2.6565524828906399</v>
      </c>
      <c r="AE19" s="69">
        <v>98.228445665863006</v>
      </c>
      <c r="AF19" s="69">
        <v>2.8498493837899601</v>
      </c>
      <c r="AG19" s="69">
        <v>5.9437149867334202</v>
      </c>
      <c r="AH19" s="69">
        <v>14.0678560501195</v>
      </c>
      <c r="AI19" s="69">
        <v>8.4137028484874108</v>
      </c>
      <c r="AJ19" s="69">
        <v>58.141503316246002</v>
      </c>
      <c r="AK19" s="69">
        <v>2.5787627222899299</v>
      </c>
      <c r="AL19" s="69">
        <v>51.843436995067499</v>
      </c>
      <c r="AM19" s="69">
        <v>4.9413718727918798</v>
      </c>
      <c r="AN19" s="69">
        <v>136.731325515279</v>
      </c>
      <c r="AO19" s="69">
        <v>235.29045230080601</v>
      </c>
      <c r="AP19" s="69">
        <v>64.971310262320898</v>
      </c>
      <c r="AQ19" s="69">
        <v>650.42853404753396</v>
      </c>
      <c r="AR19" s="69">
        <v>349.52904684660598</v>
      </c>
      <c r="AS19" s="69">
        <v>16.832114067618299</v>
      </c>
      <c r="AT19" s="69">
        <v>175.03196338072601</v>
      </c>
      <c r="AU19" s="69">
        <v>204.39189925060299</v>
      </c>
      <c r="AV19" s="69">
        <v>140.578679470352</v>
      </c>
      <c r="AW19" s="69">
        <v>298.28676723224999</v>
      </c>
      <c r="AX19" s="69">
        <v>0.51756231877625902</v>
      </c>
      <c r="AY19" s="69">
        <v>186.903404428854</v>
      </c>
      <c r="AZ19" s="69">
        <v>50.455386887546297</v>
      </c>
      <c r="BA19" s="69">
        <v>3.0073358650731898</v>
      </c>
      <c r="BB19" s="69">
        <v>658.51648164076596</v>
      </c>
      <c r="BC19" s="69">
        <v>42.683578600752803</v>
      </c>
      <c r="BD19" s="69">
        <v>14.698561994338201</v>
      </c>
      <c r="BE19" s="69">
        <v>248.227662888948</v>
      </c>
      <c r="BF19" s="69">
        <v>66.877143130583093</v>
      </c>
      <c r="BG19" s="69">
        <v>3.1384021749912798</v>
      </c>
      <c r="BH19" s="69">
        <v>222.02862539973401</v>
      </c>
      <c r="BI19" s="69">
        <v>316.15192201613303</v>
      </c>
      <c r="BJ19" s="69">
        <v>1180.1022592073</v>
      </c>
      <c r="BK19" s="69">
        <v>958.56128822965798</v>
      </c>
      <c r="BL19" s="69">
        <v>3.4079945710595099</v>
      </c>
      <c r="BM19" s="69">
        <v>167.029039604643</v>
      </c>
      <c r="BN19" s="69">
        <v>102.85120623574601</v>
      </c>
      <c r="BO19" s="69">
        <v>168.62330106980201</v>
      </c>
      <c r="BP19" s="69">
        <v>1337.5709532178901</v>
      </c>
      <c r="BQ19" s="70">
        <v>0</v>
      </c>
      <c r="BR19" s="71">
        <v>12283.076762300499</v>
      </c>
      <c r="BS19" s="72">
        <v>2401.0721080170501</v>
      </c>
      <c r="BT19" s="73">
        <v>19.1981694950735</v>
      </c>
      <c r="BU19" s="73">
        <v>0</v>
      </c>
      <c r="BV19" s="73">
        <v>66763.189383022007</v>
      </c>
      <c r="BW19" s="73">
        <v>122.500097087055</v>
      </c>
      <c r="BX19" s="74">
        <v>-944.03651992159996</v>
      </c>
      <c r="BY19" s="71">
        <v>68361.923237699593</v>
      </c>
      <c r="BZ19" s="75">
        <v>80645</v>
      </c>
    </row>
    <row r="20" spans="1:78" ht="15" customHeight="1" x14ac:dyDescent="0.3">
      <c r="A20" s="19" t="s">
        <v>38</v>
      </c>
      <c r="B20" s="11" t="s">
        <v>106</v>
      </c>
      <c r="C20" s="68">
        <v>9.4932498990857503</v>
      </c>
      <c r="D20" s="69">
        <v>7.8045641379328998</v>
      </c>
      <c r="E20" s="69">
        <v>0.32350901652032499</v>
      </c>
      <c r="F20" s="69">
        <v>1.8519847137352199</v>
      </c>
      <c r="G20" s="69">
        <v>12.241605025227599</v>
      </c>
      <c r="H20" s="69">
        <v>5.4308374943832503</v>
      </c>
      <c r="I20" s="69">
        <v>0.40882461423118399</v>
      </c>
      <c r="J20" s="69">
        <v>31.967874493508301</v>
      </c>
      <c r="K20" s="69">
        <v>1.2417828413698599</v>
      </c>
      <c r="L20" s="69">
        <v>42.215100306241702</v>
      </c>
      <c r="M20" s="69">
        <v>7.4826975240459603</v>
      </c>
      <c r="N20" s="69">
        <v>1.17527581224105</v>
      </c>
      <c r="O20" s="69">
        <v>10.424457341331699</v>
      </c>
      <c r="P20" s="69">
        <v>10.5463537601787</v>
      </c>
      <c r="Q20" s="69">
        <v>8655.4501963695402</v>
      </c>
      <c r="R20" s="69">
        <v>2.3619160812680402</v>
      </c>
      <c r="S20" s="69">
        <v>76.726293882084903</v>
      </c>
      <c r="T20" s="69">
        <v>1.84113938929767</v>
      </c>
      <c r="U20" s="69">
        <v>1.1473631189686599</v>
      </c>
      <c r="V20" s="69">
        <v>3.3885999206792299</v>
      </c>
      <c r="W20" s="69">
        <v>8.7592868488418691</v>
      </c>
      <c r="X20" s="69">
        <v>8.6790221437367094</v>
      </c>
      <c r="Y20" s="69">
        <v>10.042129168993901</v>
      </c>
      <c r="Z20" s="69">
        <v>3.7620437739440198</v>
      </c>
      <c r="AA20" s="69">
        <v>34.653571016667897</v>
      </c>
      <c r="AB20" s="69">
        <v>6.3437377814767002</v>
      </c>
      <c r="AC20" s="69">
        <v>3.9587502817729199</v>
      </c>
      <c r="AD20" s="69">
        <v>2.6302819144898399</v>
      </c>
      <c r="AE20" s="69">
        <v>56.063713656687398</v>
      </c>
      <c r="AF20" s="69">
        <v>3.45668587827454</v>
      </c>
      <c r="AG20" s="69">
        <v>7.2983658647167999</v>
      </c>
      <c r="AH20" s="69">
        <v>9.52265283779996</v>
      </c>
      <c r="AI20" s="69">
        <v>67.179368490054998</v>
      </c>
      <c r="AJ20" s="69">
        <v>31.912210638021499</v>
      </c>
      <c r="AK20" s="69">
        <v>1.7021560051787299</v>
      </c>
      <c r="AL20" s="69">
        <v>49.224928093972501</v>
      </c>
      <c r="AM20" s="69">
        <v>3.60655195344403</v>
      </c>
      <c r="AN20" s="69">
        <v>130.66079033882701</v>
      </c>
      <c r="AO20" s="69">
        <v>2.5630613327340099</v>
      </c>
      <c r="AP20" s="69">
        <v>52.9478755674822</v>
      </c>
      <c r="AQ20" s="69">
        <v>51.564322060287701</v>
      </c>
      <c r="AR20" s="69">
        <v>25.645143912289399</v>
      </c>
      <c r="AS20" s="69">
        <v>0.24058309673734601</v>
      </c>
      <c r="AT20" s="69">
        <v>1.0578504878660899</v>
      </c>
      <c r="AU20" s="69">
        <v>1.45242050042486</v>
      </c>
      <c r="AV20" s="69">
        <v>2.6795445992665901</v>
      </c>
      <c r="AW20" s="69">
        <v>27.540842772045799</v>
      </c>
      <c r="AX20" s="69">
        <v>0.52909192699603202</v>
      </c>
      <c r="AY20" s="69">
        <v>36.585061399572901</v>
      </c>
      <c r="AZ20" s="69">
        <v>1.3321950125597699</v>
      </c>
      <c r="BA20" s="69">
        <v>4.7175977706594399</v>
      </c>
      <c r="BB20" s="69">
        <v>3.1158998122516</v>
      </c>
      <c r="BC20" s="69">
        <v>0.85850582292952404</v>
      </c>
      <c r="BD20" s="69">
        <v>1.6301681673975601</v>
      </c>
      <c r="BE20" s="69">
        <v>7.24646492072677</v>
      </c>
      <c r="BF20" s="69">
        <v>2.5028989014472001</v>
      </c>
      <c r="BG20" s="69">
        <v>1.40202609386218</v>
      </c>
      <c r="BH20" s="69">
        <v>9.3767865943617608</v>
      </c>
      <c r="BI20" s="69">
        <v>74.556835657641201</v>
      </c>
      <c r="BJ20" s="69">
        <v>23.169575676351499</v>
      </c>
      <c r="BK20" s="69">
        <v>6.9002760387275996</v>
      </c>
      <c r="BL20" s="69">
        <v>1.0204413664846801</v>
      </c>
      <c r="BM20" s="69">
        <v>7.9318501411988596</v>
      </c>
      <c r="BN20" s="69">
        <v>9.9610304974667692</v>
      </c>
      <c r="BO20" s="69">
        <v>1.01269125846505</v>
      </c>
      <c r="BP20" s="69">
        <v>6.3000510700027199</v>
      </c>
      <c r="BQ20" s="70">
        <v>0</v>
      </c>
      <c r="BR20" s="71">
        <v>9688.8209648870106</v>
      </c>
      <c r="BS20" s="72">
        <v>13194.506006264201</v>
      </c>
      <c r="BT20" s="73">
        <v>0.480201458499387</v>
      </c>
      <c r="BU20" s="73">
        <v>0</v>
      </c>
      <c r="BV20" s="73">
        <v>28200.832746133499</v>
      </c>
      <c r="BW20" s="73">
        <v>359.55662877457303</v>
      </c>
      <c r="BX20" s="74">
        <v>-705.19654751780001</v>
      </c>
      <c r="BY20" s="71">
        <v>41050.179035112997</v>
      </c>
      <c r="BZ20" s="75">
        <v>50739</v>
      </c>
    </row>
    <row r="21" spans="1:78" ht="15" customHeight="1" x14ac:dyDescent="0.3">
      <c r="A21" s="19" t="s">
        <v>39</v>
      </c>
      <c r="B21" s="11" t="s">
        <v>107</v>
      </c>
      <c r="C21" s="68">
        <v>752.63803752859599</v>
      </c>
      <c r="D21" s="69">
        <v>513.80168710956002</v>
      </c>
      <c r="E21" s="69">
        <v>34.237896046099301</v>
      </c>
      <c r="F21" s="69">
        <v>5.5495533745309498</v>
      </c>
      <c r="G21" s="69">
        <v>10.678702087858101</v>
      </c>
      <c r="H21" s="69">
        <v>5.7270888631988903</v>
      </c>
      <c r="I21" s="69">
        <v>0.82007478502396403</v>
      </c>
      <c r="J21" s="69">
        <v>61.435240736907303</v>
      </c>
      <c r="K21" s="69">
        <v>1.8823948332841201</v>
      </c>
      <c r="L21" s="69">
        <v>395.14390463063398</v>
      </c>
      <c r="M21" s="69">
        <v>158.58344187723401</v>
      </c>
      <c r="N21" s="69">
        <v>0.31722296036812903</v>
      </c>
      <c r="O21" s="69">
        <v>31.852960550624498</v>
      </c>
      <c r="P21" s="69">
        <v>3.0304081118900199</v>
      </c>
      <c r="Q21" s="69">
        <v>1.01276100896017</v>
      </c>
      <c r="R21" s="69">
        <v>8205.2200732457895</v>
      </c>
      <c r="S21" s="69">
        <v>1156.5564315187901</v>
      </c>
      <c r="T21" s="69">
        <v>0.80312045278320698</v>
      </c>
      <c r="U21" s="69">
        <v>2.5295459231291901</v>
      </c>
      <c r="V21" s="69">
        <v>2.3929764459065002</v>
      </c>
      <c r="W21" s="69">
        <v>32.731844951209098</v>
      </c>
      <c r="X21" s="69">
        <v>59.038132508233403</v>
      </c>
      <c r="Y21" s="69">
        <v>3.6152305976664199</v>
      </c>
      <c r="Z21" s="69">
        <v>2.6993746253920499</v>
      </c>
      <c r="AA21" s="69">
        <v>9.2830389708194705</v>
      </c>
      <c r="AB21" s="69">
        <v>56.445531867084597</v>
      </c>
      <c r="AC21" s="69">
        <v>26.310664345410299</v>
      </c>
      <c r="AD21" s="69">
        <v>1.8400623532701199</v>
      </c>
      <c r="AE21" s="69">
        <v>397.76383824704999</v>
      </c>
      <c r="AF21" s="69">
        <v>3.64530866412654</v>
      </c>
      <c r="AG21" s="69">
        <v>10.9584885413866</v>
      </c>
      <c r="AH21" s="69">
        <v>464.27114348783499</v>
      </c>
      <c r="AI21" s="69">
        <v>275.81412010369502</v>
      </c>
      <c r="AJ21" s="69">
        <v>90.301701726153894</v>
      </c>
      <c r="AK21" s="69">
        <v>132.858524144173</v>
      </c>
      <c r="AL21" s="69">
        <v>9059.5438686637099</v>
      </c>
      <c r="AM21" s="69">
        <v>6.69900746867894</v>
      </c>
      <c r="AN21" s="69">
        <v>367.33854119024301</v>
      </c>
      <c r="AO21" s="69">
        <v>11.2438887109319</v>
      </c>
      <c r="AP21" s="69">
        <v>6278.9540246341003</v>
      </c>
      <c r="AQ21" s="69">
        <v>3578.4893459416999</v>
      </c>
      <c r="AR21" s="69">
        <v>8.8027938520944407</v>
      </c>
      <c r="AS21" s="69">
        <v>0.73461295583633501</v>
      </c>
      <c r="AT21" s="69">
        <v>0.50252318974125698</v>
      </c>
      <c r="AU21" s="69">
        <v>131.585838891317</v>
      </c>
      <c r="AV21" s="69">
        <v>5.4419718120939899</v>
      </c>
      <c r="AW21" s="69">
        <v>24.1834526710986</v>
      </c>
      <c r="AX21" s="69">
        <v>0.98063838003123105</v>
      </c>
      <c r="AY21" s="69">
        <v>159.170629558028</v>
      </c>
      <c r="AZ21" s="69">
        <v>10.262826683332101</v>
      </c>
      <c r="BA21" s="69">
        <v>13.8453718973701</v>
      </c>
      <c r="BB21" s="69">
        <v>24.030016711198801</v>
      </c>
      <c r="BC21" s="69">
        <v>401.302129285261</v>
      </c>
      <c r="BD21" s="69">
        <v>25.933913362739801</v>
      </c>
      <c r="BE21" s="69">
        <v>5.2525456926522898</v>
      </c>
      <c r="BF21" s="69">
        <v>8.1627477737556102</v>
      </c>
      <c r="BG21" s="69">
        <v>4.7655631037212602</v>
      </c>
      <c r="BH21" s="69">
        <v>145.56621727537001</v>
      </c>
      <c r="BI21" s="69">
        <v>1.69955664255883</v>
      </c>
      <c r="BJ21" s="69">
        <v>108.46446583911801</v>
      </c>
      <c r="BK21" s="69">
        <v>30.777961298712199</v>
      </c>
      <c r="BL21" s="69">
        <v>26.407150466096599</v>
      </c>
      <c r="BM21" s="69">
        <v>10.781087796332001</v>
      </c>
      <c r="BN21" s="69">
        <v>17.300055943977998</v>
      </c>
      <c r="BO21" s="69">
        <v>19.0331923887986</v>
      </c>
      <c r="BP21" s="69">
        <v>310.01081771837102</v>
      </c>
      <c r="BQ21" s="70">
        <v>0</v>
      </c>
      <c r="BR21" s="71">
        <v>33709.057285023599</v>
      </c>
      <c r="BS21" s="72">
        <v>22482.8913091588</v>
      </c>
      <c r="BT21" s="73">
        <v>0.27734484298958301</v>
      </c>
      <c r="BU21" s="73">
        <v>0</v>
      </c>
      <c r="BV21" s="73">
        <v>3239.2495625930901</v>
      </c>
      <c r="BW21" s="73">
        <v>205.25092147153799</v>
      </c>
      <c r="BX21" s="74">
        <v>1879.2735769099299</v>
      </c>
      <c r="BY21" s="71">
        <v>27806.942714976401</v>
      </c>
      <c r="BZ21" s="75">
        <v>61516</v>
      </c>
    </row>
    <row r="22" spans="1:78" ht="15" customHeight="1" x14ac:dyDescent="0.3">
      <c r="A22" s="19" t="s">
        <v>40</v>
      </c>
      <c r="B22" s="11" t="s">
        <v>108</v>
      </c>
      <c r="C22" s="68">
        <v>787.55590371856397</v>
      </c>
      <c r="D22" s="69">
        <v>265.057503305343</v>
      </c>
      <c r="E22" s="69">
        <v>35.060838809124498</v>
      </c>
      <c r="F22" s="69">
        <v>7.8643781394314596</v>
      </c>
      <c r="G22" s="69">
        <v>145.18010285637899</v>
      </c>
      <c r="H22" s="69">
        <v>369.97555577116202</v>
      </c>
      <c r="I22" s="69">
        <v>42.6349291601625</v>
      </c>
      <c r="J22" s="69">
        <v>6157.5763872992402</v>
      </c>
      <c r="K22" s="69">
        <v>41.182906085964703</v>
      </c>
      <c r="L22" s="69">
        <v>6780.1407218267104</v>
      </c>
      <c r="M22" s="69">
        <v>404.98969179484999</v>
      </c>
      <c r="N22" s="69">
        <v>1289.02468508996</v>
      </c>
      <c r="O22" s="69">
        <v>1060.71818888249</v>
      </c>
      <c r="P22" s="69">
        <v>480.582012174525</v>
      </c>
      <c r="Q22" s="69">
        <v>952.79801481976199</v>
      </c>
      <c r="R22" s="69">
        <v>2474.1308996173598</v>
      </c>
      <c r="S22" s="69">
        <v>24854.580956981001</v>
      </c>
      <c r="T22" s="69">
        <v>1676.89656473846</v>
      </c>
      <c r="U22" s="69">
        <v>239.897153338544</v>
      </c>
      <c r="V22" s="69">
        <v>143.03868148337</v>
      </c>
      <c r="W22" s="69">
        <v>205.40477216625899</v>
      </c>
      <c r="X22" s="69">
        <v>355.644197384157</v>
      </c>
      <c r="Y22" s="69">
        <v>2720.40442871914</v>
      </c>
      <c r="Z22" s="69">
        <v>1680.3194776498101</v>
      </c>
      <c r="AA22" s="69">
        <v>3905.4776657188499</v>
      </c>
      <c r="AB22" s="69">
        <v>3469.7313061731302</v>
      </c>
      <c r="AC22" s="69">
        <v>65.799722621458599</v>
      </c>
      <c r="AD22" s="69">
        <v>26.4663191439315</v>
      </c>
      <c r="AE22" s="69">
        <v>2194.0803337840198</v>
      </c>
      <c r="AF22" s="69">
        <v>1246.8813119208801</v>
      </c>
      <c r="AG22" s="69">
        <v>605.62819338808094</v>
      </c>
      <c r="AH22" s="69">
        <v>402.49414276518303</v>
      </c>
      <c r="AI22" s="69">
        <v>494.21260133511299</v>
      </c>
      <c r="AJ22" s="69">
        <v>1194.0134421888599</v>
      </c>
      <c r="AK22" s="69">
        <v>80.769520111215201</v>
      </c>
      <c r="AL22" s="69">
        <v>1613.30072418744</v>
      </c>
      <c r="AM22" s="69">
        <v>98.859693547604394</v>
      </c>
      <c r="AN22" s="69">
        <v>55.715092904058402</v>
      </c>
      <c r="AO22" s="69">
        <v>74.630723112523896</v>
      </c>
      <c r="AP22" s="69">
        <v>483.56499194235101</v>
      </c>
      <c r="AQ22" s="69">
        <v>9542.5857932265299</v>
      </c>
      <c r="AR22" s="69">
        <v>237.15589825693101</v>
      </c>
      <c r="AS22" s="69">
        <v>92.820398883778495</v>
      </c>
      <c r="AT22" s="69">
        <v>12.755818592881401</v>
      </c>
      <c r="AU22" s="69">
        <v>594.27898222247597</v>
      </c>
      <c r="AV22" s="69">
        <v>221.70622008745201</v>
      </c>
      <c r="AW22" s="69">
        <v>1639.8747532421401</v>
      </c>
      <c r="AX22" s="69">
        <v>789.33286409653795</v>
      </c>
      <c r="AY22" s="69">
        <v>136.04885725730099</v>
      </c>
      <c r="AZ22" s="69">
        <v>66.141524157488007</v>
      </c>
      <c r="BA22" s="69">
        <v>1010.02315108785</v>
      </c>
      <c r="BB22" s="69">
        <v>1475.4371617131501</v>
      </c>
      <c r="BC22" s="69">
        <v>287.79634005471701</v>
      </c>
      <c r="BD22" s="69">
        <v>1631.53333092917</v>
      </c>
      <c r="BE22" s="69">
        <v>405.19257033663098</v>
      </c>
      <c r="BF22" s="69">
        <v>831.82989009532503</v>
      </c>
      <c r="BG22" s="69">
        <v>579.23492674441104</v>
      </c>
      <c r="BH22" s="69">
        <v>2487.6107952826901</v>
      </c>
      <c r="BI22" s="69">
        <v>49.897517707932302</v>
      </c>
      <c r="BJ22" s="69">
        <v>1030.8713896100001</v>
      </c>
      <c r="BK22" s="69">
        <v>789.81438391139397</v>
      </c>
      <c r="BL22" s="69">
        <v>594.68761103100303</v>
      </c>
      <c r="BM22" s="69">
        <v>300.30624641306298</v>
      </c>
      <c r="BN22" s="69">
        <v>805.03458103520995</v>
      </c>
      <c r="BO22" s="69">
        <v>77.018917728557696</v>
      </c>
      <c r="BP22" s="69">
        <v>687.28078941263198</v>
      </c>
      <c r="BQ22" s="70">
        <v>0</v>
      </c>
      <c r="BR22" s="71">
        <v>95558.555449773703</v>
      </c>
      <c r="BS22" s="72">
        <v>47127.735820469898</v>
      </c>
      <c r="BT22" s="73">
        <v>2.7655370594492901</v>
      </c>
      <c r="BU22" s="73">
        <v>0</v>
      </c>
      <c r="BV22" s="73">
        <v>15371.9434455521</v>
      </c>
      <c r="BW22" s="73">
        <v>855.87233623580505</v>
      </c>
      <c r="BX22" s="74">
        <v>-1990.87258909095</v>
      </c>
      <c r="BY22" s="71">
        <v>61367.444550226297</v>
      </c>
      <c r="BZ22" s="75">
        <v>156926</v>
      </c>
    </row>
    <row r="23" spans="1:78" ht="15" customHeight="1" x14ac:dyDescent="0.3">
      <c r="A23" s="19" t="s">
        <v>41</v>
      </c>
      <c r="B23" s="11" t="s">
        <v>109</v>
      </c>
      <c r="C23" s="68">
        <v>23.3971722117188</v>
      </c>
      <c r="D23" s="69">
        <v>5.4853994567250899</v>
      </c>
      <c r="E23" s="69">
        <v>2.8520169371434401</v>
      </c>
      <c r="F23" s="69">
        <v>1.7127724298373701</v>
      </c>
      <c r="G23" s="69">
        <v>22.038418867111201</v>
      </c>
      <c r="H23" s="69">
        <v>36.322496593679602</v>
      </c>
      <c r="I23" s="69">
        <v>6.1313225683504804</v>
      </c>
      <c r="J23" s="69">
        <v>115.93170384125401</v>
      </c>
      <c r="K23" s="69">
        <v>25.761770591504199</v>
      </c>
      <c r="L23" s="69">
        <v>152.82524184861401</v>
      </c>
      <c r="M23" s="69">
        <v>256.965317022607</v>
      </c>
      <c r="N23" s="69">
        <v>6.9963398777126802</v>
      </c>
      <c r="O23" s="69">
        <v>20.835248090071499</v>
      </c>
      <c r="P23" s="69">
        <v>21.104758811128001</v>
      </c>
      <c r="Q23" s="69">
        <v>12.3818125893991</v>
      </c>
      <c r="R23" s="69">
        <v>47.878259575048197</v>
      </c>
      <c r="S23" s="69">
        <v>250.97613755952301</v>
      </c>
      <c r="T23" s="69">
        <v>900.03330210867296</v>
      </c>
      <c r="U23" s="69">
        <v>8.2184274063036895</v>
      </c>
      <c r="V23" s="69">
        <v>18.393724503384099</v>
      </c>
      <c r="W23" s="69">
        <v>17.007733346769101</v>
      </c>
      <c r="X23" s="69">
        <v>31.000560967462601</v>
      </c>
      <c r="Y23" s="69">
        <v>23.225300684038</v>
      </c>
      <c r="Z23" s="69">
        <v>23.5728894688441</v>
      </c>
      <c r="AA23" s="69">
        <v>113.450549868165</v>
      </c>
      <c r="AB23" s="69">
        <v>44.660218616819897</v>
      </c>
      <c r="AC23" s="69">
        <v>23.562037681917499</v>
      </c>
      <c r="AD23" s="69">
        <v>3.20279885316529</v>
      </c>
      <c r="AE23" s="69">
        <v>41.787843497567202</v>
      </c>
      <c r="AF23" s="69">
        <v>159.95076641741801</v>
      </c>
      <c r="AG23" s="69">
        <v>21.864468923063701</v>
      </c>
      <c r="AH23" s="69">
        <v>42.080017108925396</v>
      </c>
      <c r="AI23" s="69">
        <v>36.256706563575101</v>
      </c>
      <c r="AJ23" s="69">
        <v>36.314458588795503</v>
      </c>
      <c r="AK23" s="69">
        <v>6.3261618420877097</v>
      </c>
      <c r="AL23" s="69">
        <v>49.272988861303197</v>
      </c>
      <c r="AM23" s="69">
        <v>12.2224770214545</v>
      </c>
      <c r="AN23" s="69">
        <v>25.0634527222096</v>
      </c>
      <c r="AO23" s="69">
        <v>18.317507697483101</v>
      </c>
      <c r="AP23" s="69">
        <v>151.85907108525799</v>
      </c>
      <c r="AQ23" s="69">
        <v>6909.5777068058296</v>
      </c>
      <c r="AR23" s="69">
        <v>47.809483856734502</v>
      </c>
      <c r="AS23" s="69">
        <v>2.9814052236593098</v>
      </c>
      <c r="AT23" s="69">
        <v>19.009657213762001</v>
      </c>
      <c r="AU23" s="69">
        <v>76.383796895011898</v>
      </c>
      <c r="AV23" s="69">
        <v>10.5442353281615</v>
      </c>
      <c r="AW23" s="69">
        <v>81.935002770757393</v>
      </c>
      <c r="AX23" s="69">
        <v>826.05920259809602</v>
      </c>
      <c r="AY23" s="69">
        <v>171.324959736849</v>
      </c>
      <c r="AZ23" s="69">
        <v>458.10447614288802</v>
      </c>
      <c r="BA23" s="69">
        <v>623.63635598360895</v>
      </c>
      <c r="BB23" s="69">
        <v>1154.9313402159901</v>
      </c>
      <c r="BC23" s="69">
        <v>231.77878103100099</v>
      </c>
      <c r="BD23" s="69">
        <v>441.17431242152401</v>
      </c>
      <c r="BE23" s="69">
        <v>201.638505881323</v>
      </c>
      <c r="BF23" s="69">
        <v>3156.0783602083402</v>
      </c>
      <c r="BG23" s="69">
        <v>56.96693606665</v>
      </c>
      <c r="BH23" s="69">
        <v>1228.1942369594999</v>
      </c>
      <c r="BI23" s="69">
        <v>3.3545645276853699</v>
      </c>
      <c r="BJ23" s="69">
        <v>1049.97975335301</v>
      </c>
      <c r="BK23" s="69">
        <v>225.333297936528</v>
      </c>
      <c r="BL23" s="69">
        <v>45.256412852748603</v>
      </c>
      <c r="BM23" s="69">
        <v>133.16428270957701</v>
      </c>
      <c r="BN23" s="69">
        <v>97.962480921810794</v>
      </c>
      <c r="BO23" s="69">
        <v>246.54206174333899</v>
      </c>
      <c r="BP23" s="69">
        <v>278.21790075634999</v>
      </c>
      <c r="BQ23" s="70">
        <v>0</v>
      </c>
      <c r="BR23" s="71">
        <v>20595.179162846802</v>
      </c>
      <c r="BS23" s="72">
        <v>356.17488858309002</v>
      </c>
      <c r="BT23" s="73">
        <v>0.52538263569583898</v>
      </c>
      <c r="BU23" s="73">
        <v>0</v>
      </c>
      <c r="BV23" s="73">
        <v>1273.9852805473899</v>
      </c>
      <c r="BW23" s="73">
        <v>75.0556300459303</v>
      </c>
      <c r="BX23" s="74">
        <v>31.079655341052401</v>
      </c>
      <c r="BY23" s="71">
        <v>1736.82083715315</v>
      </c>
      <c r="BZ23" s="75">
        <v>22332</v>
      </c>
    </row>
    <row r="24" spans="1:78" ht="15" customHeight="1" x14ac:dyDescent="0.3">
      <c r="A24" s="19" t="s">
        <v>42</v>
      </c>
      <c r="B24" s="11" t="s">
        <v>110</v>
      </c>
      <c r="C24" s="68">
        <v>18722.1182293067</v>
      </c>
      <c r="D24" s="69">
        <v>6373.5912683776896</v>
      </c>
      <c r="E24" s="69">
        <v>1074.0841278355799</v>
      </c>
      <c r="F24" s="69">
        <v>2189.82290677324</v>
      </c>
      <c r="G24" s="69">
        <v>3994.4382409874001</v>
      </c>
      <c r="H24" s="69">
        <v>14504.577140469701</v>
      </c>
      <c r="I24" s="69">
        <v>1990.1647166992</v>
      </c>
      <c r="J24" s="69">
        <v>5853.0640333599404</v>
      </c>
      <c r="K24" s="69">
        <v>2886.4465050992499</v>
      </c>
      <c r="L24" s="69">
        <v>6501.5153431592898</v>
      </c>
      <c r="M24" s="69">
        <v>1260.6516358290901</v>
      </c>
      <c r="N24" s="69">
        <v>43.8391616382808</v>
      </c>
      <c r="O24" s="69">
        <v>402.50558234997197</v>
      </c>
      <c r="P24" s="69">
        <v>161.94234835490499</v>
      </c>
      <c r="Q24" s="69">
        <v>247.87962873458</v>
      </c>
      <c r="R24" s="69">
        <v>561.19374254524496</v>
      </c>
      <c r="S24" s="69">
        <v>3837.14656739877</v>
      </c>
      <c r="T24" s="69">
        <v>46.458179514356402</v>
      </c>
      <c r="U24" s="69">
        <v>189868.02394859199</v>
      </c>
      <c r="V24" s="69">
        <v>2988.7480429012098</v>
      </c>
      <c r="W24" s="69">
        <v>18064.887482642302</v>
      </c>
      <c r="X24" s="69">
        <v>1700.5489607971199</v>
      </c>
      <c r="Y24" s="69">
        <v>707.34824555682906</v>
      </c>
      <c r="Z24" s="69">
        <v>324.59080542324801</v>
      </c>
      <c r="AA24" s="69">
        <v>2867.6194044786698</v>
      </c>
      <c r="AB24" s="69">
        <v>5615.3784080041696</v>
      </c>
      <c r="AC24" s="69">
        <v>4717.2199991076104</v>
      </c>
      <c r="AD24" s="69">
        <v>4057.0830405997499</v>
      </c>
      <c r="AE24" s="69">
        <v>723.12817699785796</v>
      </c>
      <c r="AF24" s="69">
        <v>310.15587168518903</v>
      </c>
      <c r="AG24" s="69">
        <v>1037.90904568726</v>
      </c>
      <c r="AH24" s="69">
        <v>907.35226107367805</v>
      </c>
      <c r="AI24" s="69">
        <v>1168.99628083944</v>
      </c>
      <c r="AJ24" s="69">
        <v>563.10782841759101</v>
      </c>
      <c r="AK24" s="69">
        <v>142.63485742741199</v>
      </c>
      <c r="AL24" s="69">
        <v>497.59510106228299</v>
      </c>
      <c r="AM24" s="69">
        <v>522.21266875799597</v>
      </c>
      <c r="AN24" s="69">
        <v>7718.3064270042696</v>
      </c>
      <c r="AO24" s="69">
        <v>1807.1813146081399</v>
      </c>
      <c r="AP24" s="69">
        <v>8394.6060928980096</v>
      </c>
      <c r="AQ24" s="69">
        <v>26340.5645655095</v>
      </c>
      <c r="AR24" s="69">
        <v>109744.706573006</v>
      </c>
      <c r="AS24" s="69">
        <v>2956.7433913561299</v>
      </c>
      <c r="AT24" s="69">
        <v>6452.8764954083999</v>
      </c>
      <c r="AU24" s="69">
        <v>3541.2275472772399</v>
      </c>
      <c r="AV24" s="69">
        <v>110.346616157216</v>
      </c>
      <c r="AW24" s="69">
        <v>1774.05403063738</v>
      </c>
      <c r="AX24" s="69">
        <v>22.513227469647799</v>
      </c>
      <c r="AY24" s="69">
        <v>82.966907266746603</v>
      </c>
      <c r="AZ24" s="69">
        <v>129.237890986656</v>
      </c>
      <c r="BA24" s="69">
        <v>275.92966925486502</v>
      </c>
      <c r="BB24" s="69">
        <v>763.33760554006199</v>
      </c>
      <c r="BC24" s="69">
        <v>104.374429604006</v>
      </c>
      <c r="BD24" s="69">
        <v>847.29575309621998</v>
      </c>
      <c r="BE24" s="69">
        <v>586.29459250832394</v>
      </c>
      <c r="BF24" s="69">
        <v>194.05291570401499</v>
      </c>
      <c r="BG24" s="69">
        <v>904.45033841100803</v>
      </c>
      <c r="BH24" s="69">
        <v>669.192666715786</v>
      </c>
      <c r="BI24" s="69">
        <v>550.78916014271397</v>
      </c>
      <c r="BJ24" s="69">
        <v>3375.6882125433399</v>
      </c>
      <c r="BK24" s="69">
        <v>439.91886229172798</v>
      </c>
      <c r="BL24" s="69">
        <v>176.92560439570701</v>
      </c>
      <c r="BM24" s="69">
        <v>222.45884105168699</v>
      </c>
      <c r="BN24" s="69">
        <v>342.221499060746</v>
      </c>
      <c r="BO24" s="69">
        <v>143.899700021711</v>
      </c>
      <c r="BP24" s="69">
        <v>745.32606254013206</v>
      </c>
      <c r="BQ24" s="70">
        <v>0</v>
      </c>
      <c r="BR24" s="71">
        <v>486853.466780952</v>
      </c>
      <c r="BS24" s="72">
        <v>39391.284955150397</v>
      </c>
      <c r="BT24" s="73">
        <v>4.3128425318315101E-2</v>
      </c>
      <c r="BU24" s="73">
        <v>0</v>
      </c>
      <c r="BV24" s="73">
        <v>151013.74194806599</v>
      </c>
      <c r="BW24" s="73">
        <v>3.7695779823259001</v>
      </c>
      <c r="BX24" s="74">
        <v>1056.6936094237701</v>
      </c>
      <c r="BY24" s="71">
        <v>191465.533219048</v>
      </c>
      <c r="BZ24" s="75">
        <v>678319</v>
      </c>
    </row>
    <row r="25" spans="1:78" ht="15" customHeight="1" x14ac:dyDescent="0.3">
      <c r="A25" s="19" t="s">
        <v>43</v>
      </c>
      <c r="B25" s="11" t="s">
        <v>111</v>
      </c>
      <c r="C25" s="68">
        <v>184.057310883067</v>
      </c>
      <c r="D25" s="69">
        <v>319.53332957526698</v>
      </c>
      <c r="E25" s="69">
        <v>7.3156742281723597</v>
      </c>
      <c r="F25" s="69">
        <v>7.6788755983323904</v>
      </c>
      <c r="G25" s="69">
        <v>1066.8747279690799</v>
      </c>
      <c r="H25" s="69">
        <v>10.2366317738935</v>
      </c>
      <c r="I25" s="69">
        <v>4.3916255863275699</v>
      </c>
      <c r="J25" s="69">
        <v>1066.02266392807</v>
      </c>
      <c r="K25" s="69">
        <v>552.32060271563603</v>
      </c>
      <c r="L25" s="69">
        <v>2432.9490612090199</v>
      </c>
      <c r="M25" s="69">
        <v>348.20370094939301</v>
      </c>
      <c r="N25" s="69">
        <v>0.280158664683759</v>
      </c>
      <c r="O25" s="69">
        <v>2.71226303440897</v>
      </c>
      <c r="P25" s="69">
        <v>2.2216609864040202</v>
      </c>
      <c r="Q25" s="69">
        <v>1.3515198171332501</v>
      </c>
      <c r="R25" s="69">
        <v>136.27441555431099</v>
      </c>
      <c r="S25" s="69">
        <v>40.065205640175002</v>
      </c>
      <c r="T25" s="69">
        <v>0.93985495982812695</v>
      </c>
      <c r="U25" s="69">
        <v>40419.301651072899</v>
      </c>
      <c r="V25" s="69">
        <v>1909.7876213575701</v>
      </c>
      <c r="W25" s="69">
        <v>579.20219471665803</v>
      </c>
      <c r="X25" s="69">
        <v>631.69319283305197</v>
      </c>
      <c r="Y25" s="69">
        <v>2599.5962744876001</v>
      </c>
      <c r="Z25" s="69">
        <v>1183.2643335479199</v>
      </c>
      <c r="AA25" s="69">
        <v>6.31102403167802</v>
      </c>
      <c r="AB25" s="69">
        <v>6.4729858997327696</v>
      </c>
      <c r="AC25" s="69">
        <v>10.1511672936295</v>
      </c>
      <c r="AD25" s="69">
        <v>4.3168354402595401</v>
      </c>
      <c r="AE25" s="69">
        <v>66.443917184417003</v>
      </c>
      <c r="AF25" s="69">
        <v>2.53599824435548</v>
      </c>
      <c r="AG25" s="69">
        <v>8.2829561994981002</v>
      </c>
      <c r="AH25" s="69">
        <v>23.422609760387701</v>
      </c>
      <c r="AI25" s="69">
        <v>26.797617565647499</v>
      </c>
      <c r="AJ25" s="69">
        <v>6.2402892980243001</v>
      </c>
      <c r="AK25" s="69">
        <v>2.16273839809404</v>
      </c>
      <c r="AL25" s="69">
        <v>10.2013753680005</v>
      </c>
      <c r="AM25" s="69">
        <v>12.204945039845001</v>
      </c>
      <c r="AN25" s="69">
        <v>17.238261437353302</v>
      </c>
      <c r="AO25" s="69">
        <v>92.557254912057203</v>
      </c>
      <c r="AP25" s="69">
        <v>627.52117299650001</v>
      </c>
      <c r="AQ25" s="69">
        <v>2048.9700064768099</v>
      </c>
      <c r="AR25" s="69">
        <v>1259.60107994448</v>
      </c>
      <c r="AS25" s="69">
        <v>22.650889158803</v>
      </c>
      <c r="AT25" s="69">
        <v>42.082669307640998</v>
      </c>
      <c r="AU25" s="69">
        <v>131.18340009619899</v>
      </c>
      <c r="AV25" s="69">
        <v>34.486961031507803</v>
      </c>
      <c r="AW25" s="69">
        <v>521.55264848294701</v>
      </c>
      <c r="AX25" s="69">
        <v>14.9266676594945</v>
      </c>
      <c r="AY25" s="69">
        <v>28.8440703294449</v>
      </c>
      <c r="AZ25" s="69">
        <v>63.948910279570001</v>
      </c>
      <c r="BA25" s="69">
        <v>114.385899111261</v>
      </c>
      <c r="BB25" s="69">
        <v>191.19375882978099</v>
      </c>
      <c r="BC25" s="69">
        <v>56.082022215265098</v>
      </c>
      <c r="BD25" s="69">
        <v>218.530927381412</v>
      </c>
      <c r="BE25" s="69">
        <v>271.11478994574799</v>
      </c>
      <c r="BF25" s="69">
        <v>95.731809614039406</v>
      </c>
      <c r="BG25" s="69">
        <v>262.87395513848702</v>
      </c>
      <c r="BH25" s="69">
        <v>294.17238003006503</v>
      </c>
      <c r="BI25" s="69">
        <v>129.328948774612</v>
      </c>
      <c r="BJ25" s="69">
        <v>881.73368642306104</v>
      </c>
      <c r="BK25" s="69">
        <v>116.489678488275</v>
      </c>
      <c r="BL25" s="69">
        <v>17.6148426459673</v>
      </c>
      <c r="BM25" s="69">
        <v>83.250388613727694</v>
      </c>
      <c r="BN25" s="69">
        <v>146.78594239627</v>
      </c>
      <c r="BO25" s="69">
        <v>59.757766671774299</v>
      </c>
      <c r="BP25" s="69">
        <v>273.16024087601897</v>
      </c>
      <c r="BQ25" s="70">
        <v>0</v>
      </c>
      <c r="BR25" s="71">
        <v>61809.590040080999</v>
      </c>
      <c r="BS25" s="72">
        <v>12216.6935828512</v>
      </c>
      <c r="BT25" s="73">
        <v>0.72602839985457801</v>
      </c>
      <c r="BU25" s="73">
        <v>0</v>
      </c>
      <c r="BV25" s="73">
        <v>32196.229852808901</v>
      </c>
      <c r="BW25" s="73">
        <v>74.7561679004138</v>
      </c>
      <c r="BX25" s="74">
        <v>-569.99567204144296</v>
      </c>
      <c r="BY25" s="71">
        <v>43918.409959918899</v>
      </c>
      <c r="BZ25" s="75">
        <v>105728</v>
      </c>
    </row>
    <row r="26" spans="1:78" ht="15" customHeight="1" x14ac:dyDescent="0.3">
      <c r="A26" s="19" t="s">
        <v>44</v>
      </c>
      <c r="B26" s="32" t="s">
        <v>112</v>
      </c>
      <c r="C26" s="68">
        <v>102547.163781535</v>
      </c>
      <c r="D26" s="69">
        <v>10721.6469198701</v>
      </c>
      <c r="E26" s="69">
        <v>711.21630478626003</v>
      </c>
      <c r="F26" s="69">
        <v>352.630640744875</v>
      </c>
      <c r="G26" s="69">
        <v>4880.58021475439</v>
      </c>
      <c r="H26" s="69">
        <v>558.23287997026603</v>
      </c>
      <c r="I26" s="69">
        <v>172.11213590487799</v>
      </c>
      <c r="J26" s="69">
        <v>583.60753206322295</v>
      </c>
      <c r="K26" s="69">
        <v>547.70086587766798</v>
      </c>
      <c r="L26" s="69">
        <v>1345.7391082142601</v>
      </c>
      <c r="M26" s="69">
        <v>168.315737991963</v>
      </c>
      <c r="N26" s="69">
        <v>37.632726323701696</v>
      </c>
      <c r="O26" s="69">
        <v>5428.5829423301402</v>
      </c>
      <c r="P26" s="69">
        <v>151.608023467202</v>
      </c>
      <c r="Q26" s="69">
        <v>1627.4693872611599</v>
      </c>
      <c r="R26" s="69">
        <v>1941.52271973963</v>
      </c>
      <c r="S26" s="69">
        <v>8593.5266181970201</v>
      </c>
      <c r="T26" s="69">
        <v>92.439727445021305</v>
      </c>
      <c r="U26" s="69">
        <v>3382.7664737875398</v>
      </c>
      <c r="V26" s="69">
        <v>3010.8886835923699</v>
      </c>
      <c r="W26" s="69">
        <v>67286.526614557893</v>
      </c>
      <c r="X26" s="69">
        <v>20617.917851445702</v>
      </c>
      <c r="Y26" s="69">
        <v>4806.0230766431596</v>
      </c>
      <c r="Z26" s="69">
        <v>1792.0417452772799</v>
      </c>
      <c r="AA26" s="69">
        <v>34577.0646244374</v>
      </c>
      <c r="AB26" s="69">
        <v>4685.3625537063399</v>
      </c>
      <c r="AC26" s="69">
        <v>2165.4674551983799</v>
      </c>
      <c r="AD26" s="69">
        <v>1730.5873875489599</v>
      </c>
      <c r="AE26" s="69">
        <v>2547.5085402438599</v>
      </c>
      <c r="AF26" s="69">
        <v>279.67347674212601</v>
      </c>
      <c r="AG26" s="69">
        <v>4201.9157862582297</v>
      </c>
      <c r="AH26" s="69">
        <v>379.77595010821</v>
      </c>
      <c r="AI26" s="69">
        <v>219.749841560199</v>
      </c>
      <c r="AJ26" s="69">
        <v>1903.7777993368099</v>
      </c>
      <c r="AK26" s="69">
        <v>405.48436423398903</v>
      </c>
      <c r="AL26" s="69">
        <v>3172.2525694385999</v>
      </c>
      <c r="AM26" s="69">
        <v>304.86351262880402</v>
      </c>
      <c r="AN26" s="69">
        <v>176.65282159554801</v>
      </c>
      <c r="AO26" s="69">
        <v>1242.9715768210301</v>
      </c>
      <c r="AP26" s="69">
        <v>514.11545993403399</v>
      </c>
      <c r="AQ26" s="69">
        <v>1744.2281397756601</v>
      </c>
      <c r="AR26" s="69">
        <v>190.90262897977499</v>
      </c>
      <c r="AS26" s="69">
        <v>5.6103272063521299</v>
      </c>
      <c r="AT26" s="69">
        <v>8.2768058252723193</v>
      </c>
      <c r="AU26" s="69">
        <v>80.777953204090906</v>
      </c>
      <c r="AV26" s="69">
        <v>24.477511680456701</v>
      </c>
      <c r="AW26" s="69">
        <v>150.624982947924</v>
      </c>
      <c r="AX26" s="69">
        <v>6.56247850284677</v>
      </c>
      <c r="AY26" s="69">
        <v>15.1580118027191</v>
      </c>
      <c r="AZ26" s="69">
        <v>40.572114961457302</v>
      </c>
      <c r="BA26" s="69">
        <v>51.8646353166192</v>
      </c>
      <c r="BB26" s="69">
        <v>88.349693153063797</v>
      </c>
      <c r="BC26" s="69">
        <v>67.497490165806695</v>
      </c>
      <c r="BD26" s="69">
        <v>100.61202533005201</v>
      </c>
      <c r="BE26" s="69">
        <v>68.853311735981507</v>
      </c>
      <c r="BF26" s="69">
        <v>46.763119687660797</v>
      </c>
      <c r="BG26" s="69">
        <v>32.325646144558299</v>
      </c>
      <c r="BH26" s="69">
        <v>244.53176360749401</v>
      </c>
      <c r="BI26" s="69">
        <v>6.7008042315811203</v>
      </c>
      <c r="BJ26" s="69">
        <v>110.148920901008</v>
      </c>
      <c r="BK26" s="69">
        <v>94.531120699291506</v>
      </c>
      <c r="BL26" s="69">
        <v>96.198209501355095</v>
      </c>
      <c r="BM26" s="69">
        <v>704.37697620670701</v>
      </c>
      <c r="BN26" s="69">
        <v>885.14540128407396</v>
      </c>
      <c r="BO26" s="69">
        <v>71.901584456026598</v>
      </c>
      <c r="BP26" s="69">
        <v>389.41908680053803</v>
      </c>
      <c r="BQ26" s="70">
        <v>0</v>
      </c>
      <c r="BR26" s="71">
        <v>305191.52717568103</v>
      </c>
      <c r="BS26" s="72">
        <v>36338.826344544199</v>
      </c>
      <c r="BT26" s="73">
        <v>9.54545655949698</v>
      </c>
      <c r="BU26" s="73">
        <v>0</v>
      </c>
      <c r="BV26" s="73">
        <v>4757.59438258309</v>
      </c>
      <c r="BW26" s="73">
        <v>827.16277651070698</v>
      </c>
      <c r="BX26" s="74">
        <v>6031.3438641212397</v>
      </c>
      <c r="BY26" s="71">
        <v>47964.472824318698</v>
      </c>
      <c r="BZ26" s="75">
        <v>353156</v>
      </c>
    </row>
    <row r="27" spans="1:78" ht="15" customHeight="1" x14ac:dyDescent="0.3">
      <c r="A27" s="19" t="s">
        <v>45</v>
      </c>
      <c r="B27" s="11" t="s">
        <v>113</v>
      </c>
      <c r="C27" s="68">
        <v>39880.399119594302</v>
      </c>
      <c r="D27" s="69">
        <v>4589.9816666686102</v>
      </c>
      <c r="E27" s="69">
        <v>122.950369800199</v>
      </c>
      <c r="F27" s="69">
        <v>2357.4315890947601</v>
      </c>
      <c r="G27" s="69">
        <v>538.37965987458404</v>
      </c>
      <c r="H27" s="69">
        <v>666.84383127146396</v>
      </c>
      <c r="I27" s="69">
        <v>171.970951044218</v>
      </c>
      <c r="J27" s="69">
        <v>1312.15757393576</v>
      </c>
      <c r="K27" s="69">
        <v>102.355465671171</v>
      </c>
      <c r="L27" s="69">
        <v>3221.76037115693</v>
      </c>
      <c r="M27" s="69">
        <v>186.01107669778901</v>
      </c>
      <c r="N27" s="69">
        <v>8.1283785296484208</v>
      </c>
      <c r="O27" s="69">
        <v>388.67860572588199</v>
      </c>
      <c r="P27" s="69">
        <v>60.856602206177698</v>
      </c>
      <c r="Q27" s="69">
        <v>218.9458779087</v>
      </c>
      <c r="R27" s="69">
        <v>1507.85587973105</v>
      </c>
      <c r="S27" s="69">
        <v>2682.8169049492699</v>
      </c>
      <c r="T27" s="69">
        <v>949.99781271889901</v>
      </c>
      <c r="U27" s="69">
        <v>808.35901992748097</v>
      </c>
      <c r="V27" s="69">
        <v>460.765444606541</v>
      </c>
      <c r="W27" s="69">
        <v>3545.3348316031502</v>
      </c>
      <c r="X27" s="69">
        <v>12782.716839076</v>
      </c>
      <c r="Y27" s="69">
        <v>1975.2170845481101</v>
      </c>
      <c r="Z27" s="69">
        <v>1074.69915992854</v>
      </c>
      <c r="AA27" s="69">
        <v>4366.4278039602696</v>
      </c>
      <c r="AB27" s="69">
        <v>1785.44649104276</v>
      </c>
      <c r="AC27" s="69">
        <v>570.36154565555205</v>
      </c>
      <c r="AD27" s="69">
        <v>122.00714460997</v>
      </c>
      <c r="AE27" s="69">
        <v>946.52613024073298</v>
      </c>
      <c r="AF27" s="69">
        <v>289.89069113511698</v>
      </c>
      <c r="AG27" s="69">
        <v>304.927174676866</v>
      </c>
      <c r="AH27" s="69">
        <v>267.54493955488198</v>
      </c>
      <c r="AI27" s="69">
        <v>666.96130262602003</v>
      </c>
      <c r="AJ27" s="69">
        <v>328.29132411386502</v>
      </c>
      <c r="AK27" s="69">
        <v>134.25986930934999</v>
      </c>
      <c r="AL27" s="69">
        <v>940.69506108665996</v>
      </c>
      <c r="AM27" s="69">
        <v>920.40366595978003</v>
      </c>
      <c r="AN27" s="69">
        <v>217.382413422578</v>
      </c>
      <c r="AO27" s="69">
        <v>706.16719721411096</v>
      </c>
      <c r="AP27" s="69">
        <v>11345.7386458377</v>
      </c>
      <c r="AQ27" s="69">
        <v>3616.32527467523</v>
      </c>
      <c r="AR27" s="69">
        <v>337.088675615765</v>
      </c>
      <c r="AS27" s="69">
        <v>2.6207848645054401</v>
      </c>
      <c r="AT27" s="69">
        <v>2.3387415829332001</v>
      </c>
      <c r="AU27" s="69">
        <v>84.318621796666804</v>
      </c>
      <c r="AV27" s="69">
        <v>44.008871914371099</v>
      </c>
      <c r="AW27" s="69">
        <v>79.510800778858496</v>
      </c>
      <c r="AX27" s="69">
        <v>96.540672436514996</v>
      </c>
      <c r="AY27" s="69">
        <v>241.42377124436399</v>
      </c>
      <c r="AZ27" s="69">
        <v>22.809774565062401</v>
      </c>
      <c r="BA27" s="69">
        <v>29.3150401033059</v>
      </c>
      <c r="BB27" s="69">
        <v>66.845063073373097</v>
      </c>
      <c r="BC27" s="69">
        <v>1592.59576104085</v>
      </c>
      <c r="BD27" s="69">
        <v>45.329199343386897</v>
      </c>
      <c r="BE27" s="69">
        <v>55.038373298544499</v>
      </c>
      <c r="BF27" s="69">
        <v>42.174767938556798</v>
      </c>
      <c r="BG27" s="69">
        <v>27.626353345717501</v>
      </c>
      <c r="BH27" s="69">
        <v>2317.8269917359598</v>
      </c>
      <c r="BI27" s="69">
        <v>3.7716342462136399</v>
      </c>
      <c r="BJ27" s="69">
        <v>335.73773492342099</v>
      </c>
      <c r="BK27" s="69">
        <v>320.09501747165598</v>
      </c>
      <c r="BL27" s="69">
        <v>45.485957879862902</v>
      </c>
      <c r="BM27" s="69">
        <v>1234.6368860269399</v>
      </c>
      <c r="BN27" s="69">
        <v>106.418695149184</v>
      </c>
      <c r="BO27" s="69">
        <v>39.438424069974701</v>
      </c>
      <c r="BP27" s="69">
        <v>165.88143664318301</v>
      </c>
      <c r="BQ27" s="70">
        <v>0</v>
      </c>
      <c r="BR27" s="71">
        <v>114482.84884248</v>
      </c>
      <c r="BS27" s="72">
        <v>12979.892219118699</v>
      </c>
      <c r="BT27" s="73">
        <v>12.547415399733399</v>
      </c>
      <c r="BU27" s="73">
        <v>0</v>
      </c>
      <c r="BV27" s="73">
        <v>3438.76803330956</v>
      </c>
      <c r="BW27" s="73">
        <v>1299.77064063905</v>
      </c>
      <c r="BX27" s="74">
        <v>5883.1728490531495</v>
      </c>
      <c r="BY27" s="71">
        <v>23614.151157520198</v>
      </c>
      <c r="BZ27" s="75">
        <v>138097</v>
      </c>
    </row>
    <row r="28" spans="1:78" ht="15" customHeight="1" x14ac:dyDescent="0.3">
      <c r="A28" s="33" t="s">
        <v>46</v>
      </c>
      <c r="B28" s="11" t="s">
        <v>114</v>
      </c>
      <c r="C28" s="68">
        <v>949.35584536354804</v>
      </c>
      <c r="D28" s="69">
        <v>163.201561408488</v>
      </c>
      <c r="E28" s="69">
        <v>3.82344642387881</v>
      </c>
      <c r="F28" s="69">
        <v>64.827454341334402</v>
      </c>
      <c r="G28" s="69">
        <v>173.896155150445</v>
      </c>
      <c r="H28" s="69">
        <v>223.27246971538</v>
      </c>
      <c r="I28" s="69">
        <v>24.685861255116301</v>
      </c>
      <c r="J28" s="69">
        <v>180.47776963736101</v>
      </c>
      <c r="K28" s="69">
        <v>35.824863816969298</v>
      </c>
      <c r="L28" s="69">
        <v>341.10386703625397</v>
      </c>
      <c r="M28" s="69">
        <v>55.762086890998901</v>
      </c>
      <c r="N28" s="69">
        <v>6.6961274719462596</v>
      </c>
      <c r="O28" s="69">
        <v>114.245083395447</v>
      </c>
      <c r="P28" s="69">
        <v>51.779042966787202</v>
      </c>
      <c r="Q28" s="69">
        <v>37.2588608175774</v>
      </c>
      <c r="R28" s="69">
        <v>97.104356882667801</v>
      </c>
      <c r="S28" s="69">
        <v>261.09335385281997</v>
      </c>
      <c r="T28" s="69">
        <v>37.027304118501696</v>
      </c>
      <c r="U28" s="69">
        <v>358.91739874099397</v>
      </c>
      <c r="V28" s="69">
        <v>88.517744027727005</v>
      </c>
      <c r="W28" s="69">
        <v>1060.67749838788</v>
      </c>
      <c r="X28" s="69">
        <v>810.218464703123</v>
      </c>
      <c r="Y28" s="69">
        <v>1419.9892374005501</v>
      </c>
      <c r="Z28" s="69">
        <v>88.572169207220995</v>
      </c>
      <c r="AA28" s="69">
        <v>383.82242246955798</v>
      </c>
      <c r="AB28" s="69">
        <v>159.95723369748501</v>
      </c>
      <c r="AC28" s="69">
        <v>70.3718490387364</v>
      </c>
      <c r="AD28" s="69">
        <v>82.142947005697195</v>
      </c>
      <c r="AE28" s="69">
        <v>672.80527178164198</v>
      </c>
      <c r="AF28" s="69">
        <v>45.920165644419903</v>
      </c>
      <c r="AG28" s="69">
        <v>59.452579641434802</v>
      </c>
      <c r="AH28" s="69">
        <v>73.996662588436706</v>
      </c>
      <c r="AI28" s="69">
        <v>54.088447894571999</v>
      </c>
      <c r="AJ28" s="69">
        <v>64.047029197614606</v>
      </c>
      <c r="AK28" s="69">
        <v>11.6554872400009</v>
      </c>
      <c r="AL28" s="69">
        <v>71.331592607561305</v>
      </c>
      <c r="AM28" s="69">
        <v>30.531129576138799</v>
      </c>
      <c r="AN28" s="69">
        <v>25.443079912532198</v>
      </c>
      <c r="AO28" s="69">
        <v>98.881514160300796</v>
      </c>
      <c r="AP28" s="69">
        <v>346.07984877365402</v>
      </c>
      <c r="AQ28" s="69">
        <v>2669.0428933059502</v>
      </c>
      <c r="AR28" s="69">
        <v>324.5059186542</v>
      </c>
      <c r="AS28" s="69">
        <v>14.0433036227183</v>
      </c>
      <c r="AT28" s="69">
        <v>0.55315021123950003</v>
      </c>
      <c r="AU28" s="69">
        <v>176.833992628267</v>
      </c>
      <c r="AV28" s="69">
        <v>81.230472137201701</v>
      </c>
      <c r="AW28" s="69">
        <v>96.219676780862201</v>
      </c>
      <c r="AX28" s="69">
        <v>19.996286734409399</v>
      </c>
      <c r="AY28" s="69">
        <v>51.095936275969997</v>
      </c>
      <c r="AZ28" s="69">
        <v>108.506478903299</v>
      </c>
      <c r="BA28" s="69">
        <v>26.9078727487802</v>
      </c>
      <c r="BB28" s="69">
        <v>49.390686263830297</v>
      </c>
      <c r="BC28" s="69">
        <v>29.7646084603501</v>
      </c>
      <c r="BD28" s="69">
        <v>292.68881966577197</v>
      </c>
      <c r="BE28" s="69">
        <v>120.102110765468</v>
      </c>
      <c r="BF28" s="69">
        <v>273.49700915416798</v>
      </c>
      <c r="BG28" s="69">
        <v>120.62105266425399</v>
      </c>
      <c r="BH28" s="69">
        <v>2063.09123918562</v>
      </c>
      <c r="BI28" s="69">
        <v>2.4257134318534299</v>
      </c>
      <c r="BJ28" s="69">
        <v>310.79795004557201</v>
      </c>
      <c r="BK28" s="69">
        <v>216.710029495068</v>
      </c>
      <c r="BL28" s="69">
        <v>209.98652412817901</v>
      </c>
      <c r="BM28" s="69">
        <v>206.43749541152499</v>
      </c>
      <c r="BN28" s="69">
        <v>984.38305587155298</v>
      </c>
      <c r="BO28" s="69">
        <v>200.556362135076</v>
      </c>
      <c r="BP28" s="69">
        <v>1115.8729797291501</v>
      </c>
      <c r="BQ28" s="70">
        <v>0</v>
      </c>
      <c r="BR28" s="71">
        <v>18664.116902653099</v>
      </c>
      <c r="BS28" s="72">
        <v>7285.9697875281299</v>
      </c>
      <c r="BT28" s="73">
        <v>5.6969581972031298</v>
      </c>
      <c r="BU28" s="73">
        <v>0</v>
      </c>
      <c r="BV28" s="73">
        <v>37042.323714866397</v>
      </c>
      <c r="BW28" s="73">
        <v>534.73100107283801</v>
      </c>
      <c r="BX28" s="74">
        <v>4339.1616356822296</v>
      </c>
      <c r="BY28" s="71">
        <v>49207.883097346799</v>
      </c>
      <c r="BZ28" s="75">
        <v>67872</v>
      </c>
    </row>
    <row r="29" spans="1:78" ht="15" customHeight="1" x14ac:dyDescent="0.3">
      <c r="A29" s="33" t="s">
        <v>47</v>
      </c>
      <c r="B29" s="11" t="s">
        <v>115</v>
      </c>
      <c r="C29" s="68">
        <v>686.59220260417703</v>
      </c>
      <c r="D29" s="69">
        <v>3785.3404992249002</v>
      </c>
      <c r="E29" s="69">
        <v>28.1830325417125</v>
      </c>
      <c r="F29" s="69">
        <v>8.4978226675758606</v>
      </c>
      <c r="G29" s="69">
        <v>106.273685370691</v>
      </c>
      <c r="H29" s="69">
        <v>22.4440201937349</v>
      </c>
      <c r="I29" s="69">
        <v>2.2164918794816399</v>
      </c>
      <c r="J29" s="69">
        <v>153.67931886716099</v>
      </c>
      <c r="K29" s="69">
        <v>3.3118499389022</v>
      </c>
      <c r="L29" s="69">
        <v>441.82465355192198</v>
      </c>
      <c r="M29" s="69">
        <v>13.0962032398609</v>
      </c>
      <c r="N29" s="69">
        <v>1.4077640758668299</v>
      </c>
      <c r="O29" s="69">
        <v>11.9998919824921</v>
      </c>
      <c r="P29" s="69">
        <v>9.4490394247301897</v>
      </c>
      <c r="Q29" s="69">
        <v>6.38109066947509</v>
      </c>
      <c r="R29" s="69">
        <v>7.5684772955293402</v>
      </c>
      <c r="S29" s="69">
        <v>26.969861248084499</v>
      </c>
      <c r="T29" s="69">
        <v>2.4966066713992898</v>
      </c>
      <c r="U29" s="69">
        <v>5.5582431008489896</v>
      </c>
      <c r="V29" s="69">
        <v>20.913972321296999</v>
      </c>
      <c r="W29" s="69">
        <v>225.00937690900801</v>
      </c>
      <c r="X29" s="69">
        <v>228.68054300641299</v>
      </c>
      <c r="Y29" s="69">
        <v>52.308607166708697</v>
      </c>
      <c r="Z29" s="69">
        <v>1419.5690420169301</v>
      </c>
      <c r="AA29" s="69">
        <v>47.347644879755002</v>
      </c>
      <c r="AB29" s="69">
        <v>13.6934671750232</v>
      </c>
      <c r="AC29" s="69">
        <v>17.387719560885799</v>
      </c>
      <c r="AD29" s="69">
        <v>13.5982352423731</v>
      </c>
      <c r="AE29" s="69">
        <v>25.720468126808001</v>
      </c>
      <c r="AF29" s="69">
        <v>11.3746399608518</v>
      </c>
      <c r="AG29" s="69">
        <v>15.689824833290301</v>
      </c>
      <c r="AH29" s="69">
        <v>23.512258297482301</v>
      </c>
      <c r="AI29" s="69">
        <v>20.886480332067599</v>
      </c>
      <c r="AJ29" s="69">
        <v>12.870146855661501</v>
      </c>
      <c r="AK29" s="69">
        <v>2.8705572488789302</v>
      </c>
      <c r="AL29" s="69">
        <v>13.6680844688328</v>
      </c>
      <c r="AM29" s="69">
        <v>7.1119768577915803</v>
      </c>
      <c r="AN29" s="69">
        <v>6.1802235393057599</v>
      </c>
      <c r="AO29" s="69">
        <v>6.6759887249945997</v>
      </c>
      <c r="AP29" s="69">
        <v>32.368535405119502</v>
      </c>
      <c r="AQ29" s="69">
        <v>275.08684634646102</v>
      </c>
      <c r="AR29" s="69">
        <v>24.867668008817201</v>
      </c>
      <c r="AS29" s="69">
        <v>1.0527731620264</v>
      </c>
      <c r="AT29" s="69">
        <v>0.59577476662674</v>
      </c>
      <c r="AU29" s="69">
        <v>13.618275047980401</v>
      </c>
      <c r="AV29" s="69">
        <v>6.1207350912433798</v>
      </c>
      <c r="AW29" s="69">
        <v>58.1993315677257</v>
      </c>
      <c r="AX29" s="69">
        <v>1.21890781711957</v>
      </c>
      <c r="AY29" s="69">
        <v>2.56591034861925</v>
      </c>
      <c r="AZ29" s="69">
        <v>9.8932988817280307</v>
      </c>
      <c r="BA29" s="69">
        <v>12.354543887217201</v>
      </c>
      <c r="BB29" s="69">
        <v>13.443408668629999</v>
      </c>
      <c r="BC29" s="69">
        <v>5.0610450928679498</v>
      </c>
      <c r="BD29" s="69">
        <v>19.097412706181899</v>
      </c>
      <c r="BE29" s="69">
        <v>31.837361300061701</v>
      </c>
      <c r="BF29" s="69">
        <v>92.892580265953001</v>
      </c>
      <c r="BG29" s="69">
        <v>7.2858779544554997</v>
      </c>
      <c r="BH29" s="69">
        <v>56.854870629651302</v>
      </c>
      <c r="BI29" s="69">
        <v>1.0216805222152401</v>
      </c>
      <c r="BJ29" s="69">
        <v>1021.34506359891</v>
      </c>
      <c r="BK29" s="69">
        <v>398.67346112591702</v>
      </c>
      <c r="BL29" s="69">
        <v>235.16511664163801</v>
      </c>
      <c r="BM29" s="69">
        <v>9136.6022827838697</v>
      </c>
      <c r="BN29" s="69">
        <v>8480.0417166931293</v>
      </c>
      <c r="BO29" s="69">
        <v>18.001842537885899</v>
      </c>
      <c r="BP29" s="69">
        <v>748.33831215976397</v>
      </c>
      <c r="BQ29" s="70">
        <v>0</v>
      </c>
      <c r="BR29" s="71">
        <v>28211.964645084699</v>
      </c>
      <c r="BS29" s="72">
        <v>5541.3764452748701</v>
      </c>
      <c r="BT29" s="73">
        <v>3764.7243941578799</v>
      </c>
      <c r="BU29" s="73">
        <v>0</v>
      </c>
      <c r="BV29" s="73">
        <v>59203.844614134803</v>
      </c>
      <c r="BW29" s="73">
        <v>1254.9289584348601</v>
      </c>
      <c r="BX29" s="74">
        <v>1301.1609429128901</v>
      </c>
      <c r="BY29" s="71">
        <v>71066.035354915293</v>
      </c>
      <c r="BZ29" s="75">
        <v>99278.000000000102</v>
      </c>
    </row>
    <row r="30" spans="1:78" ht="15" customHeight="1" x14ac:dyDescent="0.3">
      <c r="A30" s="33" t="s">
        <v>48</v>
      </c>
      <c r="B30" s="11" t="s">
        <v>116</v>
      </c>
      <c r="C30" s="68">
        <v>1302.9117748096601</v>
      </c>
      <c r="D30" s="69">
        <v>377.45308994336398</v>
      </c>
      <c r="E30" s="69">
        <v>83.980886156158107</v>
      </c>
      <c r="F30" s="69">
        <v>239.17740931631201</v>
      </c>
      <c r="G30" s="69">
        <v>336.74642876092503</v>
      </c>
      <c r="H30" s="69">
        <v>1598.49599517874</v>
      </c>
      <c r="I30" s="69">
        <v>98.615696163224797</v>
      </c>
      <c r="J30" s="69">
        <v>5615.4466043149096</v>
      </c>
      <c r="K30" s="69">
        <v>476.17932327078898</v>
      </c>
      <c r="L30" s="69">
        <v>13753.1379860829</v>
      </c>
      <c r="M30" s="69">
        <v>5062.7780433738199</v>
      </c>
      <c r="N30" s="69">
        <v>16.019272916193302</v>
      </c>
      <c r="O30" s="69">
        <v>531.76365486938096</v>
      </c>
      <c r="P30" s="69">
        <v>259.57626342641902</v>
      </c>
      <c r="Q30" s="69">
        <v>825.05768076688298</v>
      </c>
      <c r="R30" s="69">
        <v>732.376681914762</v>
      </c>
      <c r="S30" s="69">
        <v>1618.33918372174</v>
      </c>
      <c r="T30" s="69">
        <v>1108.67609025569</v>
      </c>
      <c r="U30" s="69">
        <v>195.69640087963</v>
      </c>
      <c r="V30" s="69">
        <v>133.93006208489601</v>
      </c>
      <c r="W30" s="69">
        <v>3610.3798631094801</v>
      </c>
      <c r="X30" s="69">
        <v>1353.85690604567</v>
      </c>
      <c r="Y30" s="69">
        <v>2643.8986049383202</v>
      </c>
      <c r="Z30" s="69">
        <v>777.60343710696202</v>
      </c>
      <c r="AA30" s="69">
        <v>23381.810950954801</v>
      </c>
      <c r="AB30" s="69">
        <v>3725.20564634621</v>
      </c>
      <c r="AC30" s="69">
        <v>756.951417176532</v>
      </c>
      <c r="AD30" s="69">
        <v>120.21810730976</v>
      </c>
      <c r="AE30" s="69">
        <v>1527.08307587789</v>
      </c>
      <c r="AF30" s="69">
        <v>1522.5680169714799</v>
      </c>
      <c r="AG30" s="69">
        <v>3022.35857152983</v>
      </c>
      <c r="AH30" s="69">
        <v>3540.1269149386899</v>
      </c>
      <c r="AI30" s="69">
        <v>11552.9552017772</v>
      </c>
      <c r="AJ30" s="69">
        <v>4799.1467618611096</v>
      </c>
      <c r="AK30" s="69">
        <v>1067.8605872038199</v>
      </c>
      <c r="AL30" s="69">
        <v>3916.6286329170698</v>
      </c>
      <c r="AM30" s="69">
        <v>1881.19162786264</v>
      </c>
      <c r="AN30" s="69">
        <v>458.78526717361001</v>
      </c>
      <c r="AO30" s="69">
        <v>1232.8285586905399</v>
      </c>
      <c r="AP30" s="69">
        <v>22139.326981430298</v>
      </c>
      <c r="AQ30" s="69">
        <v>12720.0163488707</v>
      </c>
      <c r="AR30" s="69">
        <v>9695.6578369527397</v>
      </c>
      <c r="AS30" s="69">
        <v>6.5441739694240697</v>
      </c>
      <c r="AT30" s="69">
        <v>905.53228793205005</v>
      </c>
      <c r="AU30" s="69">
        <v>269.80544333988001</v>
      </c>
      <c r="AV30" s="69">
        <v>42.1324272933795</v>
      </c>
      <c r="AW30" s="69">
        <v>673.25965872791699</v>
      </c>
      <c r="AX30" s="69">
        <v>15.9394260434985</v>
      </c>
      <c r="AY30" s="69">
        <v>10.3179766053915</v>
      </c>
      <c r="AZ30" s="69">
        <v>33.502602556586602</v>
      </c>
      <c r="BA30" s="69">
        <v>54.438918084516899</v>
      </c>
      <c r="BB30" s="69">
        <v>135.19950641077199</v>
      </c>
      <c r="BC30" s="69">
        <v>239.47797378178799</v>
      </c>
      <c r="BD30" s="69">
        <v>635.52241991424501</v>
      </c>
      <c r="BE30" s="69">
        <v>45.353348688317098</v>
      </c>
      <c r="BF30" s="69">
        <v>54.403362212960097</v>
      </c>
      <c r="BG30" s="69">
        <v>514.165842934323</v>
      </c>
      <c r="BH30" s="69">
        <v>772.161635647308</v>
      </c>
      <c r="BI30" s="69">
        <v>5.60261522711418</v>
      </c>
      <c r="BJ30" s="69">
        <v>256.59266207765302</v>
      </c>
      <c r="BK30" s="69">
        <v>254.619426169793</v>
      </c>
      <c r="BL30" s="69">
        <v>72.232815545949094</v>
      </c>
      <c r="BM30" s="69">
        <v>1109.63951380354</v>
      </c>
      <c r="BN30" s="69">
        <v>621.48758529649001</v>
      </c>
      <c r="BO30" s="69">
        <v>50.898727280637203</v>
      </c>
      <c r="BP30" s="69">
        <v>218.031384579498</v>
      </c>
      <c r="BQ30" s="70">
        <v>0</v>
      </c>
      <c r="BR30" s="71">
        <v>156809.67957937499</v>
      </c>
      <c r="BS30" s="72">
        <v>15666.246476004801</v>
      </c>
      <c r="BT30" s="73">
        <v>2.5115115773865999</v>
      </c>
      <c r="BU30" s="73">
        <v>0</v>
      </c>
      <c r="BV30" s="73">
        <v>16989.2012161727</v>
      </c>
      <c r="BW30" s="73">
        <v>1768.23877813793</v>
      </c>
      <c r="BX30" s="74">
        <v>6458.12243873238</v>
      </c>
      <c r="BY30" s="71">
        <v>40884.320420625198</v>
      </c>
      <c r="BZ30" s="75">
        <v>197694</v>
      </c>
    </row>
    <row r="31" spans="1:78" ht="15" customHeight="1" x14ac:dyDescent="0.3">
      <c r="A31" s="33" t="s">
        <v>49</v>
      </c>
      <c r="B31" s="11" t="s">
        <v>117</v>
      </c>
      <c r="C31" s="68">
        <v>3948.7843365303502</v>
      </c>
      <c r="D31" s="69">
        <v>2487.5182039030101</v>
      </c>
      <c r="E31" s="69">
        <v>88.464608233032493</v>
      </c>
      <c r="F31" s="69">
        <v>121.379354797353</v>
      </c>
      <c r="G31" s="69">
        <v>133.11864342565201</v>
      </c>
      <c r="H31" s="69">
        <v>44.812630904349298</v>
      </c>
      <c r="I31" s="69">
        <v>17.500114872912501</v>
      </c>
      <c r="J31" s="69">
        <v>73.009274209171394</v>
      </c>
      <c r="K31" s="69">
        <v>230.57076885069799</v>
      </c>
      <c r="L31" s="69">
        <v>2601.3438053701302</v>
      </c>
      <c r="M31" s="69">
        <v>3211.5779371511799</v>
      </c>
      <c r="N31" s="69">
        <v>2.4410000685815501</v>
      </c>
      <c r="O31" s="69">
        <v>45.679042108696102</v>
      </c>
      <c r="P31" s="69">
        <v>111.575632535094</v>
      </c>
      <c r="Q31" s="69">
        <v>28.8130165967703</v>
      </c>
      <c r="R31" s="69">
        <v>26.533640262724301</v>
      </c>
      <c r="S31" s="69">
        <v>421.96857217122198</v>
      </c>
      <c r="T31" s="69">
        <v>19.104005545411699</v>
      </c>
      <c r="U31" s="69">
        <v>21.078280755728098</v>
      </c>
      <c r="V31" s="69">
        <v>35.074086111297703</v>
      </c>
      <c r="W31" s="69">
        <v>1257.69703340457</v>
      </c>
      <c r="X31" s="69">
        <v>359.15741611267202</v>
      </c>
      <c r="Y31" s="69">
        <v>548.93237724272603</v>
      </c>
      <c r="Z31" s="69">
        <v>107.50901285871799</v>
      </c>
      <c r="AA31" s="69">
        <v>719.54899044620095</v>
      </c>
      <c r="AB31" s="69">
        <v>14277.030566307199</v>
      </c>
      <c r="AC31" s="69">
        <v>472.37580202409202</v>
      </c>
      <c r="AD31" s="69">
        <v>50.070777032987401</v>
      </c>
      <c r="AE31" s="69">
        <v>262.26845800638398</v>
      </c>
      <c r="AF31" s="69">
        <v>25.082073456304101</v>
      </c>
      <c r="AG31" s="69">
        <v>555.08360194917702</v>
      </c>
      <c r="AH31" s="69">
        <v>399.43103619714702</v>
      </c>
      <c r="AI31" s="69">
        <v>2807.3799961444902</v>
      </c>
      <c r="AJ31" s="69">
        <v>239.57704137560401</v>
      </c>
      <c r="AK31" s="69">
        <v>166.68410610472901</v>
      </c>
      <c r="AL31" s="69">
        <v>808.35075017233601</v>
      </c>
      <c r="AM31" s="69">
        <v>299.019518907715</v>
      </c>
      <c r="AN31" s="69">
        <v>2021.254131013</v>
      </c>
      <c r="AO31" s="69">
        <v>1718.67857170568</v>
      </c>
      <c r="AP31" s="69">
        <v>67918.303251694495</v>
      </c>
      <c r="AQ31" s="69">
        <v>788.86598414102502</v>
      </c>
      <c r="AR31" s="69">
        <v>67.333844511008806</v>
      </c>
      <c r="AS31" s="69">
        <v>2.1521372981971498</v>
      </c>
      <c r="AT31" s="69">
        <v>0.93473754543220999</v>
      </c>
      <c r="AU31" s="69">
        <v>52.539920762722197</v>
      </c>
      <c r="AV31" s="69">
        <v>299.20396241255901</v>
      </c>
      <c r="AW31" s="69">
        <v>1010.88009627876</v>
      </c>
      <c r="AX31" s="69">
        <v>3.9277633359018802</v>
      </c>
      <c r="AY31" s="69">
        <v>7.6160439843969501</v>
      </c>
      <c r="AZ31" s="69">
        <v>18.508433322201999</v>
      </c>
      <c r="BA31" s="69">
        <v>25.7034035104165</v>
      </c>
      <c r="BB31" s="69">
        <v>39.510050435320402</v>
      </c>
      <c r="BC31" s="69">
        <v>2295.9412572006199</v>
      </c>
      <c r="BD31" s="69">
        <v>44.142176135291201</v>
      </c>
      <c r="BE31" s="69">
        <v>25.425821919217402</v>
      </c>
      <c r="BF31" s="69">
        <v>16.246602746333899</v>
      </c>
      <c r="BG31" s="69">
        <v>11.221013346467201</v>
      </c>
      <c r="BH31" s="69">
        <v>144.79401817096701</v>
      </c>
      <c r="BI31" s="69">
        <v>2.8920090301966699</v>
      </c>
      <c r="BJ31" s="69">
        <v>547.36593322986198</v>
      </c>
      <c r="BK31" s="69">
        <v>186.64577961050401</v>
      </c>
      <c r="BL31" s="69">
        <v>41.5871182698734</v>
      </c>
      <c r="BM31" s="69">
        <v>331.522170124696</v>
      </c>
      <c r="BN31" s="69">
        <v>192.14039150398099</v>
      </c>
      <c r="BO31" s="69">
        <v>30.628839973529399</v>
      </c>
      <c r="BP31" s="69">
        <v>364.04111922574401</v>
      </c>
      <c r="BQ31" s="70">
        <v>0</v>
      </c>
      <c r="BR31" s="71">
        <v>115235.552094585</v>
      </c>
      <c r="BS31" s="72">
        <v>13129.332092241601</v>
      </c>
      <c r="BT31" s="73">
        <v>8.8105383952170993</v>
      </c>
      <c r="BU31" s="73">
        <v>0</v>
      </c>
      <c r="BV31" s="73">
        <v>3431.6790814308902</v>
      </c>
      <c r="BW31" s="73">
        <v>1009.46498364759</v>
      </c>
      <c r="BX31" s="74">
        <v>10195.1612096999</v>
      </c>
      <c r="BY31" s="71">
        <v>27774.447905415102</v>
      </c>
      <c r="BZ31" s="75">
        <v>143010</v>
      </c>
    </row>
    <row r="32" spans="1:78" ht="15" customHeight="1" x14ac:dyDescent="0.3">
      <c r="A32" s="33" t="s">
        <v>50</v>
      </c>
      <c r="B32" s="11" t="s">
        <v>118</v>
      </c>
      <c r="C32" s="68">
        <v>452.97771966721501</v>
      </c>
      <c r="D32" s="69">
        <v>670.73266864569996</v>
      </c>
      <c r="E32" s="69">
        <v>45.274527640378402</v>
      </c>
      <c r="F32" s="69">
        <v>260.031224320224</v>
      </c>
      <c r="G32" s="69">
        <v>24888.964660205598</v>
      </c>
      <c r="H32" s="69">
        <v>265.05850908593101</v>
      </c>
      <c r="I32" s="69">
        <v>206.93591310901601</v>
      </c>
      <c r="J32" s="69">
        <v>932.74675173646801</v>
      </c>
      <c r="K32" s="69">
        <v>25.189410635881199</v>
      </c>
      <c r="L32" s="69">
        <v>583.12410349814797</v>
      </c>
      <c r="M32" s="69">
        <v>547.76556118744702</v>
      </c>
      <c r="N32" s="69">
        <v>3.3537108142388701</v>
      </c>
      <c r="O32" s="69">
        <v>45.109082181869297</v>
      </c>
      <c r="P32" s="69">
        <v>15.008595357690201</v>
      </c>
      <c r="Q32" s="69">
        <v>18.453799540801</v>
      </c>
      <c r="R32" s="69">
        <v>76.091782152197297</v>
      </c>
      <c r="S32" s="69">
        <v>623.54541788465099</v>
      </c>
      <c r="T32" s="69">
        <v>17.856661237685501</v>
      </c>
      <c r="U32" s="69">
        <v>125.73654405121</v>
      </c>
      <c r="V32" s="69">
        <v>26.554943027018801</v>
      </c>
      <c r="W32" s="69">
        <v>319.43323439744802</v>
      </c>
      <c r="X32" s="69">
        <v>225.66110326066101</v>
      </c>
      <c r="Y32" s="69">
        <v>165.17828747159899</v>
      </c>
      <c r="Z32" s="69">
        <v>45.640536958239601</v>
      </c>
      <c r="AA32" s="69">
        <v>2538.4752519684698</v>
      </c>
      <c r="AB32" s="69">
        <v>2106.0430152014701</v>
      </c>
      <c r="AC32" s="69">
        <v>29414.926898453599</v>
      </c>
      <c r="AD32" s="69">
        <v>2230.14733087273</v>
      </c>
      <c r="AE32" s="69">
        <v>48438.289876401403</v>
      </c>
      <c r="AF32" s="69">
        <v>231.64285635237701</v>
      </c>
      <c r="AG32" s="69">
        <v>7066.8038079191301</v>
      </c>
      <c r="AH32" s="69">
        <v>23290.9246462622</v>
      </c>
      <c r="AI32" s="69">
        <v>11492.1111488611</v>
      </c>
      <c r="AJ32" s="69">
        <v>17859.5596399694</v>
      </c>
      <c r="AK32" s="69">
        <v>1529.2775444443801</v>
      </c>
      <c r="AL32" s="69">
        <v>3105.84855495994</v>
      </c>
      <c r="AM32" s="69">
        <v>2652.4349404780601</v>
      </c>
      <c r="AN32" s="69">
        <v>521.73612416408605</v>
      </c>
      <c r="AO32" s="69">
        <v>319.09167796037599</v>
      </c>
      <c r="AP32" s="69">
        <v>24717.514530074899</v>
      </c>
      <c r="AQ32" s="69">
        <v>4252.3259919772399</v>
      </c>
      <c r="AR32" s="69">
        <v>104.923985609588</v>
      </c>
      <c r="AS32" s="69">
        <v>2.1551802359340799</v>
      </c>
      <c r="AT32" s="69">
        <v>1.5676032979180301</v>
      </c>
      <c r="AU32" s="69">
        <v>70.5219685886577</v>
      </c>
      <c r="AV32" s="69">
        <v>19.1790774269619</v>
      </c>
      <c r="AW32" s="69">
        <v>116.80205550218</v>
      </c>
      <c r="AX32" s="69">
        <v>2.4636660532932502</v>
      </c>
      <c r="AY32" s="69">
        <v>7.3111523164916496</v>
      </c>
      <c r="AZ32" s="69">
        <v>31.2328560987964</v>
      </c>
      <c r="BA32" s="69">
        <v>111.686052180044</v>
      </c>
      <c r="BB32" s="69">
        <v>67.887490610064802</v>
      </c>
      <c r="BC32" s="69">
        <v>47.112957015526703</v>
      </c>
      <c r="BD32" s="69">
        <v>78.029264312410604</v>
      </c>
      <c r="BE32" s="69">
        <v>48.8154596877892</v>
      </c>
      <c r="BF32" s="69">
        <v>21.983110504460001</v>
      </c>
      <c r="BG32" s="69">
        <v>461.67630810260903</v>
      </c>
      <c r="BH32" s="69">
        <v>77.922497798576103</v>
      </c>
      <c r="BI32" s="69">
        <v>13.815821528313499</v>
      </c>
      <c r="BJ32" s="69">
        <v>296.170880058134</v>
      </c>
      <c r="BK32" s="69">
        <v>56.262659067712796</v>
      </c>
      <c r="BL32" s="69">
        <v>74.098073827392497</v>
      </c>
      <c r="BM32" s="69">
        <v>55.6271465890607</v>
      </c>
      <c r="BN32" s="69">
        <v>45.713528878536401</v>
      </c>
      <c r="BO32" s="69">
        <v>53.424629703002402</v>
      </c>
      <c r="BP32" s="69">
        <v>58.324427681173198</v>
      </c>
      <c r="BQ32" s="70">
        <v>0</v>
      </c>
      <c r="BR32" s="71">
        <v>214278.28643706301</v>
      </c>
      <c r="BS32" s="72">
        <v>79668.167053857993</v>
      </c>
      <c r="BT32" s="73">
        <v>0.27445361566200499</v>
      </c>
      <c r="BU32" s="73">
        <v>0</v>
      </c>
      <c r="BV32" s="73">
        <v>2318.6798823439199</v>
      </c>
      <c r="BW32" s="73">
        <v>2095.9104283633801</v>
      </c>
      <c r="BX32" s="74">
        <v>7253.6817447561198</v>
      </c>
      <c r="BY32" s="71">
        <v>91336.713562937104</v>
      </c>
      <c r="BZ32" s="75">
        <v>305615</v>
      </c>
    </row>
    <row r="33" spans="1:78" ht="15" customHeight="1" x14ac:dyDescent="0.3">
      <c r="A33" s="33" t="s">
        <v>51</v>
      </c>
      <c r="B33" s="11" t="s">
        <v>119</v>
      </c>
      <c r="C33" s="68">
        <v>329.87930908204902</v>
      </c>
      <c r="D33" s="69">
        <v>86.898763955797804</v>
      </c>
      <c r="E33" s="69">
        <v>5.80702455990704</v>
      </c>
      <c r="F33" s="69">
        <v>8.1593551402040791</v>
      </c>
      <c r="G33" s="69">
        <v>230.56634479575601</v>
      </c>
      <c r="H33" s="69">
        <v>88.278357905181494</v>
      </c>
      <c r="I33" s="69">
        <v>156.03989184661199</v>
      </c>
      <c r="J33" s="69">
        <v>531.161414948833</v>
      </c>
      <c r="K33" s="69">
        <v>18.887397466059902</v>
      </c>
      <c r="L33" s="69">
        <v>801.34026306758403</v>
      </c>
      <c r="M33" s="69">
        <v>154.00190993091999</v>
      </c>
      <c r="N33" s="69">
        <v>2.2843845557382898</v>
      </c>
      <c r="O33" s="69">
        <v>20.626912101088902</v>
      </c>
      <c r="P33" s="69">
        <v>13.261793640171501</v>
      </c>
      <c r="Q33" s="69">
        <v>12.995920761320701</v>
      </c>
      <c r="R33" s="69">
        <v>18.9549959652892</v>
      </c>
      <c r="S33" s="69">
        <v>621.72325122315999</v>
      </c>
      <c r="T33" s="69">
        <v>295.68802688668501</v>
      </c>
      <c r="U33" s="69">
        <v>21.406726474621902</v>
      </c>
      <c r="V33" s="69">
        <v>12.463226780252199</v>
      </c>
      <c r="W33" s="69">
        <v>1738.1756572747099</v>
      </c>
      <c r="X33" s="69">
        <v>470.77248100619403</v>
      </c>
      <c r="Y33" s="69">
        <v>91.625645457069496</v>
      </c>
      <c r="Z33" s="69">
        <v>40.656271446026302</v>
      </c>
      <c r="AA33" s="69">
        <v>196.474182065767</v>
      </c>
      <c r="AB33" s="69">
        <v>260.35850965833799</v>
      </c>
      <c r="AC33" s="69">
        <v>2628.0213080101198</v>
      </c>
      <c r="AD33" s="69">
        <v>16933.265530066001</v>
      </c>
      <c r="AE33" s="69">
        <v>3463.8851044575299</v>
      </c>
      <c r="AF33" s="69">
        <v>208.40890246180601</v>
      </c>
      <c r="AG33" s="69">
        <v>8712.3580868875106</v>
      </c>
      <c r="AH33" s="69">
        <v>3188.5595319734698</v>
      </c>
      <c r="AI33" s="69">
        <v>1063.31881665882</v>
      </c>
      <c r="AJ33" s="69">
        <v>5513.7282253439398</v>
      </c>
      <c r="AK33" s="69">
        <v>950.98436987952198</v>
      </c>
      <c r="AL33" s="69">
        <v>2722.81208873777</v>
      </c>
      <c r="AM33" s="69">
        <v>1749.11890926466</v>
      </c>
      <c r="AN33" s="69">
        <v>90.800836529057506</v>
      </c>
      <c r="AO33" s="69">
        <v>186.67737022537199</v>
      </c>
      <c r="AP33" s="69">
        <v>2490.6834781734101</v>
      </c>
      <c r="AQ33" s="69">
        <v>1549.3196457444201</v>
      </c>
      <c r="AR33" s="69">
        <v>97.125251892387098</v>
      </c>
      <c r="AS33" s="69">
        <v>2.7345974126281298</v>
      </c>
      <c r="AT33" s="69">
        <v>1.7019457686161801</v>
      </c>
      <c r="AU33" s="69">
        <v>63.755562859597198</v>
      </c>
      <c r="AV33" s="69">
        <v>19.1436351725234</v>
      </c>
      <c r="AW33" s="69">
        <v>95.0013236235433</v>
      </c>
      <c r="AX33" s="69">
        <v>3.6492250109200399</v>
      </c>
      <c r="AY33" s="69">
        <v>8.2883356565771695</v>
      </c>
      <c r="AZ33" s="69">
        <v>36.083507307952701</v>
      </c>
      <c r="BA33" s="69">
        <v>46.135480708713501</v>
      </c>
      <c r="BB33" s="69">
        <v>80.138413075592396</v>
      </c>
      <c r="BC33" s="69">
        <v>60.097127523757898</v>
      </c>
      <c r="BD33" s="69">
        <v>86.629532757586503</v>
      </c>
      <c r="BE33" s="69">
        <v>18.618425726011299</v>
      </c>
      <c r="BF33" s="69">
        <v>28.407283968616699</v>
      </c>
      <c r="BG33" s="69">
        <v>17.313173622456901</v>
      </c>
      <c r="BH33" s="69">
        <v>69.658807575764598</v>
      </c>
      <c r="BI33" s="69">
        <v>7.9311768485212104</v>
      </c>
      <c r="BJ33" s="69">
        <v>77.721792089402598</v>
      </c>
      <c r="BK33" s="69">
        <v>18.1077946608541</v>
      </c>
      <c r="BL33" s="69">
        <v>87.531360067905496</v>
      </c>
      <c r="BM33" s="69">
        <v>46.495279909514601</v>
      </c>
      <c r="BN33" s="69">
        <v>94.923537806294306</v>
      </c>
      <c r="BO33" s="69">
        <v>62.715866950378199</v>
      </c>
      <c r="BP33" s="69">
        <v>78.373741511397597</v>
      </c>
      <c r="BQ33" s="70">
        <v>0</v>
      </c>
      <c r="BR33" s="71">
        <v>58888.712401916302</v>
      </c>
      <c r="BS33" s="72">
        <v>58274.886642431899</v>
      </c>
      <c r="BT33" s="73">
        <v>1.60751403459175</v>
      </c>
      <c r="BU33" s="73">
        <v>0</v>
      </c>
      <c r="BV33" s="73">
        <v>2607.7847661943401</v>
      </c>
      <c r="BW33" s="73">
        <v>778.70114862410799</v>
      </c>
      <c r="BX33" s="74">
        <v>653.30752679878901</v>
      </c>
      <c r="BY33" s="71">
        <v>62316.2875980838</v>
      </c>
      <c r="BZ33" s="75">
        <v>121205</v>
      </c>
    </row>
    <row r="34" spans="1:78" ht="15" customHeight="1" x14ac:dyDescent="0.3">
      <c r="A34" s="33" t="s">
        <v>52</v>
      </c>
      <c r="B34" s="11" t="s">
        <v>120</v>
      </c>
      <c r="C34" s="68">
        <v>672.21372849941099</v>
      </c>
      <c r="D34" s="69">
        <v>862.327904521101</v>
      </c>
      <c r="E34" s="69">
        <v>84.499279906126802</v>
      </c>
      <c r="F34" s="69">
        <v>120.26045657795299</v>
      </c>
      <c r="G34" s="69">
        <v>3956.97975687089</v>
      </c>
      <c r="H34" s="69">
        <v>3386.8401242383702</v>
      </c>
      <c r="I34" s="69">
        <v>464.68560459596898</v>
      </c>
      <c r="J34" s="69">
        <v>6136.5379803223204</v>
      </c>
      <c r="K34" s="69">
        <v>263.80285602687502</v>
      </c>
      <c r="L34" s="69">
        <v>5207.4876991900501</v>
      </c>
      <c r="M34" s="69">
        <v>8278.5441100818298</v>
      </c>
      <c r="N34" s="69">
        <v>41.036512265249101</v>
      </c>
      <c r="O34" s="69">
        <v>146.56962238120499</v>
      </c>
      <c r="P34" s="69">
        <v>141.61248490322899</v>
      </c>
      <c r="Q34" s="69">
        <v>87.247567601753005</v>
      </c>
      <c r="R34" s="69">
        <v>859.89422744325998</v>
      </c>
      <c r="S34" s="69">
        <v>350.29228661612098</v>
      </c>
      <c r="T34" s="69">
        <v>43.829689060618499</v>
      </c>
      <c r="U34" s="69">
        <v>907.32647232388899</v>
      </c>
      <c r="V34" s="69">
        <v>211.127757049954</v>
      </c>
      <c r="W34" s="69">
        <v>1391.8093978556799</v>
      </c>
      <c r="X34" s="69">
        <v>2113.6869188461801</v>
      </c>
      <c r="Y34" s="69">
        <v>1891.98931576164</v>
      </c>
      <c r="Z34" s="69">
        <v>310.72426686507703</v>
      </c>
      <c r="AA34" s="69">
        <v>622.93152610434595</v>
      </c>
      <c r="AB34" s="69">
        <v>437.25729144546102</v>
      </c>
      <c r="AC34" s="69">
        <v>5191.9492225087997</v>
      </c>
      <c r="AD34" s="69">
        <v>563.53407178530495</v>
      </c>
      <c r="AE34" s="69">
        <v>16950.874370433001</v>
      </c>
      <c r="AF34" s="69">
        <v>1651.74227257093</v>
      </c>
      <c r="AG34" s="69">
        <v>5063.8627053871996</v>
      </c>
      <c r="AH34" s="69">
        <v>12407.408178809401</v>
      </c>
      <c r="AI34" s="69">
        <v>7173.0964397195003</v>
      </c>
      <c r="AJ34" s="69">
        <v>4637.3826145674402</v>
      </c>
      <c r="AK34" s="69">
        <v>2464.6543878155599</v>
      </c>
      <c r="AL34" s="69">
        <v>2286.6493266344901</v>
      </c>
      <c r="AM34" s="69">
        <v>4843.6422115774003</v>
      </c>
      <c r="AN34" s="69">
        <v>2888.2224185762798</v>
      </c>
      <c r="AO34" s="69">
        <v>991.19005488390599</v>
      </c>
      <c r="AP34" s="69">
        <v>29310.6362430548</v>
      </c>
      <c r="AQ34" s="69">
        <v>3300.3130924766001</v>
      </c>
      <c r="AR34" s="69">
        <v>257.24972234530497</v>
      </c>
      <c r="AS34" s="69">
        <v>8.6397220834511401</v>
      </c>
      <c r="AT34" s="69">
        <v>4.6719618982640698</v>
      </c>
      <c r="AU34" s="69">
        <v>75.079340858635405</v>
      </c>
      <c r="AV34" s="69">
        <v>80.276998312470099</v>
      </c>
      <c r="AW34" s="69">
        <v>872.54605442603497</v>
      </c>
      <c r="AX34" s="69">
        <v>3.4707636056382798</v>
      </c>
      <c r="AY34" s="69">
        <v>20.992849834918701</v>
      </c>
      <c r="AZ34" s="69">
        <v>63.891672465418303</v>
      </c>
      <c r="BA34" s="69">
        <v>44.455921294453503</v>
      </c>
      <c r="BB34" s="69">
        <v>58.575987923965499</v>
      </c>
      <c r="BC34" s="69">
        <v>348.02103889307699</v>
      </c>
      <c r="BD34" s="69">
        <v>73.447475044087994</v>
      </c>
      <c r="BE34" s="69">
        <v>50.788858482558197</v>
      </c>
      <c r="BF34" s="69">
        <v>23.3664013399335</v>
      </c>
      <c r="BG34" s="69">
        <v>30.746885600859201</v>
      </c>
      <c r="BH34" s="69">
        <v>401.22784775017499</v>
      </c>
      <c r="BI34" s="69">
        <v>163.99694816914101</v>
      </c>
      <c r="BJ34" s="69">
        <v>1253.8931893643</v>
      </c>
      <c r="BK34" s="69">
        <v>90.525529358908202</v>
      </c>
      <c r="BL34" s="69">
        <v>61.750349484873603</v>
      </c>
      <c r="BM34" s="69">
        <v>283.09801091352</v>
      </c>
      <c r="BN34" s="69">
        <v>112.633880729954</v>
      </c>
      <c r="BO34" s="69">
        <v>46.755689392339903</v>
      </c>
      <c r="BP34" s="69">
        <v>163.22959834625601</v>
      </c>
      <c r="BQ34" s="70">
        <v>0</v>
      </c>
      <c r="BR34" s="71">
        <v>143310.00514607399</v>
      </c>
      <c r="BS34" s="72">
        <v>12996.8964792888</v>
      </c>
      <c r="BT34" s="73">
        <v>1.12525982421422</v>
      </c>
      <c r="BU34" s="73">
        <v>0</v>
      </c>
      <c r="BV34" s="73">
        <v>13766.176259473499</v>
      </c>
      <c r="BW34" s="73">
        <v>14676.746558406199</v>
      </c>
      <c r="BX34" s="74">
        <v>4910.0502969335103</v>
      </c>
      <c r="BY34" s="71">
        <v>46350.994853926299</v>
      </c>
      <c r="BZ34" s="75">
        <v>189661</v>
      </c>
    </row>
    <row r="35" spans="1:78" ht="15" customHeight="1" x14ac:dyDescent="0.3">
      <c r="A35" s="33" t="s">
        <v>53</v>
      </c>
      <c r="B35" s="11" t="s">
        <v>121</v>
      </c>
      <c r="C35" s="68">
        <v>56.543918538170402</v>
      </c>
      <c r="D35" s="69">
        <v>32.789224155744499</v>
      </c>
      <c r="E35" s="69">
        <v>3.4370011718076299</v>
      </c>
      <c r="F35" s="69">
        <v>17.650694320696399</v>
      </c>
      <c r="G35" s="69">
        <v>556.50910304988702</v>
      </c>
      <c r="H35" s="69">
        <v>297.37445065499202</v>
      </c>
      <c r="I35" s="69">
        <v>31.876252507855298</v>
      </c>
      <c r="J35" s="69">
        <v>111.715502512206</v>
      </c>
      <c r="K35" s="69">
        <v>9.2491447184979894</v>
      </c>
      <c r="L35" s="69">
        <v>109.40794733860599</v>
      </c>
      <c r="M35" s="69">
        <v>29.716314101308502</v>
      </c>
      <c r="N35" s="69">
        <v>3.25512248293176</v>
      </c>
      <c r="O35" s="69">
        <v>18.9852851222299</v>
      </c>
      <c r="P35" s="69">
        <v>23.016424549532399</v>
      </c>
      <c r="Q35" s="69">
        <v>12.0658904514575</v>
      </c>
      <c r="R35" s="69">
        <v>24.145950040831998</v>
      </c>
      <c r="S35" s="69">
        <v>52.220137256712398</v>
      </c>
      <c r="T35" s="69">
        <v>353.58564413303998</v>
      </c>
      <c r="U35" s="69">
        <v>15.757033047021199</v>
      </c>
      <c r="V35" s="69">
        <v>11.0277954830227</v>
      </c>
      <c r="W35" s="69">
        <v>66.011890746753195</v>
      </c>
      <c r="X35" s="69">
        <v>41.725163564265998</v>
      </c>
      <c r="Y35" s="69">
        <v>23.358737289985001</v>
      </c>
      <c r="Z35" s="69">
        <v>23.330999856446599</v>
      </c>
      <c r="AA35" s="69">
        <v>99.915928021557704</v>
      </c>
      <c r="AB35" s="69">
        <v>44.4429293349041</v>
      </c>
      <c r="AC35" s="69">
        <v>71.289982096857202</v>
      </c>
      <c r="AD35" s="69">
        <v>38.419656289476798</v>
      </c>
      <c r="AE35" s="69">
        <v>50.939722287788101</v>
      </c>
      <c r="AF35" s="69">
        <v>14713.6235448098</v>
      </c>
      <c r="AG35" s="69">
        <v>887.72074838601395</v>
      </c>
      <c r="AH35" s="69">
        <v>1431.3416204389</v>
      </c>
      <c r="AI35" s="69">
        <v>286.50607755248802</v>
      </c>
      <c r="AJ35" s="69">
        <v>329.05164342277402</v>
      </c>
      <c r="AK35" s="69">
        <v>64.624683159375607</v>
      </c>
      <c r="AL35" s="69">
        <v>113.940878592617</v>
      </c>
      <c r="AM35" s="69">
        <v>1056.85173703752</v>
      </c>
      <c r="AN35" s="69">
        <v>325.58315586930001</v>
      </c>
      <c r="AO35" s="69">
        <v>41.046907247674199</v>
      </c>
      <c r="AP35" s="69">
        <v>833.19261211560502</v>
      </c>
      <c r="AQ35" s="69">
        <v>647.95144097146101</v>
      </c>
      <c r="AR35" s="69">
        <v>127.028802927756</v>
      </c>
      <c r="AS35" s="69">
        <v>12.9068498409451</v>
      </c>
      <c r="AT35" s="69">
        <v>1.74034306758198</v>
      </c>
      <c r="AU35" s="69">
        <v>305.25335864894902</v>
      </c>
      <c r="AV35" s="69">
        <v>5.9709575028931301</v>
      </c>
      <c r="AW35" s="69">
        <v>42.084862287661402</v>
      </c>
      <c r="AX35" s="69">
        <v>6.0526148648647</v>
      </c>
      <c r="AY35" s="69">
        <v>209.42236098652</v>
      </c>
      <c r="AZ35" s="69">
        <v>177.075044085206</v>
      </c>
      <c r="BA35" s="69">
        <v>3248.2015422025102</v>
      </c>
      <c r="BB35" s="69">
        <v>398.054967919896</v>
      </c>
      <c r="BC35" s="69">
        <v>26.076874701516701</v>
      </c>
      <c r="BD35" s="69">
        <v>318.22819811276997</v>
      </c>
      <c r="BE35" s="69">
        <v>839.10732010728998</v>
      </c>
      <c r="BF35" s="69">
        <v>211.51026062740101</v>
      </c>
      <c r="BG35" s="69">
        <v>59.285050916492601</v>
      </c>
      <c r="BH35" s="69">
        <v>1321.37521139656</v>
      </c>
      <c r="BI35" s="69">
        <v>78.390047039775993</v>
      </c>
      <c r="BJ35" s="69">
        <v>647.70553636300201</v>
      </c>
      <c r="BK35" s="69">
        <v>460.42900955198098</v>
      </c>
      <c r="BL35" s="69">
        <v>151.79316182641401</v>
      </c>
      <c r="BM35" s="69">
        <v>232.67733056048201</v>
      </c>
      <c r="BN35" s="69">
        <v>216.58653342399799</v>
      </c>
      <c r="BO35" s="69">
        <v>40.6452318875888</v>
      </c>
      <c r="BP35" s="69">
        <v>572.22544693086797</v>
      </c>
      <c r="BQ35" s="70">
        <v>0</v>
      </c>
      <c r="BR35" s="71">
        <v>32671.025812509099</v>
      </c>
      <c r="BS35" s="72">
        <v>7025.2679227631897</v>
      </c>
      <c r="BT35" s="73">
        <v>4.79509674220904</v>
      </c>
      <c r="BU35" s="73">
        <v>0</v>
      </c>
      <c r="BV35" s="73">
        <v>53895.885874176201</v>
      </c>
      <c r="BW35" s="73">
        <v>49704.595813599401</v>
      </c>
      <c r="BX35" s="74">
        <v>3074.4294802098502</v>
      </c>
      <c r="BY35" s="71">
        <v>113704.974187491</v>
      </c>
      <c r="BZ35" s="75">
        <v>146376</v>
      </c>
    </row>
    <row r="36" spans="1:78" ht="15" customHeight="1" x14ac:dyDescent="0.3">
      <c r="A36" s="33" t="s">
        <v>54</v>
      </c>
      <c r="B36" s="11" t="s">
        <v>122</v>
      </c>
      <c r="C36" s="68">
        <v>89.004241518995897</v>
      </c>
      <c r="D36" s="69">
        <v>145.48403503416301</v>
      </c>
      <c r="E36" s="69">
        <v>9.7764141395625401</v>
      </c>
      <c r="F36" s="69">
        <v>42.483323916276603</v>
      </c>
      <c r="G36" s="69">
        <v>685.95646634429295</v>
      </c>
      <c r="H36" s="69">
        <v>216.908491997368</v>
      </c>
      <c r="I36" s="69">
        <v>36.349190688838803</v>
      </c>
      <c r="J36" s="69">
        <v>176.15072147333399</v>
      </c>
      <c r="K36" s="69">
        <v>59.304793423234997</v>
      </c>
      <c r="L36" s="69">
        <v>220.67239875278199</v>
      </c>
      <c r="M36" s="69">
        <v>105.542506342197</v>
      </c>
      <c r="N36" s="69">
        <v>3.7902804836828801</v>
      </c>
      <c r="O36" s="69">
        <v>64.608715272307407</v>
      </c>
      <c r="P36" s="69">
        <v>11.932424265944</v>
      </c>
      <c r="Q36" s="69">
        <v>14.9329533413707</v>
      </c>
      <c r="R36" s="69">
        <v>76.741975983919602</v>
      </c>
      <c r="S36" s="69">
        <v>136.44031220332101</v>
      </c>
      <c r="T36" s="69">
        <v>22.327856106906999</v>
      </c>
      <c r="U36" s="69">
        <v>24.836257701692201</v>
      </c>
      <c r="V36" s="69">
        <v>34.424432883947503</v>
      </c>
      <c r="W36" s="69">
        <v>261.264460056426</v>
      </c>
      <c r="X36" s="69">
        <v>59.084528902893197</v>
      </c>
      <c r="Y36" s="69">
        <v>46.757182401460803</v>
      </c>
      <c r="Z36" s="69">
        <v>27.891019757358499</v>
      </c>
      <c r="AA36" s="69">
        <v>237.408313046111</v>
      </c>
      <c r="AB36" s="69">
        <v>287.88287751845797</v>
      </c>
      <c r="AC36" s="69">
        <v>214.25700535051399</v>
      </c>
      <c r="AD36" s="69">
        <v>276.96587052932398</v>
      </c>
      <c r="AE36" s="69">
        <v>413.65098092377701</v>
      </c>
      <c r="AF36" s="69">
        <v>2528.0346453449602</v>
      </c>
      <c r="AG36" s="69">
        <v>15242.654738659799</v>
      </c>
      <c r="AH36" s="69">
        <v>5460.4784658482004</v>
      </c>
      <c r="AI36" s="69">
        <v>1341.7408561986699</v>
      </c>
      <c r="AJ36" s="69">
        <v>1994.8642462185901</v>
      </c>
      <c r="AK36" s="69">
        <v>405.61909674972702</v>
      </c>
      <c r="AL36" s="69">
        <v>457.37098587821998</v>
      </c>
      <c r="AM36" s="69">
        <v>3578.81694446033</v>
      </c>
      <c r="AN36" s="69">
        <v>6821.1582151284501</v>
      </c>
      <c r="AO36" s="69">
        <v>426.01527218615399</v>
      </c>
      <c r="AP36" s="69">
        <v>12084.3053582791</v>
      </c>
      <c r="AQ36" s="69">
        <v>2001.34420698077</v>
      </c>
      <c r="AR36" s="69">
        <v>1619.6938358336099</v>
      </c>
      <c r="AS36" s="69">
        <v>35.105519024756497</v>
      </c>
      <c r="AT36" s="69">
        <v>1.6299755503919999</v>
      </c>
      <c r="AU36" s="69">
        <v>158.31190093936499</v>
      </c>
      <c r="AV36" s="69">
        <v>40.315801469586098</v>
      </c>
      <c r="AW36" s="69">
        <v>65.156467100775203</v>
      </c>
      <c r="AX36" s="69">
        <v>5.8820295330918198</v>
      </c>
      <c r="AY36" s="69">
        <v>90.232341871024204</v>
      </c>
      <c r="AZ36" s="69">
        <v>1162.92425900833</v>
      </c>
      <c r="BA36" s="69">
        <v>63.332628161537897</v>
      </c>
      <c r="BB36" s="69">
        <v>95.340059559847901</v>
      </c>
      <c r="BC36" s="69">
        <v>580.29061166531301</v>
      </c>
      <c r="BD36" s="69">
        <v>597.636486829349</v>
      </c>
      <c r="BE36" s="69">
        <v>79.033376664407896</v>
      </c>
      <c r="BF36" s="69">
        <v>61.658149317307</v>
      </c>
      <c r="BG36" s="69">
        <v>48.914896611559101</v>
      </c>
      <c r="BH36" s="69">
        <v>936.15237141209104</v>
      </c>
      <c r="BI36" s="69">
        <v>4.5451290067382697</v>
      </c>
      <c r="BJ36" s="69">
        <v>199.84854321581699</v>
      </c>
      <c r="BK36" s="69">
        <v>70.611261568768896</v>
      </c>
      <c r="BL36" s="69">
        <v>36.975921917364403</v>
      </c>
      <c r="BM36" s="69">
        <v>43.478329866650199</v>
      </c>
      <c r="BN36" s="69">
        <v>35.579146496617</v>
      </c>
      <c r="BO36" s="69">
        <v>73.901416795303902</v>
      </c>
      <c r="BP36" s="69">
        <v>947.90814759103796</v>
      </c>
      <c r="BQ36" s="70">
        <v>0</v>
      </c>
      <c r="BR36" s="71">
        <v>63399.691669304098</v>
      </c>
      <c r="BS36" s="72">
        <v>15785.3762563281</v>
      </c>
      <c r="BT36" s="73">
        <v>1.03508220763956</v>
      </c>
      <c r="BU36" s="73">
        <v>0</v>
      </c>
      <c r="BV36" s="73">
        <v>20852.217141919999</v>
      </c>
      <c r="BW36" s="73">
        <v>30479.6048801875</v>
      </c>
      <c r="BX36" s="74">
        <v>7150.0749700525703</v>
      </c>
      <c r="BY36" s="71">
        <v>74268.3083306958</v>
      </c>
      <c r="BZ36" s="75">
        <v>137668</v>
      </c>
    </row>
    <row r="37" spans="1:78" ht="15" customHeight="1" x14ac:dyDescent="0.3">
      <c r="A37" s="33" t="s">
        <v>55</v>
      </c>
      <c r="B37" s="11" t="s">
        <v>123</v>
      </c>
      <c r="C37" s="68">
        <v>97.824895293405802</v>
      </c>
      <c r="D37" s="69">
        <v>73.550784690680402</v>
      </c>
      <c r="E37" s="69">
        <v>10.951190522694199</v>
      </c>
      <c r="F37" s="69">
        <v>183.300584119728</v>
      </c>
      <c r="G37" s="69">
        <v>5994.8510788175399</v>
      </c>
      <c r="H37" s="69">
        <v>7656.1461179253201</v>
      </c>
      <c r="I37" s="69">
        <v>918.48999089183997</v>
      </c>
      <c r="J37" s="69">
        <v>226.754145932358</v>
      </c>
      <c r="K37" s="69">
        <v>37.629436683341702</v>
      </c>
      <c r="L37" s="69">
        <v>239.97625856266299</v>
      </c>
      <c r="M37" s="69">
        <v>215.881775813247</v>
      </c>
      <c r="N37" s="69">
        <v>3.7519609593318002</v>
      </c>
      <c r="O37" s="69">
        <v>47.620483608946003</v>
      </c>
      <c r="P37" s="69">
        <v>25.8951826257452</v>
      </c>
      <c r="Q37" s="69">
        <v>21.9018309764737</v>
      </c>
      <c r="R37" s="69">
        <v>128.50344071044</v>
      </c>
      <c r="S37" s="69">
        <v>129.66097880651699</v>
      </c>
      <c r="T37" s="69">
        <v>42.487681298206397</v>
      </c>
      <c r="U37" s="69">
        <v>56.833468468699898</v>
      </c>
      <c r="V37" s="69">
        <v>35.004017469484097</v>
      </c>
      <c r="W37" s="69">
        <v>130.53086839018599</v>
      </c>
      <c r="X37" s="69">
        <v>86.618787607114101</v>
      </c>
      <c r="Y37" s="69">
        <v>65.191501860823493</v>
      </c>
      <c r="Z37" s="69">
        <v>40.650364363126698</v>
      </c>
      <c r="AA37" s="69">
        <v>206.70521636524501</v>
      </c>
      <c r="AB37" s="69">
        <v>136.95110371927399</v>
      </c>
      <c r="AC37" s="69">
        <v>370.45517261915899</v>
      </c>
      <c r="AD37" s="69">
        <v>153.83177803103899</v>
      </c>
      <c r="AE37" s="69">
        <v>459.74198348047099</v>
      </c>
      <c r="AF37" s="69">
        <v>233.964682013302</v>
      </c>
      <c r="AG37" s="69">
        <v>1023.62979921718</v>
      </c>
      <c r="AH37" s="69">
        <v>22348.1950981017</v>
      </c>
      <c r="AI37" s="69">
        <v>2087.0392709697699</v>
      </c>
      <c r="AJ37" s="69">
        <v>415.510225252216</v>
      </c>
      <c r="AK37" s="69">
        <v>316.49022447077101</v>
      </c>
      <c r="AL37" s="69">
        <v>131.741547224904</v>
      </c>
      <c r="AM37" s="69">
        <v>8322.0572209466809</v>
      </c>
      <c r="AN37" s="69">
        <v>316.47272141915101</v>
      </c>
      <c r="AO37" s="69">
        <v>132.26236870929199</v>
      </c>
      <c r="AP37" s="69">
        <v>4662.13317718694</v>
      </c>
      <c r="AQ37" s="69">
        <v>1255.9110701526599</v>
      </c>
      <c r="AR37" s="69">
        <v>353.279981586769</v>
      </c>
      <c r="AS37" s="69">
        <v>163.809002604353</v>
      </c>
      <c r="AT37" s="69">
        <v>11.185509833486</v>
      </c>
      <c r="AU37" s="69">
        <v>244.61773582587901</v>
      </c>
      <c r="AV37" s="69">
        <v>12.041269691237799</v>
      </c>
      <c r="AW37" s="69">
        <v>57.741154955273203</v>
      </c>
      <c r="AX37" s="69">
        <v>12.039396480792901</v>
      </c>
      <c r="AY37" s="69">
        <v>9.5899151806330991</v>
      </c>
      <c r="AZ37" s="69">
        <v>80.0810261182353</v>
      </c>
      <c r="BA37" s="69">
        <v>74.2226782223659</v>
      </c>
      <c r="BB37" s="69">
        <v>23.883547589021202</v>
      </c>
      <c r="BC37" s="69">
        <v>35.481631304601898</v>
      </c>
      <c r="BD37" s="69">
        <v>52.519396910805497</v>
      </c>
      <c r="BE37" s="69">
        <v>58.378691476516103</v>
      </c>
      <c r="BF37" s="69">
        <v>21.024434013961201</v>
      </c>
      <c r="BG37" s="69">
        <v>42.850860191175101</v>
      </c>
      <c r="BH37" s="69">
        <v>1851.7442447527801</v>
      </c>
      <c r="BI37" s="69">
        <v>10.526799575103601</v>
      </c>
      <c r="BJ37" s="69">
        <v>192.88093364205201</v>
      </c>
      <c r="BK37" s="69">
        <v>35.063261462814999</v>
      </c>
      <c r="BL37" s="69">
        <v>8.6591104925027391</v>
      </c>
      <c r="BM37" s="69">
        <v>330.36942866555199</v>
      </c>
      <c r="BN37" s="69">
        <v>79.528469187048898</v>
      </c>
      <c r="BO37" s="69">
        <v>22.430606284662002</v>
      </c>
      <c r="BP37" s="69">
        <v>68.397129009109804</v>
      </c>
      <c r="BQ37" s="70">
        <v>0</v>
      </c>
      <c r="BR37" s="71">
        <v>62895.4457013344</v>
      </c>
      <c r="BS37" s="72">
        <v>42051.354212926097</v>
      </c>
      <c r="BT37" s="73">
        <v>3.27776032419195</v>
      </c>
      <c r="BU37" s="73">
        <v>0</v>
      </c>
      <c r="BV37" s="73">
        <v>7906.2087052106699</v>
      </c>
      <c r="BW37" s="73">
        <v>127830.09857586199</v>
      </c>
      <c r="BX37" s="74">
        <v>2296.6150443421802</v>
      </c>
      <c r="BY37" s="71">
        <v>180087.55429866599</v>
      </c>
      <c r="BZ37" s="75">
        <v>242983</v>
      </c>
    </row>
    <row r="38" spans="1:78" ht="15" customHeight="1" x14ac:dyDescent="0.3">
      <c r="A38" s="33" t="s">
        <v>56</v>
      </c>
      <c r="B38" s="11" t="s">
        <v>124</v>
      </c>
      <c r="C38" s="68">
        <v>21.702602158234502</v>
      </c>
      <c r="D38" s="69">
        <v>12.848719401957601</v>
      </c>
      <c r="E38" s="69">
        <v>1.04126825187872</v>
      </c>
      <c r="F38" s="69">
        <v>2.2406968462852701</v>
      </c>
      <c r="G38" s="69">
        <v>59.326251111641398</v>
      </c>
      <c r="H38" s="69">
        <v>59.131702834368603</v>
      </c>
      <c r="I38" s="69">
        <v>5.5568791525689996</v>
      </c>
      <c r="J38" s="69">
        <v>33.902665552757703</v>
      </c>
      <c r="K38" s="69">
        <v>165.33569208779801</v>
      </c>
      <c r="L38" s="69">
        <v>39.463591616205399</v>
      </c>
      <c r="M38" s="69">
        <v>13.5946002808678</v>
      </c>
      <c r="N38" s="69">
        <v>1.5631747858357901</v>
      </c>
      <c r="O38" s="69">
        <v>14.2540572339225</v>
      </c>
      <c r="P38" s="69">
        <v>6.6454456798028598</v>
      </c>
      <c r="Q38" s="69">
        <v>5.7607295524062803</v>
      </c>
      <c r="R38" s="69">
        <v>5.8250831422833302</v>
      </c>
      <c r="S38" s="69">
        <v>13.620743282421</v>
      </c>
      <c r="T38" s="69">
        <v>2.1628963730394601</v>
      </c>
      <c r="U38" s="69">
        <v>3.7452525632795699</v>
      </c>
      <c r="V38" s="69">
        <v>2.7276458400605601</v>
      </c>
      <c r="W38" s="69">
        <v>21.194767753740201</v>
      </c>
      <c r="X38" s="69">
        <v>54.230650346077603</v>
      </c>
      <c r="Y38" s="69">
        <v>7.9357430079077202</v>
      </c>
      <c r="Z38" s="69">
        <v>11.556355705549899</v>
      </c>
      <c r="AA38" s="69">
        <v>30.687074825409301</v>
      </c>
      <c r="AB38" s="69">
        <v>14.9897339391574</v>
      </c>
      <c r="AC38" s="69">
        <v>19.706633562533099</v>
      </c>
      <c r="AD38" s="69">
        <v>13.7602994634764</v>
      </c>
      <c r="AE38" s="69">
        <v>26.884967453130901</v>
      </c>
      <c r="AF38" s="69">
        <v>51.793556467118698</v>
      </c>
      <c r="AG38" s="69">
        <v>277.53687810240899</v>
      </c>
      <c r="AH38" s="69">
        <v>246.10500016706999</v>
      </c>
      <c r="AI38" s="69">
        <v>9536.57610427078</v>
      </c>
      <c r="AJ38" s="69">
        <v>384.45016824430201</v>
      </c>
      <c r="AK38" s="69">
        <v>108.929398796554</v>
      </c>
      <c r="AL38" s="69">
        <v>18.705065998682301</v>
      </c>
      <c r="AM38" s="69">
        <v>129.306627990869</v>
      </c>
      <c r="AN38" s="69">
        <v>128.114243551237</v>
      </c>
      <c r="AO38" s="69">
        <v>11.344196606093</v>
      </c>
      <c r="AP38" s="69">
        <v>291.62419662051798</v>
      </c>
      <c r="AQ38" s="69">
        <v>917.23303350282799</v>
      </c>
      <c r="AR38" s="69">
        <v>1113.7482059901699</v>
      </c>
      <c r="AS38" s="69">
        <v>2.1711240397502301</v>
      </c>
      <c r="AT38" s="69">
        <v>0.32836661545956303</v>
      </c>
      <c r="AU38" s="69">
        <v>7.2975610947203498</v>
      </c>
      <c r="AV38" s="69">
        <v>2.4266605185704502</v>
      </c>
      <c r="AW38" s="69">
        <v>15.241480067325501</v>
      </c>
      <c r="AX38" s="69">
        <v>0.98242152069646205</v>
      </c>
      <c r="AY38" s="69">
        <v>2.4334738220597001</v>
      </c>
      <c r="AZ38" s="69">
        <v>25.864898769402799</v>
      </c>
      <c r="BA38" s="69">
        <v>9.0999886674816395</v>
      </c>
      <c r="BB38" s="69">
        <v>6.11308075514272</v>
      </c>
      <c r="BC38" s="69">
        <v>12.454664049795801</v>
      </c>
      <c r="BD38" s="69">
        <v>15.347544965065801</v>
      </c>
      <c r="BE38" s="69">
        <v>43.733823565261602</v>
      </c>
      <c r="BF38" s="69">
        <v>5.1200737828351102</v>
      </c>
      <c r="BG38" s="69">
        <v>8.2530183514805202</v>
      </c>
      <c r="BH38" s="69">
        <v>36.335216967427698</v>
      </c>
      <c r="BI38" s="69">
        <v>0.58293876648167797</v>
      </c>
      <c r="BJ38" s="69">
        <v>89.703435059576904</v>
      </c>
      <c r="BK38" s="69">
        <v>9.8057243270943193</v>
      </c>
      <c r="BL38" s="69">
        <v>4.5769076392321502</v>
      </c>
      <c r="BM38" s="69">
        <v>15.3353152791017</v>
      </c>
      <c r="BN38" s="69">
        <v>12.259682664990599</v>
      </c>
      <c r="BO38" s="69">
        <v>3.8285458716931098</v>
      </c>
      <c r="BP38" s="69">
        <v>17.266526854931001</v>
      </c>
      <c r="BQ38" s="70">
        <v>0</v>
      </c>
      <c r="BR38" s="71">
        <v>14233.4250741288</v>
      </c>
      <c r="BS38" s="72">
        <v>38835.793813136603</v>
      </c>
      <c r="BT38" s="73">
        <v>1.7427804594537299</v>
      </c>
      <c r="BU38" s="73">
        <v>0</v>
      </c>
      <c r="BV38" s="73">
        <v>81948.236771864395</v>
      </c>
      <c r="BW38" s="73">
        <v>106226.770395896</v>
      </c>
      <c r="BX38" s="74">
        <v>437.03116451426303</v>
      </c>
      <c r="BY38" s="71">
        <v>227449.57492587101</v>
      </c>
      <c r="BZ38" s="75">
        <v>241683</v>
      </c>
    </row>
    <row r="39" spans="1:78" ht="15" customHeight="1" x14ac:dyDescent="0.3">
      <c r="A39" s="33" t="s">
        <v>57</v>
      </c>
      <c r="B39" s="11" t="s">
        <v>125</v>
      </c>
      <c r="C39" s="68">
        <v>49.567127084970203</v>
      </c>
      <c r="D39" s="69">
        <v>30.734918913620898</v>
      </c>
      <c r="E39" s="69">
        <v>2.3151199006615801</v>
      </c>
      <c r="F39" s="69">
        <v>13.4291367473944</v>
      </c>
      <c r="G39" s="69">
        <v>197.338709896692</v>
      </c>
      <c r="H39" s="69">
        <v>186.00967212944499</v>
      </c>
      <c r="I39" s="69">
        <v>24.133920015923099</v>
      </c>
      <c r="J39" s="69">
        <v>105.487240888945</v>
      </c>
      <c r="K39" s="69">
        <v>10.2406521649427</v>
      </c>
      <c r="L39" s="69">
        <v>142.76931083874001</v>
      </c>
      <c r="M39" s="69">
        <v>103.708983726152</v>
      </c>
      <c r="N39" s="69">
        <v>1.9221761796294301</v>
      </c>
      <c r="O39" s="69">
        <v>19.007974590686601</v>
      </c>
      <c r="P39" s="69">
        <v>10.2543106129694</v>
      </c>
      <c r="Q39" s="69">
        <v>13.162670962194399</v>
      </c>
      <c r="R39" s="69">
        <v>18.182813123920599</v>
      </c>
      <c r="S39" s="69">
        <v>28.4601186850979</v>
      </c>
      <c r="T39" s="69">
        <v>11.5784344608468</v>
      </c>
      <c r="U39" s="69">
        <v>23.819681011178702</v>
      </c>
      <c r="V39" s="69">
        <v>7.4155797643208397</v>
      </c>
      <c r="W39" s="69">
        <v>49.728196185194399</v>
      </c>
      <c r="X39" s="69">
        <v>42.4958849771049</v>
      </c>
      <c r="Y39" s="69">
        <v>35.466869329437301</v>
      </c>
      <c r="Z39" s="69">
        <v>19.017583742700001</v>
      </c>
      <c r="AA39" s="69">
        <v>115.4583843102</v>
      </c>
      <c r="AB39" s="69">
        <v>60.222248664959601</v>
      </c>
      <c r="AC39" s="69">
        <v>94.358417290864395</v>
      </c>
      <c r="AD39" s="69">
        <v>59.5075970595746</v>
      </c>
      <c r="AE39" s="69">
        <v>215.27779057413801</v>
      </c>
      <c r="AF39" s="69">
        <v>112.176401952389</v>
      </c>
      <c r="AG39" s="69">
        <v>232.165505925677</v>
      </c>
      <c r="AH39" s="69">
        <v>618.04311773738004</v>
      </c>
      <c r="AI39" s="69">
        <v>54327.021366219204</v>
      </c>
      <c r="AJ39" s="69">
        <v>15525.7940219302</v>
      </c>
      <c r="AK39" s="69">
        <v>102.89913759957901</v>
      </c>
      <c r="AL39" s="69">
        <v>56.703743385543198</v>
      </c>
      <c r="AM39" s="69">
        <v>264.64161498966598</v>
      </c>
      <c r="AN39" s="69">
        <v>81.543040686932102</v>
      </c>
      <c r="AO39" s="69">
        <v>22.593751770974901</v>
      </c>
      <c r="AP39" s="69">
        <v>683.41764100425303</v>
      </c>
      <c r="AQ39" s="69">
        <v>23542.458315310902</v>
      </c>
      <c r="AR39" s="69">
        <v>15645.093495306601</v>
      </c>
      <c r="AS39" s="69">
        <v>4.6886293708762299</v>
      </c>
      <c r="AT39" s="69">
        <v>4.1484868239867199</v>
      </c>
      <c r="AU39" s="69">
        <v>28.152261939332501</v>
      </c>
      <c r="AV39" s="69">
        <v>8.9374725369809394</v>
      </c>
      <c r="AW39" s="69">
        <v>48.055943591886397</v>
      </c>
      <c r="AX39" s="69">
        <v>1.96558566661081</v>
      </c>
      <c r="AY39" s="69">
        <v>4.2465058420145203</v>
      </c>
      <c r="AZ39" s="69">
        <v>22.7145845480056</v>
      </c>
      <c r="BA39" s="69">
        <v>23.194201898746101</v>
      </c>
      <c r="BB39" s="69">
        <v>27.425277028100901</v>
      </c>
      <c r="BC39" s="69">
        <v>22.100570519833401</v>
      </c>
      <c r="BD39" s="69">
        <v>34.253429558600899</v>
      </c>
      <c r="BE39" s="69">
        <v>62.765910884624397</v>
      </c>
      <c r="BF39" s="69">
        <v>12.0945650190235</v>
      </c>
      <c r="BG39" s="69">
        <v>256.82214103287401</v>
      </c>
      <c r="BH39" s="69">
        <v>74.557796835036896</v>
      </c>
      <c r="BI39" s="69">
        <v>3.2530371425547999</v>
      </c>
      <c r="BJ39" s="69">
        <v>1644.10474874228</v>
      </c>
      <c r="BK39" s="69">
        <v>290.44776393602803</v>
      </c>
      <c r="BL39" s="69">
        <v>28.3400271883492</v>
      </c>
      <c r="BM39" s="69">
        <v>275.61766471105699</v>
      </c>
      <c r="BN39" s="69">
        <v>27.318594484458099</v>
      </c>
      <c r="BO39" s="69">
        <v>20.614899587181501</v>
      </c>
      <c r="BP39" s="69">
        <v>30.325010859293901</v>
      </c>
      <c r="BQ39" s="70">
        <v>0</v>
      </c>
      <c r="BR39" s="71">
        <v>115861.76778739999</v>
      </c>
      <c r="BS39" s="72">
        <v>23393.568383379199</v>
      </c>
      <c r="BT39" s="73">
        <v>1.9760660327664401</v>
      </c>
      <c r="BU39" s="73">
        <v>0</v>
      </c>
      <c r="BV39" s="73">
        <v>2000.9853374253701</v>
      </c>
      <c r="BW39" s="73">
        <v>4221.4275360096099</v>
      </c>
      <c r="BX39" s="74">
        <v>43.2748897533763</v>
      </c>
      <c r="BY39" s="71">
        <v>29661.232212600298</v>
      </c>
      <c r="BZ39" s="75">
        <v>145523</v>
      </c>
    </row>
    <row r="40" spans="1:78" ht="15" customHeight="1" x14ac:dyDescent="0.3">
      <c r="A40" s="33" t="s">
        <v>58</v>
      </c>
      <c r="B40" s="11" t="s">
        <v>126</v>
      </c>
      <c r="C40" s="68">
        <v>6.7315279884272403</v>
      </c>
      <c r="D40" s="69">
        <v>3.9341543821319598</v>
      </c>
      <c r="E40" s="69">
        <v>1.2606509924826901</v>
      </c>
      <c r="F40" s="69">
        <v>8.4980919474817593</v>
      </c>
      <c r="G40" s="69">
        <v>62.468980067786703</v>
      </c>
      <c r="H40" s="69">
        <v>69.177721051844898</v>
      </c>
      <c r="I40" s="69">
        <v>10.076376364355999</v>
      </c>
      <c r="J40" s="69">
        <v>27.866785908729</v>
      </c>
      <c r="K40" s="69">
        <v>8.7286111188719904</v>
      </c>
      <c r="L40" s="69">
        <v>25.4708451920336</v>
      </c>
      <c r="M40" s="69">
        <v>18.404823410521701</v>
      </c>
      <c r="N40" s="69">
        <v>0.84449606490555595</v>
      </c>
      <c r="O40" s="69">
        <v>3.19754953988692</v>
      </c>
      <c r="P40" s="69">
        <v>12.299518545023901</v>
      </c>
      <c r="Q40" s="69">
        <v>3.7328696076072201</v>
      </c>
      <c r="R40" s="69">
        <v>9.9538508838036908</v>
      </c>
      <c r="S40" s="69">
        <v>31.0414714339407</v>
      </c>
      <c r="T40" s="69">
        <v>9.4276399783242493</v>
      </c>
      <c r="U40" s="69">
        <v>11.898656072927601</v>
      </c>
      <c r="V40" s="69">
        <v>8.7538989043045898</v>
      </c>
      <c r="W40" s="69">
        <v>25.9155936831032</v>
      </c>
      <c r="X40" s="69">
        <v>11.078521705189299</v>
      </c>
      <c r="Y40" s="69">
        <v>7.3511234286943203</v>
      </c>
      <c r="Z40" s="69">
        <v>11.672907356946199</v>
      </c>
      <c r="AA40" s="69">
        <v>20.169603769631401</v>
      </c>
      <c r="AB40" s="69">
        <v>25.3282835788253</v>
      </c>
      <c r="AC40" s="69">
        <v>78.323287504528096</v>
      </c>
      <c r="AD40" s="69">
        <v>22.354590237451799</v>
      </c>
      <c r="AE40" s="69">
        <v>33.151849096403197</v>
      </c>
      <c r="AF40" s="69">
        <v>6.7382397664243996</v>
      </c>
      <c r="AG40" s="69">
        <v>28.181439521927601</v>
      </c>
      <c r="AH40" s="69">
        <v>126.63819687484499</v>
      </c>
      <c r="AI40" s="69">
        <v>83.414948806905599</v>
      </c>
      <c r="AJ40" s="69">
        <v>35.630078676561901</v>
      </c>
      <c r="AK40" s="69">
        <v>2857.9037699716</v>
      </c>
      <c r="AL40" s="69">
        <v>17.710749332273501</v>
      </c>
      <c r="AM40" s="69">
        <v>381.537107041198</v>
      </c>
      <c r="AN40" s="69">
        <v>21.291695506869701</v>
      </c>
      <c r="AO40" s="69">
        <v>13.046376449903301</v>
      </c>
      <c r="AP40" s="69">
        <v>91.336238762511101</v>
      </c>
      <c r="AQ40" s="69">
        <v>177.784355793911</v>
      </c>
      <c r="AR40" s="69">
        <v>530.16355876061698</v>
      </c>
      <c r="AS40" s="69">
        <v>7.8925357960830897</v>
      </c>
      <c r="AT40" s="69">
        <v>1.5245448371966499</v>
      </c>
      <c r="AU40" s="69">
        <v>29.263731017849999</v>
      </c>
      <c r="AV40" s="69">
        <v>0.75117061360275605</v>
      </c>
      <c r="AW40" s="69">
        <v>8.0442016212205907</v>
      </c>
      <c r="AX40" s="69">
        <v>3.3055527000455398</v>
      </c>
      <c r="AY40" s="69">
        <v>1.5815958581385201</v>
      </c>
      <c r="AZ40" s="69">
        <v>6.02561326676331</v>
      </c>
      <c r="BA40" s="69">
        <v>18.6979684943087</v>
      </c>
      <c r="BB40" s="69">
        <v>6.1900485052640697</v>
      </c>
      <c r="BC40" s="69">
        <v>3.46618772490292</v>
      </c>
      <c r="BD40" s="69">
        <v>11.219265140886399</v>
      </c>
      <c r="BE40" s="69">
        <v>20.7955635673407</v>
      </c>
      <c r="BF40" s="69">
        <v>5.2226622853905402</v>
      </c>
      <c r="BG40" s="69">
        <v>12.728306641728199</v>
      </c>
      <c r="BH40" s="69">
        <v>22.520338605559999</v>
      </c>
      <c r="BI40" s="69">
        <v>2.3858424290840898</v>
      </c>
      <c r="BJ40" s="69">
        <v>313.61222456209202</v>
      </c>
      <c r="BK40" s="69">
        <v>8.33389202125284</v>
      </c>
      <c r="BL40" s="69">
        <v>2.64699444540397</v>
      </c>
      <c r="BM40" s="69">
        <v>32.352210080374398</v>
      </c>
      <c r="BN40" s="69">
        <v>63.793280096727898</v>
      </c>
      <c r="BO40" s="69">
        <v>6.0802364323935398</v>
      </c>
      <c r="BP40" s="69">
        <v>33.940557701645403</v>
      </c>
      <c r="BQ40" s="70">
        <v>0</v>
      </c>
      <c r="BR40" s="71">
        <v>5562.8655595269702</v>
      </c>
      <c r="BS40" s="72">
        <v>8780.7120871820298</v>
      </c>
      <c r="BT40" s="73">
        <v>0.39207659380286503</v>
      </c>
      <c r="BU40" s="73">
        <v>0</v>
      </c>
      <c r="BV40" s="73">
        <v>8498.5182147930609</v>
      </c>
      <c r="BW40" s="73">
        <v>13052.9023585123</v>
      </c>
      <c r="BX40" s="74">
        <v>14629.609703391799</v>
      </c>
      <c r="BY40" s="71">
        <v>44962.134440472997</v>
      </c>
      <c r="BZ40" s="75">
        <v>50524.999999999898</v>
      </c>
    </row>
    <row r="41" spans="1:78" ht="15" customHeight="1" x14ac:dyDescent="0.3">
      <c r="A41" s="33" t="s">
        <v>59</v>
      </c>
      <c r="B41" s="11" t="s">
        <v>127</v>
      </c>
      <c r="C41" s="68">
        <v>70.278936767963799</v>
      </c>
      <c r="D41" s="69">
        <v>55.119483870738598</v>
      </c>
      <c r="E41" s="69">
        <v>12.495372342599101</v>
      </c>
      <c r="F41" s="69">
        <v>9.8103682469867408</v>
      </c>
      <c r="G41" s="69">
        <v>142.72947212665099</v>
      </c>
      <c r="H41" s="69">
        <v>139.24267086038901</v>
      </c>
      <c r="I41" s="69">
        <v>16.2275957964127</v>
      </c>
      <c r="J41" s="69">
        <v>122.72670039585999</v>
      </c>
      <c r="K41" s="69">
        <v>21.103620498620899</v>
      </c>
      <c r="L41" s="69">
        <v>199.06089487963899</v>
      </c>
      <c r="M41" s="69">
        <v>122.596179881482</v>
      </c>
      <c r="N41" s="69">
        <v>2.3247843699425901</v>
      </c>
      <c r="O41" s="69">
        <v>118.43751713832501</v>
      </c>
      <c r="P41" s="69">
        <v>1234.92015955072</v>
      </c>
      <c r="Q41" s="69">
        <v>186.17118880471301</v>
      </c>
      <c r="R41" s="69">
        <v>59.182536631427702</v>
      </c>
      <c r="S41" s="69">
        <v>54.900875785004899</v>
      </c>
      <c r="T41" s="69">
        <v>20.4608869066778</v>
      </c>
      <c r="U41" s="69">
        <v>30.732786207530399</v>
      </c>
      <c r="V41" s="69">
        <v>8.8995727593034104</v>
      </c>
      <c r="W41" s="69">
        <v>232.04074722918</v>
      </c>
      <c r="X41" s="69">
        <v>103.302589922715</v>
      </c>
      <c r="Y41" s="69">
        <v>49.812156575341596</v>
      </c>
      <c r="Z41" s="69">
        <v>73.747259514350702</v>
      </c>
      <c r="AA41" s="69">
        <v>270.32862140395298</v>
      </c>
      <c r="AB41" s="69">
        <v>213.937442160731</v>
      </c>
      <c r="AC41" s="69">
        <v>64.941841705426498</v>
      </c>
      <c r="AD41" s="69">
        <v>32.717103591250797</v>
      </c>
      <c r="AE41" s="69">
        <v>148.860810885782</v>
      </c>
      <c r="AF41" s="69">
        <v>127.659965516246</v>
      </c>
      <c r="AG41" s="69">
        <v>124.147999778675</v>
      </c>
      <c r="AH41" s="69">
        <v>720.534273759141</v>
      </c>
      <c r="AI41" s="69">
        <v>358.58411625428101</v>
      </c>
      <c r="AJ41" s="69">
        <v>714.837011154366</v>
      </c>
      <c r="AK41" s="69">
        <v>49.422291713250601</v>
      </c>
      <c r="AL41" s="69">
        <v>1989.28904080284</v>
      </c>
      <c r="AM41" s="69">
        <v>215.41092191564701</v>
      </c>
      <c r="AN41" s="69">
        <v>78.424042202009701</v>
      </c>
      <c r="AO41" s="69">
        <v>66.219103274940807</v>
      </c>
      <c r="AP41" s="69">
        <v>1134.5708374321</v>
      </c>
      <c r="AQ41" s="69">
        <v>716.17112085905205</v>
      </c>
      <c r="AR41" s="69">
        <v>139.90560188444201</v>
      </c>
      <c r="AS41" s="69">
        <v>125.630408231736</v>
      </c>
      <c r="AT41" s="69">
        <v>2.5425855934897101</v>
      </c>
      <c r="AU41" s="69">
        <v>206.84849221612001</v>
      </c>
      <c r="AV41" s="69">
        <v>14.6085694572474</v>
      </c>
      <c r="AW41" s="69">
        <v>41.668586915403701</v>
      </c>
      <c r="AX41" s="69">
        <v>3.37801627927599</v>
      </c>
      <c r="AY41" s="69">
        <v>43.8268359824839</v>
      </c>
      <c r="AZ41" s="69">
        <v>8.5482391385399303</v>
      </c>
      <c r="BA41" s="69">
        <v>105.88295317442601</v>
      </c>
      <c r="BB41" s="69">
        <v>146.26357780979899</v>
      </c>
      <c r="BC41" s="69">
        <v>134.72671606701999</v>
      </c>
      <c r="BD41" s="69">
        <v>229.20805771104401</v>
      </c>
      <c r="BE41" s="69">
        <v>342.50731864120002</v>
      </c>
      <c r="BF41" s="69">
        <v>350.57738916505002</v>
      </c>
      <c r="BG41" s="69">
        <v>413.938360809274</v>
      </c>
      <c r="BH41" s="69">
        <v>182.55965069004199</v>
      </c>
      <c r="BI41" s="69">
        <v>18.7575943870157</v>
      </c>
      <c r="BJ41" s="69">
        <v>1009.00951641964</v>
      </c>
      <c r="BK41" s="69">
        <v>858.69310405511499</v>
      </c>
      <c r="BL41" s="69">
        <v>38.826035602299399</v>
      </c>
      <c r="BM41" s="69">
        <v>3641.2339023703298</v>
      </c>
      <c r="BN41" s="69">
        <v>11228.9806296886</v>
      </c>
      <c r="BO41" s="69">
        <v>123.3376105194</v>
      </c>
      <c r="BP41" s="69">
        <v>116.943583877124</v>
      </c>
      <c r="BQ41" s="70">
        <v>0</v>
      </c>
      <c r="BR41" s="71">
        <v>29640.784238158401</v>
      </c>
      <c r="BS41" s="72">
        <v>10061.8061114421</v>
      </c>
      <c r="BT41" s="73">
        <v>26.218499018726099</v>
      </c>
      <c r="BU41" s="73">
        <v>0</v>
      </c>
      <c r="BV41" s="73">
        <v>59419.032906861903</v>
      </c>
      <c r="BW41" s="73">
        <v>11819.1886838357</v>
      </c>
      <c r="BX41" s="74">
        <v>2089.9695606831901</v>
      </c>
      <c r="BY41" s="71">
        <v>83416.215761841595</v>
      </c>
      <c r="BZ41" s="75">
        <v>113057</v>
      </c>
    </row>
    <row r="42" spans="1:78" ht="15" customHeight="1" x14ac:dyDescent="0.3">
      <c r="A42" s="33" t="s">
        <v>60</v>
      </c>
      <c r="B42" s="11" t="s">
        <v>128</v>
      </c>
      <c r="C42" s="68">
        <v>172.58494201444901</v>
      </c>
      <c r="D42" s="69">
        <v>65.122775176806599</v>
      </c>
      <c r="E42" s="69">
        <v>134.32522685625901</v>
      </c>
      <c r="F42" s="69">
        <v>1116.84499385969</v>
      </c>
      <c r="G42" s="69">
        <v>3792.3320095403401</v>
      </c>
      <c r="H42" s="69">
        <v>3142.1738227953601</v>
      </c>
      <c r="I42" s="69">
        <v>760.86348034514697</v>
      </c>
      <c r="J42" s="69">
        <v>1571.1123609547999</v>
      </c>
      <c r="K42" s="69">
        <v>1130.7233709141501</v>
      </c>
      <c r="L42" s="69">
        <v>853.40645158360496</v>
      </c>
      <c r="M42" s="69">
        <v>554.07143501130804</v>
      </c>
      <c r="N42" s="69">
        <v>18.958229010158</v>
      </c>
      <c r="O42" s="69">
        <v>185.23625390018799</v>
      </c>
      <c r="P42" s="69">
        <v>281.840734136435</v>
      </c>
      <c r="Q42" s="69">
        <v>161.48568051503801</v>
      </c>
      <c r="R42" s="69">
        <v>1106.9792208224201</v>
      </c>
      <c r="S42" s="69">
        <v>4140.6800850202399</v>
      </c>
      <c r="T42" s="69">
        <v>1305.5808488236</v>
      </c>
      <c r="U42" s="69">
        <v>1541.3222213686099</v>
      </c>
      <c r="V42" s="69">
        <v>1208.91077929021</v>
      </c>
      <c r="W42" s="69">
        <v>2604.0208496534001</v>
      </c>
      <c r="X42" s="69">
        <v>895.54165549403604</v>
      </c>
      <c r="Y42" s="69">
        <v>265.14816407098402</v>
      </c>
      <c r="Z42" s="69">
        <v>776.23137671465497</v>
      </c>
      <c r="AA42" s="69">
        <v>731.03848399700803</v>
      </c>
      <c r="AB42" s="69">
        <v>3044.4904104096199</v>
      </c>
      <c r="AC42" s="69">
        <v>10292.7259980217</v>
      </c>
      <c r="AD42" s="69">
        <v>2698.7384156961998</v>
      </c>
      <c r="AE42" s="69">
        <v>922.527670664894</v>
      </c>
      <c r="AF42" s="69">
        <v>130.55793203026099</v>
      </c>
      <c r="AG42" s="69">
        <v>651.74228912158401</v>
      </c>
      <c r="AH42" s="69">
        <v>2467.4860538596899</v>
      </c>
      <c r="AI42" s="69">
        <v>232.12487932741999</v>
      </c>
      <c r="AJ42" s="69">
        <v>762.12669956988805</v>
      </c>
      <c r="AK42" s="69">
        <v>208.72457054684801</v>
      </c>
      <c r="AL42" s="69">
        <v>922.31002344406204</v>
      </c>
      <c r="AM42" s="69">
        <v>1148.37006214139</v>
      </c>
      <c r="AN42" s="69">
        <v>1982.14747210415</v>
      </c>
      <c r="AO42" s="69">
        <v>1516.38305122468</v>
      </c>
      <c r="AP42" s="69">
        <v>2281.8348066132198</v>
      </c>
      <c r="AQ42" s="69">
        <v>6847.9793094811903</v>
      </c>
      <c r="AR42" s="69">
        <v>698.593337505009</v>
      </c>
      <c r="AS42" s="69">
        <v>990.58143279108299</v>
      </c>
      <c r="AT42" s="69">
        <v>218.931532777462</v>
      </c>
      <c r="AU42" s="69">
        <v>3937.3169614477101</v>
      </c>
      <c r="AV42" s="69">
        <v>9.2837235705685703</v>
      </c>
      <c r="AW42" s="69">
        <v>387.705139006617</v>
      </c>
      <c r="AX42" s="69">
        <v>464.07071157843302</v>
      </c>
      <c r="AY42" s="69">
        <v>156.39285623667399</v>
      </c>
      <c r="AZ42" s="69">
        <v>455.491685823713</v>
      </c>
      <c r="BA42" s="69">
        <v>2058.0547702491699</v>
      </c>
      <c r="BB42" s="69">
        <v>457.174757678101</v>
      </c>
      <c r="BC42" s="69">
        <v>198.08397669070999</v>
      </c>
      <c r="BD42" s="69">
        <v>1096.9411214274601</v>
      </c>
      <c r="BE42" s="69">
        <v>251.335990817452</v>
      </c>
      <c r="BF42" s="69">
        <v>335.65676789811101</v>
      </c>
      <c r="BG42" s="69">
        <v>1385.22206215131</v>
      </c>
      <c r="BH42" s="69">
        <v>1464.63243386463</v>
      </c>
      <c r="BI42" s="69">
        <v>296.99212039013798</v>
      </c>
      <c r="BJ42" s="69">
        <v>1457.60501386033</v>
      </c>
      <c r="BK42" s="69">
        <v>173.10410118625001</v>
      </c>
      <c r="BL42" s="69">
        <v>1.8631540603308101</v>
      </c>
      <c r="BM42" s="69">
        <v>1691.84273572611</v>
      </c>
      <c r="BN42" s="69">
        <v>1014.2803004045099</v>
      </c>
      <c r="BO42" s="69">
        <v>581.23176858097997</v>
      </c>
      <c r="BP42" s="69">
        <v>824.05595409061903</v>
      </c>
      <c r="BQ42" s="70">
        <v>0</v>
      </c>
      <c r="BR42" s="71">
        <v>85233.249505939195</v>
      </c>
      <c r="BS42" s="72">
        <v>3779.4721673568101</v>
      </c>
      <c r="BT42" s="73">
        <v>0.77435127276065796</v>
      </c>
      <c r="BU42" s="73">
        <v>0</v>
      </c>
      <c r="BV42" s="73">
        <v>958.110339485483</v>
      </c>
      <c r="BW42" s="73">
        <v>17866.842332039902</v>
      </c>
      <c r="BX42" s="74">
        <v>100.55130390591999</v>
      </c>
      <c r="BY42" s="71">
        <v>22705.7504940609</v>
      </c>
      <c r="BZ42" s="75">
        <v>107939</v>
      </c>
    </row>
    <row r="43" spans="1:78" ht="15" customHeight="1" x14ac:dyDescent="0.3">
      <c r="A43" s="33" t="s">
        <v>61</v>
      </c>
      <c r="B43" s="11" t="s">
        <v>129</v>
      </c>
      <c r="C43" s="68">
        <v>11016.5837182122</v>
      </c>
      <c r="D43" s="69">
        <v>6322.3900008074097</v>
      </c>
      <c r="E43" s="69">
        <v>670.92862897368104</v>
      </c>
      <c r="F43" s="69">
        <v>1066.68570308161</v>
      </c>
      <c r="G43" s="69">
        <v>469.487137275029</v>
      </c>
      <c r="H43" s="69">
        <v>2690.7123753593601</v>
      </c>
      <c r="I43" s="69">
        <v>492.16458901972101</v>
      </c>
      <c r="J43" s="69">
        <v>2511.3450229253499</v>
      </c>
      <c r="K43" s="69">
        <v>133.126183659151</v>
      </c>
      <c r="L43" s="69">
        <v>4501.4309974895395</v>
      </c>
      <c r="M43" s="69">
        <v>966.99118109311701</v>
      </c>
      <c r="N43" s="69">
        <v>90.729752210810105</v>
      </c>
      <c r="O43" s="69">
        <v>1937.1202389303101</v>
      </c>
      <c r="P43" s="69">
        <v>264.07699099668901</v>
      </c>
      <c r="Q43" s="69">
        <v>302.01274255976398</v>
      </c>
      <c r="R43" s="69">
        <v>1691.5546161319501</v>
      </c>
      <c r="S43" s="69">
        <v>3593.0114065142302</v>
      </c>
      <c r="T43" s="69">
        <v>153.49986535745799</v>
      </c>
      <c r="U43" s="69">
        <v>76.819365020149604</v>
      </c>
      <c r="V43" s="69">
        <v>702.36807665224603</v>
      </c>
      <c r="W43" s="69">
        <v>8729.0502121537502</v>
      </c>
      <c r="X43" s="69">
        <v>1047.9703482595</v>
      </c>
      <c r="Y43" s="69">
        <v>273.66763941836803</v>
      </c>
      <c r="Z43" s="69">
        <v>431.06792980167802</v>
      </c>
      <c r="AA43" s="69">
        <v>3367.4719414821898</v>
      </c>
      <c r="AB43" s="69">
        <v>5369.7886023076098</v>
      </c>
      <c r="AC43" s="69">
        <v>4364.2899586436197</v>
      </c>
      <c r="AD43" s="69">
        <v>4331.1936742589096</v>
      </c>
      <c r="AE43" s="69">
        <v>1662.08428792731</v>
      </c>
      <c r="AF43" s="69">
        <v>219.554405934697</v>
      </c>
      <c r="AG43" s="69">
        <v>822.64879862380997</v>
      </c>
      <c r="AH43" s="69">
        <v>1027.0623865775899</v>
      </c>
      <c r="AI43" s="69">
        <v>694.33741196738401</v>
      </c>
      <c r="AJ43" s="69">
        <v>1566.4205300849901</v>
      </c>
      <c r="AK43" s="69">
        <v>248.329888851688</v>
      </c>
      <c r="AL43" s="69">
        <v>538.56574273379499</v>
      </c>
      <c r="AM43" s="69">
        <v>276.66038128260999</v>
      </c>
      <c r="AN43" s="69">
        <v>171982.564183048</v>
      </c>
      <c r="AO43" s="69">
        <v>4174.4187696294503</v>
      </c>
      <c r="AP43" s="69">
        <v>672.29474382762601</v>
      </c>
      <c r="AQ43" s="69">
        <v>27942.6695650644</v>
      </c>
      <c r="AR43" s="69">
        <v>1889.25563113873</v>
      </c>
      <c r="AS43" s="69">
        <v>73.488140218556097</v>
      </c>
      <c r="AT43" s="69">
        <v>38.737228183881797</v>
      </c>
      <c r="AU43" s="69">
        <v>1784.2444974744899</v>
      </c>
      <c r="AV43" s="69">
        <v>1912.4502980167999</v>
      </c>
      <c r="AW43" s="69">
        <v>1987.9461251590101</v>
      </c>
      <c r="AX43" s="69">
        <v>129.54631474186601</v>
      </c>
      <c r="AY43" s="69">
        <v>501.602830192471</v>
      </c>
      <c r="AZ43" s="69">
        <v>2195.4136122118698</v>
      </c>
      <c r="BA43" s="69">
        <v>1240.59166516302</v>
      </c>
      <c r="BB43" s="69">
        <v>2609.8884817539501</v>
      </c>
      <c r="BC43" s="69">
        <v>1079.0378188398599</v>
      </c>
      <c r="BD43" s="69">
        <v>1702.5872551852001</v>
      </c>
      <c r="BE43" s="69">
        <v>396.42757649546701</v>
      </c>
      <c r="BF43" s="69">
        <v>471.73879114836501</v>
      </c>
      <c r="BG43" s="69">
        <v>262.73148444657102</v>
      </c>
      <c r="BH43" s="69">
        <v>8286.6566299874394</v>
      </c>
      <c r="BI43" s="69">
        <v>129.544802888047</v>
      </c>
      <c r="BJ43" s="69">
        <v>6882.7485471166601</v>
      </c>
      <c r="BK43" s="69">
        <v>2149.0632922241998</v>
      </c>
      <c r="BL43" s="69">
        <v>3238.9319069711901</v>
      </c>
      <c r="BM43" s="69">
        <v>1857.07334523244</v>
      </c>
      <c r="BN43" s="69">
        <v>1955.7832042887101</v>
      </c>
      <c r="BO43" s="69">
        <v>1376.52126414399</v>
      </c>
      <c r="BP43" s="69">
        <v>3357.3762998062298</v>
      </c>
      <c r="BQ43" s="70">
        <v>0</v>
      </c>
      <c r="BR43" s="71">
        <v>326904.537037178</v>
      </c>
      <c r="BS43" s="72">
        <v>350.60037178616</v>
      </c>
      <c r="BT43" s="73">
        <v>0.58223374179725396</v>
      </c>
      <c r="BU43" s="73">
        <v>0</v>
      </c>
      <c r="BV43" s="73">
        <v>128052.402404999</v>
      </c>
      <c r="BW43" s="73">
        <v>387.87795229532901</v>
      </c>
      <c r="BX43" s="74">
        <v>0</v>
      </c>
      <c r="BY43" s="71">
        <v>128791.462962822</v>
      </c>
      <c r="BZ43" s="75">
        <v>455696</v>
      </c>
    </row>
    <row r="44" spans="1:78" ht="15" customHeight="1" x14ac:dyDescent="0.3">
      <c r="A44" s="33" t="s">
        <v>62</v>
      </c>
      <c r="B44" s="11" t="s">
        <v>130</v>
      </c>
      <c r="C44" s="68">
        <v>21.715540900382098</v>
      </c>
      <c r="D44" s="69">
        <v>5.3097768842308</v>
      </c>
      <c r="E44" s="69">
        <v>2.2308452529476899</v>
      </c>
      <c r="F44" s="69">
        <v>45.294733656722798</v>
      </c>
      <c r="G44" s="69">
        <v>116.44643121508901</v>
      </c>
      <c r="H44" s="69">
        <v>650.53007543627598</v>
      </c>
      <c r="I44" s="69">
        <v>81.145043412951907</v>
      </c>
      <c r="J44" s="69">
        <v>272.94323836182099</v>
      </c>
      <c r="K44" s="69">
        <v>99.444685548417894</v>
      </c>
      <c r="L44" s="69">
        <v>566.46409849482995</v>
      </c>
      <c r="M44" s="69">
        <v>703.30622643293998</v>
      </c>
      <c r="N44" s="69">
        <v>1.3263732127505199</v>
      </c>
      <c r="O44" s="69">
        <v>105.477002980694</v>
      </c>
      <c r="P44" s="69">
        <v>38.023714159930996</v>
      </c>
      <c r="Q44" s="69">
        <v>38.203689097487299</v>
      </c>
      <c r="R44" s="69">
        <v>488.10314885778098</v>
      </c>
      <c r="S44" s="69">
        <v>628.11259485157495</v>
      </c>
      <c r="T44" s="69">
        <v>8.0979983367829895</v>
      </c>
      <c r="U44" s="69">
        <v>664.38145067908704</v>
      </c>
      <c r="V44" s="69">
        <v>204.53452522755001</v>
      </c>
      <c r="W44" s="69">
        <v>1334.8740986324699</v>
      </c>
      <c r="X44" s="69">
        <v>656.76060253629703</v>
      </c>
      <c r="Y44" s="69">
        <v>195.04613329245001</v>
      </c>
      <c r="Z44" s="69">
        <v>113.57706458086901</v>
      </c>
      <c r="AA44" s="69">
        <v>656.60350777164297</v>
      </c>
      <c r="AB44" s="69">
        <v>1215.03957106997</v>
      </c>
      <c r="AC44" s="69">
        <v>5295.1572390759502</v>
      </c>
      <c r="AD44" s="69">
        <v>2418.9403440245501</v>
      </c>
      <c r="AE44" s="69">
        <v>261.47470000706198</v>
      </c>
      <c r="AF44" s="69">
        <v>30.391959531294901</v>
      </c>
      <c r="AG44" s="69">
        <v>81.072453561109199</v>
      </c>
      <c r="AH44" s="69">
        <v>145.43187998698599</v>
      </c>
      <c r="AI44" s="69">
        <v>146.27439103096299</v>
      </c>
      <c r="AJ44" s="69">
        <v>409.82375745924003</v>
      </c>
      <c r="AK44" s="69">
        <v>91.986284959963299</v>
      </c>
      <c r="AL44" s="69">
        <v>115.72627173010299</v>
      </c>
      <c r="AM44" s="69">
        <v>31.7467852274339</v>
      </c>
      <c r="AN44" s="69">
        <v>160.21799520157899</v>
      </c>
      <c r="AO44" s="69">
        <v>1516.2598062363199</v>
      </c>
      <c r="AP44" s="69">
        <v>374.41574456432801</v>
      </c>
      <c r="AQ44" s="69">
        <v>6987.7596882608204</v>
      </c>
      <c r="AR44" s="69">
        <v>567.32389191272705</v>
      </c>
      <c r="AS44" s="69">
        <v>17.604647454372401</v>
      </c>
      <c r="AT44" s="69">
        <v>8.9454272461606905</v>
      </c>
      <c r="AU44" s="69">
        <v>1266.2891682095801</v>
      </c>
      <c r="AV44" s="69">
        <v>733.85928501338503</v>
      </c>
      <c r="AW44" s="69">
        <v>1269.2468154472999</v>
      </c>
      <c r="AX44" s="69">
        <v>34.482645519960897</v>
      </c>
      <c r="AY44" s="69">
        <v>97.161375621576596</v>
      </c>
      <c r="AZ44" s="69">
        <v>69.715433249573607</v>
      </c>
      <c r="BA44" s="69">
        <v>281.50074392376899</v>
      </c>
      <c r="BB44" s="69">
        <v>798.39339597914204</v>
      </c>
      <c r="BC44" s="69">
        <v>545.006631369155</v>
      </c>
      <c r="BD44" s="69">
        <v>1054.46793084668</v>
      </c>
      <c r="BE44" s="69">
        <v>128.119433684597</v>
      </c>
      <c r="BF44" s="69">
        <v>94.332297978575994</v>
      </c>
      <c r="BG44" s="69">
        <v>95.551743131934103</v>
      </c>
      <c r="BH44" s="69">
        <v>7018.8197738583303</v>
      </c>
      <c r="BI44" s="69">
        <v>44.792983258402401</v>
      </c>
      <c r="BJ44" s="69">
        <v>11785.5107678247</v>
      </c>
      <c r="BK44" s="69">
        <v>1610.1944619113301</v>
      </c>
      <c r="BL44" s="69">
        <v>414.64759074174702</v>
      </c>
      <c r="BM44" s="69">
        <v>2269.1012399170299</v>
      </c>
      <c r="BN44" s="69">
        <v>2604.8436045384201</v>
      </c>
      <c r="BO44" s="69">
        <v>177.209159613883</v>
      </c>
      <c r="BP44" s="69">
        <v>2861.1541394682199</v>
      </c>
      <c r="BQ44" s="70">
        <v>0</v>
      </c>
      <c r="BR44" s="71">
        <v>62827.9460594622</v>
      </c>
      <c r="BS44" s="72">
        <v>26.4695092532512</v>
      </c>
      <c r="BT44" s="73">
        <v>5.9157717624218099E-2</v>
      </c>
      <c r="BU44" s="73">
        <v>0</v>
      </c>
      <c r="BV44" s="73">
        <v>44143.620695866601</v>
      </c>
      <c r="BW44" s="73">
        <v>39.648465623400803</v>
      </c>
      <c r="BX44" s="74">
        <v>50.256112076972698</v>
      </c>
      <c r="BY44" s="71">
        <v>44260.0539405378</v>
      </c>
      <c r="BZ44" s="75">
        <v>107088</v>
      </c>
    </row>
    <row r="45" spans="1:78" ht="15" customHeight="1" x14ac:dyDescent="0.3">
      <c r="A45" s="33" t="s">
        <v>63</v>
      </c>
      <c r="B45" s="11" t="s">
        <v>131</v>
      </c>
      <c r="C45" s="68">
        <v>112.163951834694</v>
      </c>
      <c r="D45" s="69">
        <v>199.32394630688401</v>
      </c>
      <c r="E45" s="69">
        <v>14.0901145996034</v>
      </c>
      <c r="F45" s="69">
        <v>7.2805983500621201</v>
      </c>
      <c r="G45" s="69">
        <v>1774.7029195381201</v>
      </c>
      <c r="H45" s="69">
        <v>5035.1923472987701</v>
      </c>
      <c r="I45" s="69">
        <v>354.45083012510003</v>
      </c>
      <c r="J45" s="69">
        <v>18.697466662138901</v>
      </c>
      <c r="K45" s="69">
        <v>15.1041202952836</v>
      </c>
      <c r="L45" s="69">
        <v>28.0901151005481</v>
      </c>
      <c r="M45" s="69">
        <v>6.2981733429103599</v>
      </c>
      <c r="N45" s="69">
        <v>0.94738933735866204</v>
      </c>
      <c r="O45" s="69">
        <v>34.351773567125697</v>
      </c>
      <c r="P45" s="69">
        <v>7.0284704576059598</v>
      </c>
      <c r="Q45" s="69">
        <v>1.7709455134054499</v>
      </c>
      <c r="R45" s="69">
        <v>3.4737252139899</v>
      </c>
      <c r="S45" s="69">
        <v>51.953072076477802</v>
      </c>
      <c r="T45" s="69">
        <v>20.347237334626399</v>
      </c>
      <c r="U45" s="69">
        <v>51.905388222420399</v>
      </c>
      <c r="V45" s="69">
        <v>70.368654140533806</v>
      </c>
      <c r="W45" s="69">
        <v>101.334800744068</v>
      </c>
      <c r="X45" s="69">
        <v>8.7461123610900504</v>
      </c>
      <c r="Y45" s="69">
        <v>3.7683634526863199</v>
      </c>
      <c r="Z45" s="69">
        <v>6.8461972062508796</v>
      </c>
      <c r="AA45" s="69">
        <v>13.457222839451701</v>
      </c>
      <c r="AB45" s="69">
        <v>44.268089570944603</v>
      </c>
      <c r="AC45" s="69">
        <v>139.74171163938399</v>
      </c>
      <c r="AD45" s="69">
        <v>2802.0312757468701</v>
      </c>
      <c r="AE45" s="69">
        <v>86.830358700249306</v>
      </c>
      <c r="AF45" s="69">
        <v>73.276279221638902</v>
      </c>
      <c r="AG45" s="69">
        <v>13.0113979543973</v>
      </c>
      <c r="AH45" s="69">
        <v>100.194678468978</v>
      </c>
      <c r="AI45" s="69">
        <v>206.27671689053099</v>
      </c>
      <c r="AJ45" s="69">
        <v>38.100391193162402</v>
      </c>
      <c r="AK45" s="69">
        <v>203.93941926330601</v>
      </c>
      <c r="AL45" s="69">
        <v>22.081276333423901</v>
      </c>
      <c r="AM45" s="69">
        <v>5.8946712975097002</v>
      </c>
      <c r="AN45" s="69">
        <v>16.349047503649398</v>
      </c>
      <c r="AO45" s="69">
        <v>4225.7934796578302</v>
      </c>
      <c r="AP45" s="69">
        <v>56771.227208565098</v>
      </c>
      <c r="AQ45" s="69">
        <v>2172.1755806502401</v>
      </c>
      <c r="AR45" s="69">
        <v>348.54517036793402</v>
      </c>
      <c r="AS45" s="69">
        <v>26.4847464784315</v>
      </c>
      <c r="AT45" s="69">
        <v>30.060083704912699</v>
      </c>
      <c r="AU45" s="69">
        <v>1954.5173918114599</v>
      </c>
      <c r="AV45" s="69">
        <v>286.90754372618397</v>
      </c>
      <c r="AW45" s="69">
        <v>524.109085513286</v>
      </c>
      <c r="AX45" s="69">
        <v>9.5306715075771997</v>
      </c>
      <c r="AY45" s="69">
        <v>208.23871341968601</v>
      </c>
      <c r="AZ45" s="69">
        <v>3719.8764117790702</v>
      </c>
      <c r="BA45" s="69">
        <v>1356.90920607525</v>
      </c>
      <c r="BB45" s="69">
        <v>1057.72413862492</v>
      </c>
      <c r="BC45" s="69">
        <v>1623.98712148968</v>
      </c>
      <c r="BD45" s="69">
        <v>402.72880969195597</v>
      </c>
      <c r="BE45" s="69">
        <v>913.90587296596198</v>
      </c>
      <c r="BF45" s="69">
        <v>35.719498422007099</v>
      </c>
      <c r="BG45" s="69">
        <v>249.97531071014399</v>
      </c>
      <c r="BH45" s="69">
        <v>2780.07935172935</v>
      </c>
      <c r="BI45" s="69">
        <v>19.4297258619243</v>
      </c>
      <c r="BJ45" s="69">
        <v>14667.5367010839</v>
      </c>
      <c r="BK45" s="69">
        <v>1706.4623791607701</v>
      </c>
      <c r="BL45" s="69">
        <v>529.64524149863496</v>
      </c>
      <c r="BM45" s="69">
        <v>4809.6686543184496</v>
      </c>
      <c r="BN45" s="69">
        <v>51.6019448511272</v>
      </c>
      <c r="BO45" s="69">
        <v>178.15159630149</v>
      </c>
      <c r="BP45" s="69">
        <v>375.02317481597498</v>
      </c>
      <c r="BQ45" s="70">
        <v>0</v>
      </c>
      <c r="BR45" s="71">
        <v>112729.70406448899</v>
      </c>
      <c r="BS45" s="72">
        <v>3945.11701179496</v>
      </c>
      <c r="BT45" s="73">
        <v>0</v>
      </c>
      <c r="BU45" s="73">
        <v>0</v>
      </c>
      <c r="BV45" s="73">
        <v>1607.23824465793</v>
      </c>
      <c r="BW45" s="73">
        <v>586058.94067905797</v>
      </c>
      <c r="BX45" s="74">
        <v>0</v>
      </c>
      <c r="BY45" s="71">
        <v>591611.29593551101</v>
      </c>
      <c r="BZ45" s="75">
        <v>704340.99999999895</v>
      </c>
    </row>
    <row r="46" spans="1:78" ht="15" customHeight="1" x14ac:dyDescent="0.3">
      <c r="A46" s="33" t="s">
        <v>64</v>
      </c>
      <c r="B46" s="11" t="s">
        <v>132</v>
      </c>
      <c r="C46" s="68">
        <v>32879.480415974002</v>
      </c>
      <c r="D46" s="69">
        <v>17944.017088031502</v>
      </c>
      <c r="E46" s="69">
        <v>1346.5728889900599</v>
      </c>
      <c r="F46" s="69">
        <v>1209.62210680711</v>
      </c>
      <c r="G46" s="69">
        <v>10547.5387731217</v>
      </c>
      <c r="H46" s="69">
        <v>11775.747523411201</v>
      </c>
      <c r="I46" s="69">
        <v>1518.06392701144</v>
      </c>
      <c r="J46" s="69">
        <v>43439.156150682698</v>
      </c>
      <c r="K46" s="69">
        <v>2086.6170937458901</v>
      </c>
      <c r="L46" s="69">
        <v>44719.475673356501</v>
      </c>
      <c r="M46" s="69">
        <v>6703.1042486065699</v>
      </c>
      <c r="N46" s="69">
        <v>1293.40389590936</v>
      </c>
      <c r="O46" s="69">
        <v>6903.9535604562398</v>
      </c>
      <c r="P46" s="69">
        <v>7752.5221041302802</v>
      </c>
      <c r="Q46" s="69">
        <v>4596.5507172375201</v>
      </c>
      <c r="R46" s="69">
        <v>4722.0107942395298</v>
      </c>
      <c r="S46" s="69">
        <v>15149.0522111105</v>
      </c>
      <c r="T46" s="69">
        <v>1972.6455105514599</v>
      </c>
      <c r="U46" s="69">
        <v>9108.2643782026298</v>
      </c>
      <c r="V46" s="69">
        <v>4050.0746742777301</v>
      </c>
      <c r="W46" s="69">
        <v>18771.9531234186</v>
      </c>
      <c r="X46" s="69">
        <v>10425.292905624499</v>
      </c>
      <c r="Y46" s="69">
        <v>5510.9674110775904</v>
      </c>
      <c r="Z46" s="69">
        <v>5963.4675321827399</v>
      </c>
      <c r="AA46" s="69">
        <v>16110.858517374099</v>
      </c>
      <c r="AB46" s="69">
        <v>10529.864274391601</v>
      </c>
      <c r="AC46" s="69">
        <v>19996.235358139002</v>
      </c>
      <c r="AD46" s="69">
        <v>12309.439764603399</v>
      </c>
      <c r="AE46" s="69">
        <v>14106.22655401</v>
      </c>
      <c r="AF46" s="69">
        <v>11079.244217073199</v>
      </c>
      <c r="AG46" s="69">
        <v>15102.487305660101</v>
      </c>
      <c r="AH46" s="69">
        <v>27173.423606542499</v>
      </c>
      <c r="AI46" s="69">
        <v>21982.714711254899</v>
      </c>
      <c r="AJ46" s="69">
        <v>12210.085501309301</v>
      </c>
      <c r="AK46" s="69">
        <v>2957.9021789746298</v>
      </c>
      <c r="AL46" s="69">
        <v>10031.9366841553</v>
      </c>
      <c r="AM46" s="69">
        <v>8991.3533849350606</v>
      </c>
      <c r="AN46" s="69">
        <v>5005.7344584536704</v>
      </c>
      <c r="AO46" s="69">
        <v>3072.5216347219898</v>
      </c>
      <c r="AP46" s="69">
        <v>38803.5163338325</v>
      </c>
      <c r="AQ46" s="69">
        <v>44616.190767648201</v>
      </c>
      <c r="AR46" s="69">
        <v>26770.235734580699</v>
      </c>
      <c r="AS46" s="69">
        <v>745.26005817380099</v>
      </c>
      <c r="AT46" s="69">
        <v>651.32837111836795</v>
      </c>
      <c r="AU46" s="69">
        <v>2422.1295815644698</v>
      </c>
      <c r="AV46" s="69">
        <v>872.597417242446</v>
      </c>
      <c r="AW46" s="69">
        <v>21437.646925548001</v>
      </c>
      <c r="AX46" s="69">
        <v>1328.72529319266</v>
      </c>
      <c r="AY46" s="69">
        <v>1163.7846924854</v>
      </c>
      <c r="AZ46" s="69">
        <v>4618.0462156111198</v>
      </c>
      <c r="BA46" s="69">
        <v>4516.9207861104896</v>
      </c>
      <c r="BB46" s="69">
        <v>3517.4623480714199</v>
      </c>
      <c r="BC46" s="69">
        <v>1730.6081805608801</v>
      </c>
      <c r="BD46" s="69">
        <v>2889.5067240953099</v>
      </c>
      <c r="BE46" s="69">
        <v>2201.0812836995001</v>
      </c>
      <c r="BF46" s="69">
        <v>5806.2681425771998</v>
      </c>
      <c r="BG46" s="69">
        <v>2566.7233393556498</v>
      </c>
      <c r="BH46" s="69">
        <v>6048.7634593519997</v>
      </c>
      <c r="BI46" s="69">
        <v>592.290433446669</v>
      </c>
      <c r="BJ46" s="69">
        <v>9418.8857256281408</v>
      </c>
      <c r="BK46" s="69">
        <v>5558.4481174994999</v>
      </c>
      <c r="BL46" s="69">
        <v>2034.3434206091999</v>
      </c>
      <c r="BM46" s="69">
        <v>14686.871668293499</v>
      </c>
      <c r="BN46" s="69">
        <v>18452.5267529714</v>
      </c>
      <c r="BO46" s="69">
        <v>699.03255856105898</v>
      </c>
      <c r="BP46" s="69">
        <v>4947.5446725545899</v>
      </c>
      <c r="BQ46" s="70">
        <v>0</v>
      </c>
      <c r="BR46" s="71">
        <v>690146.32186413999</v>
      </c>
      <c r="BS46" s="72">
        <v>44644.924641655503</v>
      </c>
      <c r="BT46" s="73">
        <v>3527.4425477623899</v>
      </c>
      <c r="BU46" s="73">
        <v>0</v>
      </c>
      <c r="BV46" s="73">
        <v>827244.72853709001</v>
      </c>
      <c r="BW46" s="73">
        <v>100658.919409992</v>
      </c>
      <c r="BX46" s="74">
        <v>1979.6629993604299</v>
      </c>
      <c r="BY46" s="71">
        <v>978055.67813586001</v>
      </c>
      <c r="BZ46" s="75">
        <v>1668202</v>
      </c>
    </row>
    <row r="47" spans="1:78" ht="15" customHeight="1" x14ac:dyDescent="0.3">
      <c r="A47" s="33" t="s">
        <v>65</v>
      </c>
      <c r="B47" s="11" t="s">
        <v>133</v>
      </c>
      <c r="C47" s="68">
        <v>11746.291422959899</v>
      </c>
      <c r="D47" s="69">
        <v>3883.3371879244901</v>
      </c>
      <c r="E47" s="69">
        <v>1173.9205223332499</v>
      </c>
      <c r="F47" s="69">
        <v>1312.62188391992</v>
      </c>
      <c r="G47" s="69">
        <v>12834.9512003746</v>
      </c>
      <c r="H47" s="69">
        <v>7199.4676744933804</v>
      </c>
      <c r="I47" s="69">
        <v>1186.14696873956</v>
      </c>
      <c r="J47" s="69">
        <v>24241.743297986701</v>
      </c>
      <c r="K47" s="69">
        <v>6690.6943146701196</v>
      </c>
      <c r="L47" s="69">
        <v>30322.8809706225</v>
      </c>
      <c r="M47" s="69">
        <v>6042.7498564453899</v>
      </c>
      <c r="N47" s="69">
        <v>299.161064131182</v>
      </c>
      <c r="O47" s="69">
        <v>1878.1437213193401</v>
      </c>
      <c r="P47" s="69">
        <v>1771.1873455146999</v>
      </c>
      <c r="Q47" s="69">
        <v>1542.0183533235299</v>
      </c>
      <c r="R47" s="69">
        <v>3500.79739292263</v>
      </c>
      <c r="S47" s="69">
        <v>9449.0121177100991</v>
      </c>
      <c r="T47" s="69">
        <v>450.407364094993</v>
      </c>
      <c r="U47" s="69">
        <v>7413.9467117109598</v>
      </c>
      <c r="V47" s="69">
        <v>4644.7171900631101</v>
      </c>
      <c r="W47" s="69">
        <v>12798.600145194299</v>
      </c>
      <c r="X47" s="69">
        <v>4015.0113640473201</v>
      </c>
      <c r="Y47" s="69">
        <v>2651.46364207035</v>
      </c>
      <c r="Z47" s="69">
        <v>4488.3508222702403</v>
      </c>
      <c r="AA47" s="69">
        <v>5430.1408241803802</v>
      </c>
      <c r="AB47" s="69">
        <v>5940.6878849704599</v>
      </c>
      <c r="AC47" s="69">
        <v>11775.9334659504</v>
      </c>
      <c r="AD47" s="69">
        <v>2792.6929102425102</v>
      </c>
      <c r="AE47" s="69">
        <v>5338.4431966149396</v>
      </c>
      <c r="AF47" s="69">
        <v>2671.8865563075801</v>
      </c>
      <c r="AG47" s="69">
        <v>2755.8513735238798</v>
      </c>
      <c r="AH47" s="69">
        <v>5209.9403207820496</v>
      </c>
      <c r="AI47" s="69">
        <v>5674.1745493163999</v>
      </c>
      <c r="AJ47" s="69">
        <v>3321.68435705819</v>
      </c>
      <c r="AK47" s="69">
        <v>953.30344437514498</v>
      </c>
      <c r="AL47" s="69">
        <v>2517.4798385365498</v>
      </c>
      <c r="AM47" s="69">
        <v>869.00036610150505</v>
      </c>
      <c r="AN47" s="69">
        <v>5331.1550670052502</v>
      </c>
      <c r="AO47" s="69">
        <v>817.11461057988402</v>
      </c>
      <c r="AP47" s="69">
        <v>6500.4552698949001</v>
      </c>
      <c r="AQ47" s="69">
        <v>66454.391540266093</v>
      </c>
      <c r="AR47" s="69">
        <v>59293.792065895002</v>
      </c>
      <c r="AS47" s="69">
        <v>2198.8934951281499</v>
      </c>
      <c r="AT47" s="69">
        <v>403.363976743379</v>
      </c>
      <c r="AU47" s="69">
        <v>8768.6058779718096</v>
      </c>
      <c r="AV47" s="69">
        <v>338.66707008104498</v>
      </c>
      <c r="AW47" s="69">
        <v>5171.8319816392304</v>
      </c>
      <c r="AX47" s="69">
        <v>411.72690830077897</v>
      </c>
      <c r="AY47" s="69">
        <v>550.415382003275</v>
      </c>
      <c r="AZ47" s="69">
        <v>613.08694273988999</v>
      </c>
      <c r="BA47" s="69">
        <v>1270.68096379454</v>
      </c>
      <c r="BB47" s="69">
        <v>2244.5366300379001</v>
      </c>
      <c r="BC47" s="69">
        <v>345.57161445365398</v>
      </c>
      <c r="BD47" s="69">
        <v>1450.6610477092099</v>
      </c>
      <c r="BE47" s="69">
        <v>1536.2442259725201</v>
      </c>
      <c r="BF47" s="69">
        <v>812.99357513781001</v>
      </c>
      <c r="BG47" s="69">
        <v>808.62702751642098</v>
      </c>
      <c r="BH47" s="69">
        <v>1337.9085691016701</v>
      </c>
      <c r="BI47" s="69">
        <v>231.47920106915001</v>
      </c>
      <c r="BJ47" s="69">
        <v>4181.1366954486803</v>
      </c>
      <c r="BK47" s="69">
        <v>2149.1184590916</v>
      </c>
      <c r="BL47" s="69">
        <v>1881.2038431396099</v>
      </c>
      <c r="BM47" s="69">
        <v>2933.1517558712499</v>
      </c>
      <c r="BN47" s="69">
        <v>1148.2227556860601</v>
      </c>
      <c r="BO47" s="69">
        <v>371.74218987301202</v>
      </c>
      <c r="BP47" s="69">
        <v>3351.4372068017801</v>
      </c>
      <c r="BQ47" s="70">
        <v>0</v>
      </c>
      <c r="BR47" s="71">
        <v>399697.05757175601</v>
      </c>
      <c r="BS47" s="72">
        <v>12382.9542342561</v>
      </c>
      <c r="BT47" s="73">
        <v>53.314659241680303</v>
      </c>
      <c r="BU47" s="73">
        <v>0</v>
      </c>
      <c r="BV47" s="73">
        <v>87996.267455686699</v>
      </c>
      <c r="BW47" s="73">
        <v>6238.8919136901404</v>
      </c>
      <c r="BX47" s="74">
        <v>-4.4858346309922599</v>
      </c>
      <c r="BY47" s="71">
        <v>106666.942428244</v>
      </c>
      <c r="BZ47" s="75">
        <v>506364</v>
      </c>
    </row>
    <row r="48" spans="1:78" ht="15" customHeight="1" x14ac:dyDescent="0.3">
      <c r="A48" s="33" t="s">
        <v>66</v>
      </c>
      <c r="B48" s="11" t="s">
        <v>134</v>
      </c>
      <c r="C48" s="68">
        <v>987.29803010083401</v>
      </c>
      <c r="D48" s="69">
        <v>323.292995332288</v>
      </c>
      <c r="E48" s="69">
        <v>94.874896400429705</v>
      </c>
      <c r="F48" s="69">
        <v>109.393652996974</v>
      </c>
      <c r="G48" s="69">
        <v>1026.5229350203699</v>
      </c>
      <c r="H48" s="69">
        <v>494.88214440629201</v>
      </c>
      <c r="I48" s="69">
        <v>85.031583077216894</v>
      </c>
      <c r="J48" s="69">
        <v>2012.3968801221899</v>
      </c>
      <c r="K48" s="69">
        <v>551.88119428366701</v>
      </c>
      <c r="L48" s="69">
        <v>2514.4259481446602</v>
      </c>
      <c r="M48" s="69">
        <v>450.86279401795002</v>
      </c>
      <c r="N48" s="69">
        <v>22.2655080894253</v>
      </c>
      <c r="O48" s="69">
        <v>159.11110012495399</v>
      </c>
      <c r="P48" s="69">
        <v>133.42631424743101</v>
      </c>
      <c r="Q48" s="69">
        <v>123.674759577532</v>
      </c>
      <c r="R48" s="69">
        <v>162.09781560628099</v>
      </c>
      <c r="S48" s="69">
        <v>788.68284541369201</v>
      </c>
      <c r="T48" s="69">
        <v>37.465450221525998</v>
      </c>
      <c r="U48" s="69">
        <v>618.96072977113101</v>
      </c>
      <c r="V48" s="69">
        <v>376.63972472773298</v>
      </c>
      <c r="W48" s="69">
        <v>1055.9462178178501</v>
      </c>
      <c r="X48" s="69">
        <v>317.83402915843402</v>
      </c>
      <c r="Y48" s="69">
        <v>209.383825471835</v>
      </c>
      <c r="Z48" s="69">
        <v>346.195593841152</v>
      </c>
      <c r="AA48" s="69">
        <v>429.07169009542798</v>
      </c>
      <c r="AB48" s="69">
        <v>457.35070866362997</v>
      </c>
      <c r="AC48" s="69">
        <v>975.32393486712897</v>
      </c>
      <c r="AD48" s="69">
        <v>235.252833543615</v>
      </c>
      <c r="AE48" s="69">
        <v>409.08287567845298</v>
      </c>
      <c r="AF48" s="69">
        <v>212.36336874171801</v>
      </c>
      <c r="AG48" s="69">
        <v>219.17789301021699</v>
      </c>
      <c r="AH48" s="69">
        <v>386.13827619139499</v>
      </c>
      <c r="AI48" s="69">
        <v>440.85993271895398</v>
      </c>
      <c r="AJ48" s="69">
        <v>250.309851802662</v>
      </c>
      <c r="AK48" s="69">
        <v>78.266766718426496</v>
      </c>
      <c r="AL48" s="69">
        <v>207.91112827946401</v>
      </c>
      <c r="AM48" s="69">
        <v>65.037121110448496</v>
      </c>
      <c r="AN48" s="69">
        <v>432.98970955841997</v>
      </c>
      <c r="AO48" s="69">
        <v>67.381565710616002</v>
      </c>
      <c r="AP48" s="69">
        <v>531.23193706335496</v>
      </c>
      <c r="AQ48" s="69">
        <v>5506.5496612655797</v>
      </c>
      <c r="AR48" s="69">
        <v>4998.1640628980604</v>
      </c>
      <c r="AS48" s="69">
        <v>177.54254135441099</v>
      </c>
      <c r="AT48" s="69">
        <v>23.344890921923302</v>
      </c>
      <c r="AU48" s="69">
        <v>723.858900947547</v>
      </c>
      <c r="AV48" s="69">
        <v>27.288617117241198</v>
      </c>
      <c r="AW48" s="69">
        <v>439.42520396464897</v>
      </c>
      <c r="AX48" s="69">
        <v>29.132687840240099</v>
      </c>
      <c r="AY48" s="69">
        <v>20.6251716908113</v>
      </c>
      <c r="AZ48" s="69">
        <v>30.882380249461601</v>
      </c>
      <c r="BA48" s="69">
        <v>56.517749846147602</v>
      </c>
      <c r="BB48" s="69">
        <v>82.612040473650197</v>
      </c>
      <c r="BC48" s="69">
        <v>22.189262238579801</v>
      </c>
      <c r="BD48" s="69">
        <v>91.649255687952504</v>
      </c>
      <c r="BE48" s="69">
        <v>50.882497368152599</v>
      </c>
      <c r="BF48" s="69">
        <v>34.4454757553872</v>
      </c>
      <c r="BG48" s="69">
        <v>55.773859519866697</v>
      </c>
      <c r="BH48" s="69">
        <v>85.319523956572795</v>
      </c>
      <c r="BI48" s="69">
        <v>14.775533092783601</v>
      </c>
      <c r="BJ48" s="69">
        <v>168.823142528174</v>
      </c>
      <c r="BK48" s="69">
        <v>57.566470968442601</v>
      </c>
      <c r="BL48" s="69">
        <v>30.0105649522215</v>
      </c>
      <c r="BM48" s="69">
        <v>137.57881005261299</v>
      </c>
      <c r="BN48" s="69">
        <v>105.044920338789</v>
      </c>
      <c r="BO48" s="69">
        <v>27.534275431126702</v>
      </c>
      <c r="BP48" s="69">
        <v>92.541869012095006</v>
      </c>
      <c r="BQ48" s="70">
        <v>0</v>
      </c>
      <c r="BR48" s="71">
        <v>31490.375931198301</v>
      </c>
      <c r="BS48" s="72">
        <v>953.70711416745496</v>
      </c>
      <c r="BT48" s="73">
        <v>4.3858442099165398</v>
      </c>
      <c r="BU48" s="73">
        <v>0</v>
      </c>
      <c r="BV48" s="73">
        <v>1732.1450064179201</v>
      </c>
      <c r="BW48" s="73">
        <v>525.38610400642199</v>
      </c>
      <c r="BX48" s="74">
        <v>0</v>
      </c>
      <c r="BY48" s="71">
        <v>3215.6240688017201</v>
      </c>
      <c r="BZ48" s="75">
        <v>34706</v>
      </c>
    </row>
    <row r="49" spans="1:78" ht="15" customHeight="1" x14ac:dyDescent="0.3">
      <c r="A49" s="33" t="s">
        <v>67</v>
      </c>
      <c r="B49" s="11" t="s">
        <v>135</v>
      </c>
      <c r="C49" s="68">
        <v>3.3415414006134898</v>
      </c>
      <c r="D49" s="69">
        <v>0.72778364460743294</v>
      </c>
      <c r="E49" s="69">
        <v>3.2931346394007899</v>
      </c>
      <c r="F49" s="69">
        <v>1.7098367239626699</v>
      </c>
      <c r="G49" s="69">
        <v>2108.7363696022298</v>
      </c>
      <c r="H49" s="69">
        <v>20.972074777357399</v>
      </c>
      <c r="I49" s="69">
        <v>27.7839306654319</v>
      </c>
      <c r="J49" s="69">
        <v>299.910699956624</v>
      </c>
      <c r="K49" s="69">
        <v>5.8092458321359199</v>
      </c>
      <c r="L49" s="69">
        <v>233.418062311477</v>
      </c>
      <c r="M49" s="69">
        <v>41.836841705647402</v>
      </c>
      <c r="N49" s="69">
        <v>23.8267047998287</v>
      </c>
      <c r="O49" s="69">
        <v>24.775193244858801</v>
      </c>
      <c r="P49" s="69">
        <v>24.325877668061501</v>
      </c>
      <c r="Q49" s="69">
        <v>27.122736095043798</v>
      </c>
      <c r="R49" s="69">
        <v>61.582686849994097</v>
      </c>
      <c r="S49" s="69">
        <v>103.926673573673</v>
      </c>
      <c r="T49" s="69">
        <v>10.2103415010851</v>
      </c>
      <c r="U49" s="69">
        <v>50.114723028761603</v>
      </c>
      <c r="V49" s="69">
        <v>12.913383652856</v>
      </c>
      <c r="W49" s="69">
        <v>340.90701494830398</v>
      </c>
      <c r="X49" s="69">
        <v>260.71283997199498</v>
      </c>
      <c r="Y49" s="69">
        <v>10.8976230098879</v>
      </c>
      <c r="Z49" s="69">
        <v>118.274051401406</v>
      </c>
      <c r="AA49" s="69">
        <v>43.499662274473899</v>
      </c>
      <c r="AB49" s="69">
        <v>101.773636001024</v>
      </c>
      <c r="AC49" s="69">
        <v>81.595677177912705</v>
      </c>
      <c r="AD49" s="69">
        <v>12.877578462128501</v>
      </c>
      <c r="AE49" s="69">
        <v>45.548252838171003</v>
      </c>
      <c r="AF49" s="69">
        <v>151.18997941820501</v>
      </c>
      <c r="AG49" s="69">
        <v>136.98149346496601</v>
      </c>
      <c r="AH49" s="69">
        <v>169.86794686583801</v>
      </c>
      <c r="AI49" s="69">
        <v>127.57803960966601</v>
      </c>
      <c r="AJ49" s="69">
        <v>73.250322372412796</v>
      </c>
      <c r="AK49" s="69">
        <v>17.478505017568999</v>
      </c>
      <c r="AL49" s="69">
        <v>33.974066900775199</v>
      </c>
      <c r="AM49" s="69">
        <v>51.528113750741397</v>
      </c>
      <c r="AN49" s="69">
        <v>337.16518018316498</v>
      </c>
      <c r="AO49" s="69">
        <v>44.675081458451402</v>
      </c>
      <c r="AP49" s="69">
        <v>735.23616097026695</v>
      </c>
      <c r="AQ49" s="69">
        <v>3093.76402820153</v>
      </c>
      <c r="AR49" s="69">
        <v>172.781589836091</v>
      </c>
      <c r="AS49" s="69">
        <v>108.866953315026</v>
      </c>
      <c r="AT49" s="69">
        <v>7.9431417431124398</v>
      </c>
      <c r="AU49" s="69">
        <v>591.33801230644895</v>
      </c>
      <c r="AV49" s="69">
        <v>44.264506095318602</v>
      </c>
      <c r="AW49" s="69">
        <v>46.092665043282899</v>
      </c>
      <c r="AX49" s="69">
        <v>10.5063936333234</v>
      </c>
      <c r="AY49" s="69">
        <v>91.879706635633895</v>
      </c>
      <c r="AZ49" s="69">
        <v>113.72733527344499</v>
      </c>
      <c r="BA49" s="69">
        <v>719.49859019956705</v>
      </c>
      <c r="BB49" s="69">
        <v>1367.89985453742</v>
      </c>
      <c r="BC49" s="69">
        <v>44.559674344762499</v>
      </c>
      <c r="BD49" s="69">
        <v>612.83085054714502</v>
      </c>
      <c r="BE49" s="69">
        <v>235.15351458951599</v>
      </c>
      <c r="BF49" s="69">
        <v>486.35501991066297</v>
      </c>
      <c r="BG49" s="69">
        <v>83.451989044522705</v>
      </c>
      <c r="BH49" s="69">
        <v>261.80177527079098</v>
      </c>
      <c r="BI49" s="69">
        <v>20.090361804125099</v>
      </c>
      <c r="BJ49" s="69">
        <v>875.95010740721102</v>
      </c>
      <c r="BK49" s="69">
        <v>171.36758368141</v>
      </c>
      <c r="BL49" s="69">
        <v>1493.65718214612</v>
      </c>
      <c r="BM49" s="69">
        <v>448.10974608755799</v>
      </c>
      <c r="BN49" s="69">
        <v>5.74811628207258</v>
      </c>
      <c r="BO49" s="69">
        <v>73.9832732102943</v>
      </c>
      <c r="BP49" s="69">
        <v>4481.7923973300904</v>
      </c>
      <c r="BQ49" s="70">
        <v>0</v>
      </c>
      <c r="BR49" s="71">
        <v>21644.7634362475</v>
      </c>
      <c r="BS49" s="72">
        <v>9128.2954167628595</v>
      </c>
      <c r="BT49" s="73">
        <v>0.12938527595494501</v>
      </c>
      <c r="BU49" s="73">
        <v>0</v>
      </c>
      <c r="BV49" s="73">
        <v>4971.6932832086704</v>
      </c>
      <c r="BW49" s="73">
        <v>4.1184785050232797</v>
      </c>
      <c r="BX49" s="74">
        <v>0</v>
      </c>
      <c r="BY49" s="71">
        <v>14104.2365637525</v>
      </c>
      <c r="BZ49" s="75">
        <v>35749</v>
      </c>
    </row>
    <row r="50" spans="1:78" ht="15" customHeight="1" x14ac:dyDescent="0.3">
      <c r="A50" s="33" t="s">
        <v>68</v>
      </c>
      <c r="B50" s="11" t="s">
        <v>136</v>
      </c>
      <c r="C50" s="68">
        <v>4154.0142031938303</v>
      </c>
      <c r="D50" s="69">
        <v>108.43895544841</v>
      </c>
      <c r="E50" s="69">
        <v>319.97060229899802</v>
      </c>
      <c r="F50" s="69">
        <v>68.684843634142098</v>
      </c>
      <c r="G50" s="69">
        <v>4170.5545491246703</v>
      </c>
      <c r="H50" s="69">
        <v>5196.0661204670596</v>
      </c>
      <c r="I50" s="69">
        <v>555.95782855500499</v>
      </c>
      <c r="J50" s="69">
        <v>4907.8290690062004</v>
      </c>
      <c r="K50" s="69">
        <v>4144.8375114580904</v>
      </c>
      <c r="L50" s="69">
        <v>5172.9928622939897</v>
      </c>
      <c r="M50" s="69">
        <v>2994.33582543485</v>
      </c>
      <c r="N50" s="69">
        <v>53.143093182537697</v>
      </c>
      <c r="O50" s="69">
        <v>257.68287849426002</v>
      </c>
      <c r="P50" s="69">
        <v>163.15423578939399</v>
      </c>
      <c r="Q50" s="69">
        <v>193.93978565809101</v>
      </c>
      <c r="R50" s="69">
        <v>516.72486308546195</v>
      </c>
      <c r="S50" s="69">
        <v>2638.0600421324698</v>
      </c>
      <c r="T50" s="69">
        <v>209.36965318081101</v>
      </c>
      <c r="U50" s="69">
        <v>1353.96988683362</v>
      </c>
      <c r="V50" s="69">
        <v>2506.8401010243701</v>
      </c>
      <c r="W50" s="69">
        <v>2000.6551559453001</v>
      </c>
      <c r="X50" s="69">
        <v>1263.2719736260101</v>
      </c>
      <c r="Y50" s="69">
        <v>531.13512957682303</v>
      </c>
      <c r="Z50" s="69">
        <v>938.14047172440701</v>
      </c>
      <c r="AA50" s="69">
        <v>413.09324076474098</v>
      </c>
      <c r="AB50" s="69">
        <v>571.77545859572103</v>
      </c>
      <c r="AC50" s="69">
        <v>4370.4031249282698</v>
      </c>
      <c r="AD50" s="69">
        <v>249.626685730849</v>
      </c>
      <c r="AE50" s="69">
        <v>1444.5420097272699</v>
      </c>
      <c r="AF50" s="69">
        <v>840.384690910774</v>
      </c>
      <c r="AG50" s="69">
        <v>1264.8973085565499</v>
      </c>
      <c r="AH50" s="69">
        <v>533.77952311363299</v>
      </c>
      <c r="AI50" s="69">
        <v>3449.98988847996</v>
      </c>
      <c r="AJ50" s="69">
        <v>854.58385768985397</v>
      </c>
      <c r="AK50" s="69">
        <v>310.871210810158</v>
      </c>
      <c r="AL50" s="69">
        <v>562.62787907439099</v>
      </c>
      <c r="AM50" s="69">
        <v>268.23414506549898</v>
      </c>
      <c r="AN50" s="69">
        <v>574.85249431093598</v>
      </c>
      <c r="AO50" s="69">
        <v>41.041373340670397</v>
      </c>
      <c r="AP50" s="69">
        <v>784.01139123711198</v>
      </c>
      <c r="AQ50" s="69">
        <v>26064.663376510201</v>
      </c>
      <c r="AR50" s="69">
        <v>12279.391246315899</v>
      </c>
      <c r="AS50" s="69">
        <v>4025.7882903043001</v>
      </c>
      <c r="AT50" s="69">
        <v>4200.3474700360603</v>
      </c>
      <c r="AU50" s="69">
        <v>7519.4284707360403</v>
      </c>
      <c r="AV50" s="69">
        <v>82.673483156465693</v>
      </c>
      <c r="AW50" s="69">
        <v>369.39938216841801</v>
      </c>
      <c r="AX50" s="69">
        <v>65.118654445237894</v>
      </c>
      <c r="AY50" s="69">
        <v>98.226249811520304</v>
      </c>
      <c r="AZ50" s="69">
        <v>606.92865108632998</v>
      </c>
      <c r="BA50" s="69">
        <v>334.52803678039498</v>
      </c>
      <c r="BB50" s="69">
        <v>4112.66616329725</v>
      </c>
      <c r="BC50" s="69">
        <v>222.57338611841001</v>
      </c>
      <c r="BD50" s="69">
        <v>883.99989432629502</v>
      </c>
      <c r="BE50" s="69">
        <v>314.168457814406</v>
      </c>
      <c r="BF50" s="69">
        <v>458.15607734874197</v>
      </c>
      <c r="BG50" s="69">
        <v>344.31926094437898</v>
      </c>
      <c r="BH50" s="69">
        <v>1160.21494161447</v>
      </c>
      <c r="BI50" s="69">
        <v>113.658422999151</v>
      </c>
      <c r="BJ50" s="69">
        <v>4039.3122550304602</v>
      </c>
      <c r="BK50" s="69">
        <v>388.55443093236801</v>
      </c>
      <c r="BL50" s="69">
        <v>680.19920112795398</v>
      </c>
      <c r="BM50" s="69">
        <v>612.60473089002699</v>
      </c>
      <c r="BN50" s="69">
        <v>384.77046310522098</v>
      </c>
      <c r="BO50" s="69">
        <v>105.374966737663</v>
      </c>
      <c r="BP50" s="69">
        <v>1854.4705013744001</v>
      </c>
      <c r="BQ50" s="70">
        <v>0</v>
      </c>
      <c r="BR50" s="71">
        <v>132276.020388517</v>
      </c>
      <c r="BS50" s="72">
        <v>18706.018594350899</v>
      </c>
      <c r="BT50" s="73">
        <v>0.41238795078913398</v>
      </c>
      <c r="BU50" s="73">
        <v>0</v>
      </c>
      <c r="BV50" s="73">
        <v>36968.0669488532</v>
      </c>
      <c r="BW50" s="73">
        <v>60.627242934483903</v>
      </c>
      <c r="BX50" s="74">
        <v>0.85443739322666801</v>
      </c>
      <c r="BY50" s="71">
        <v>55735.979611482697</v>
      </c>
      <c r="BZ50" s="75">
        <v>188012</v>
      </c>
    </row>
    <row r="51" spans="1:78" ht="15" customHeight="1" x14ac:dyDescent="0.3">
      <c r="A51" s="33" t="s">
        <v>69</v>
      </c>
      <c r="B51" s="11" t="s">
        <v>137</v>
      </c>
      <c r="C51" s="68">
        <v>5.8599661091072202</v>
      </c>
      <c r="D51" s="69">
        <v>1.6533981019778601</v>
      </c>
      <c r="E51" s="69">
        <v>3.8811990656154101</v>
      </c>
      <c r="F51" s="69">
        <v>15.513990381605501</v>
      </c>
      <c r="G51" s="69">
        <v>307.92353397191999</v>
      </c>
      <c r="H51" s="69">
        <v>165.84201302596901</v>
      </c>
      <c r="I51" s="69">
        <v>19.8157649921787</v>
      </c>
      <c r="J51" s="69">
        <v>402.610063944263</v>
      </c>
      <c r="K51" s="69">
        <v>52.927114336646902</v>
      </c>
      <c r="L51" s="69">
        <v>353.91515701375198</v>
      </c>
      <c r="M51" s="69">
        <v>64.970854496784398</v>
      </c>
      <c r="N51" s="69">
        <v>41.1852659468585</v>
      </c>
      <c r="O51" s="69">
        <v>30.978829558604801</v>
      </c>
      <c r="P51" s="69">
        <v>23.826490672003999</v>
      </c>
      <c r="Q51" s="69">
        <v>25.8112855597027</v>
      </c>
      <c r="R51" s="69">
        <v>16.373457951868001</v>
      </c>
      <c r="S51" s="69">
        <v>114.420166675359</v>
      </c>
      <c r="T51" s="69">
        <v>8.9748622695158193</v>
      </c>
      <c r="U51" s="69">
        <v>38.6465889291363</v>
      </c>
      <c r="V51" s="69">
        <v>36.966349529894003</v>
      </c>
      <c r="W51" s="69">
        <v>188.979503729556</v>
      </c>
      <c r="X51" s="69">
        <v>174.06472742380399</v>
      </c>
      <c r="Y51" s="69">
        <v>43.521434652750401</v>
      </c>
      <c r="Z51" s="69">
        <v>236.92380858285401</v>
      </c>
      <c r="AA51" s="69">
        <v>128.39426263359701</v>
      </c>
      <c r="AB51" s="69">
        <v>103.024542063097</v>
      </c>
      <c r="AC51" s="69">
        <v>222.80154093115499</v>
      </c>
      <c r="AD51" s="69">
        <v>52.477823419562696</v>
      </c>
      <c r="AE51" s="69">
        <v>194.49615998503501</v>
      </c>
      <c r="AF51" s="69">
        <v>132.23189605503001</v>
      </c>
      <c r="AG51" s="69">
        <v>132.969440100947</v>
      </c>
      <c r="AH51" s="69">
        <v>364.88088333145703</v>
      </c>
      <c r="AI51" s="69">
        <v>130.63482824020301</v>
      </c>
      <c r="AJ51" s="69">
        <v>89.798749617272804</v>
      </c>
      <c r="AK51" s="69">
        <v>39.081831042638903</v>
      </c>
      <c r="AL51" s="69">
        <v>137.59820881979999</v>
      </c>
      <c r="AM51" s="69">
        <v>64.047971611204105</v>
      </c>
      <c r="AN51" s="69">
        <v>193.148446638015</v>
      </c>
      <c r="AO51" s="69">
        <v>21.081338781473601</v>
      </c>
      <c r="AP51" s="69">
        <v>1050.4468694874299</v>
      </c>
      <c r="AQ51" s="69">
        <v>3895.4871443747902</v>
      </c>
      <c r="AR51" s="69">
        <v>225.66615564074399</v>
      </c>
      <c r="AS51" s="69">
        <v>6.5221250149649199</v>
      </c>
      <c r="AT51" s="69">
        <v>49.858392821667501</v>
      </c>
      <c r="AU51" s="69">
        <v>257.07295389960501</v>
      </c>
      <c r="AV51" s="69">
        <v>0.65442753761076999</v>
      </c>
      <c r="AW51" s="69">
        <v>33.692883345967203</v>
      </c>
      <c r="AX51" s="69">
        <v>56.678296699386102</v>
      </c>
      <c r="AY51" s="69">
        <v>136.782852738413</v>
      </c>
      <c r="AZ51" s="69">
        <v>88.659200321828095</v>
      </c>
      <c r="BA51" s="69">
        <v>796.46833601871401</v>
      </c>
      <c r="BB51" s="69">
        <v>864.87361950694799</v>
      </c>
      <c r="BC51" s="69">
        <v>69.433063432378603</v>
      </c>
      <c r="BD51" s="69">
        <v>351.01864512228298</v>
      </c>
      <c r="BE51" s="69">
        <v>322.59058480606302</v>
      </c>
      <c r="BF51" s="69">
        <v>231.247298249251</v>
      </c>
      <c r="BG51" s="69">
        <v>186.20242952529</v>
      </c>
      <c r="BH51" s="69">
        <v>209.51497327336301</v>
      </c>
      <c r="BI51" s="69">
        <v>49.849471497925599</v>
      </c>
      <c r="BJ51" s="69">
        <v>2268.5397229940099</v>
      </c>
      <c r="BK51" s="69">
        <v>223.571876483631</v>
      </c>
      <c r="BL51" s="69">
        <v>380.51439560043002</v>
      </c>
      <c r="BM51" s="69">
        <v>519.75911707025796</v>
      </c>
      <c r="BN51" s="69">
        <v>2.2396835970279301</v>
      </c>
      <c r="BO51" s="69">
        <v>137.496631473836</v>
      </c>
      <c r="BP51" s="69">
        <v>5674.4810747572101</v>
      </c>
      <c r="BQ51" s="70">
        <v>0</v>
      </c>
      <c r="BR51" s="71">
        <v>22471.5759754832</v>
      </c>
      <c r="BS51" s="72">
        <v>4930.25055668195</v>
      </c>
      <c r="BT51" s="73">
        <v>0.12350412704790199</v>
      </c>
      <c r="BU51" s="73">
        <v>0</v>
      </c>
      <c r="BV51" s="73">
        <v>4316.1186887711701</v>
      </c>
      <c r="BW51" s="73">
        <v>3.9312749366131299</v>
      </c>
      <c r="BX51" s="74">
        <v>0</v>
      </c>
      <c r="BY51" s="71">
        <v>9250.4240245167803</v>
      </c>
      <c r="BZ51" s="75">
        <v>31722</v>
      </c>
    </row>
    <row r="52" spans="1:78" ht="15" customHeight="1" x14ac:dyDescent="0.3">
      <c r="A52" s="33" t="s">
        <v>70</v>
      </c>
      <c r="B52" s="11" t="s">
        <v>138</v>
      </c>
      <c r="C52" s="68">
        <v>-1.4919391040802801</v>
      </c>
      <c r="D52" s="69">
        <v>-2.4124408411538201</v>
      </c>
      <c r="E52" s="69">
        <v>2.7333358230040101</v>
      </c>
      <c r="F52" s="69">
        <v>2.8540787940659</v>
      </c>
      <c r="G52" s="69">
        <v>400.18989803081303</v>
      </c>
      <c r="H52" s="69">
        <v>27.775186181112701</v>
      </c>
      <c r="I52" s="69">
        <v>14.207201873475499</v>
      </c>
      <c r="J52" s="69">
        <v>3.5507029360120601</v>
      </c>
      <c r="K52" s="69">
        <v>6.7441590184101896</v>
      </c>
      <c r="L52" s="69">
        <v>218.273251614331</v>
      </c>
      <c r="M52" s="69">
        <v>3.70306177036211</v>
      </c>
      <c r="N52" s="69">
        <v>0.26237566167197801</v>
      </c>
      <c r="O52" s="69">
        <v>14.9557570912757</v>
      </c>
      <c r="P52" s="69">
        <v>3.6122267935963599</v>
      </c>
      <c r="Q52" s="69">
        <v>-2.17354118078621E-2</v>
      </c>
      <c r="R52" s="69">
        <v>1.1934933242638599</v>
      </c>
      <c r="S52" s="69">
        <v>10.097194677604101</v>
      </c>
      <c r="T52" s="69">
        <v>22.557663647452301</v>
      </c>
      <c r="U52" s="69">
        <v>5.3418822470400098</v>
      </c>
      <c r="V52" s="69">
        <v>6.8120008121985496</v>
      </c>
      <c r="W52" s="69">
        <v>193.66627317125199</v>
      </c>
      <c r="X52" s="69">
        <v>174.386622373904</v>
      </c>
      <c r="Y52" s="69">
        <v>1.7549744665286</v>
      </c>
      <c r="Z52" s="69">
        <v>375.99148323969001</v>
      </c>
      <c r="AA52" s="69">
        <v>20.098908282219998</v>
      </c>
      <c r="AB52" s="69">
        <v>2.96239267549148</v>
      </c>
      <c r="AC52" s="69">
        <v>42.442722995477098</v>
      </c>
      <c r="AD52" s="69">
        <v>85.699258552899195</v>
      </c>
      <c r="AE52" s="69">
        <v>50.265491477971601</v>
      </c>
      <c r="AF52" s="69">
        <v>1.9134055257482701</v>
      </c>
      <c r="AG52" s="69">
        <v>-0.56359397835181402</v>
      </c>
      <c r="AH52" s="69">
        <v>162.51900534782399</v>
      </c>
      <c r="AI52" s="69">
        <v>404.40891535531301</v>
      </c>
      <c r="AJ52" s="69">
        <v>18.485333252469001</v>
      </c>
      <c r="AK52" s="69">
        <v>1.81643705269753</v>
      </c>
      <c r="AL52" s="69">
        <v>1.6155121485119199</v>
      </c>
      <c r="AM52" s="69">
        <v>100.98640461527501</v>
      </c>
      <c r="AN52" s="69">
        <v>335.29825501833</v>
      </c>
      <c r="AO52" s="69">
        <v>18.235672487590602</v>
      </c>
      <c r="AP52" s="69">
        <v>13.149441879825901</v>
      </c>
      <c r="AQ52" s="69">
        <v>1455.3960491496</v>
      </c>
      <c r="AR52" s="69">
        <v>51.847015214374302</v>
      </c>
      <c r="AS52" s="69">
        <v>13.760818251031001</v>
      </c>
      <c r="AT52" s="69">
        <v>709.87324107433096</v>
      </c>
      <c r="AU52" s="69">
        <v>94.506642097468003</v>
      </c>
      <c r="AV52" s="69">
        <v>367.81100887729599</v>
      </c>
      <c r="AW52" s="69">
        <v>30.6085606219123</v>
      </c>
      <c r="AX52" s="69">
        <v>2.8489661350739399</v>
      </c>
      <c r="AY52" s="69">
        <v>849.33350005232001</v>
      </c>
      <c r="AZ52" s="69">
        <v>88.310992858079501</v>
      </c>
      <c r="BA52" s="69">
        <v>68.6713249089199</v>
      </c>
      <c r="BB52" s="69">
        <v>3054.4046465916099</v>
      </c>
      <c r="BC52" s="69">
        <v>91.197071400508094</v>
      </c>
      <c r="BD52" s="69">
        <v>1763.0946780317599</v>
      </c>
      <c r="BE52" s="69">
        <v>13.3355718293174</v>
      </c>
      <c r="BF52" s="69">
        <v>340.76084652160898</v>
      </c>
      <c r="BG52" s="69">
        <v>19.432149756708402</v>
      </c>
      <c r="BH52" s="69">
        <v>1699.21399348354</v>
      </c>
      <c r="BI52" s="69">
        <v>7.7477523177839496</v>
      </c>
      <c r="BJ52" s="69">
        <v>11107.693164353899</v>
      </c>
      <c r="BK52" s="69">
        <v>2042.3088746118699</v>
      </c>
      <c r="BL52" s="69">
        <v>351.32745977459399</v>
      </c>
      <c r="BM52" s="69">
        <v>6633.5706089251298</v>
      </c>
      <c r="BN52" s="69">
        <v>4380.8979316816003</v>
      </c>
      <c r="BO52" s="69">
        <v>79.620005002767698</v>
      </c>
      <c r="BP52" s="69">
        <v>11336.768026821201</v>
      </c>
      <c r="BQ52" s="70">
        <v>0</v>
      </c>
      <c r="BR52" s="71">
        <v>49400.411171224601</v>
      </c>
      <c r="BS52" s="72">
        <v>3266.1476284002401</v>
      </c>
      <c r="BT52" s="73">
        <v>-0.57635259289021101</v>
      </c>
      <c r="BU52" s="73">
        <v>0</v>
      </c>
      <c r="BV52" s="73">
        <v>234696.363502672</v>
      </c>
      <c r="BW52" s="73">
        <v>-18.345949704194599</v>
      </c>
      <c r="BX52" s="74">
        <v>0</v>
      </c>
      <c r="BY52" s="71">
        <v>237943.588828776</v>
      </c>
      <c r="BZ52" s="75">
        <v>287344</v>
      </c>
    </row>
    <row r="53" spans="1:78" ht="15" customHeight="1" x14ac:dyDescent="0.3">
      <c r="A53" s="33" t="s">
        <v>71</v>
      </c>
      <c r="B53" s="11" t="s">
        <v>139</v>
      </c>
      <c r="C53" s="68">
        <v>0.68790902459247005</v>
      </c>
      <c r="D53" s="69">
        <v>0.264422577059231</v>
      </c>
      <c r="E53" s="69">
        <v>6.6172940220274507E-2</v>
      </c>
      <c r="F53" s="69">
        <v>3.5489442425934402E-2</v>
      </c>
      <c r="G53" s="69">
        <v>0.69627215939826004</v>
      </c>
      <c r="H53" s="69">
        <v>0.92344414734979696</v>
      </c>
      <c r="I53" s="69">
        <v>0.14042670014574801</v>
      </c>
      <c r="J53" s="69">
        <v>2.3291965560800101</v>
      </c>
      <c r="K53" s="69">
        <v>0.63728994628695002</v>
      </c>
      <c r="L53" s="69">
        <v>2.3418048054349998</v>
      </c>
      <c r="M53" s="69">
        <v>4.8673234224749002</v>
      </c>
      <c r="N53" s="69">
        <v>4.9149231075459598E-2</v>
      </c>
      <c r="O53" s="69">
        <v>0.509089401745346</v>
      </c>
      <c r="P53" s="69">
        <v>0.53407885546683898</v>
      </c>
      <c r="Q53" s="69">
        <v>0.20718039876830399</v>
      </c>
      <c r="R53" s="69">
        <v>0.69149947986097904</v>
      </c>
      <c r="S53" s="69">
        <v>3.5722613784200301</v>
      </c>
      <c r="T53" s="69">
        <v>17.359017931999901</v>
      </c>
      <c r="U53" s="69">
        <v>0.308277996548801</v>
      </c>
      <c r="V53" s="69">
        <v>0.56483212020429796</v>
      </c>
      <c r="W53" s="69">
        <v>201.84199543009501</v>
      </c>
      <c r="X53" s="69">
        <v>0.65326717353874098</v>
      </c>
      <c r="Y53" s="69">
        <v>0.22462054850722701</v>
      </c>
      <c r="Z53" s="69">
        <v>0.56685518922469402</v>
      </c>
      <c r="AA53" s="69">
        <v>1.04589427755409</v>
      </c>
      <c r="AB53" s="69">
        <v>0.48367871549663899</v>
      </c>
      <c r="AC53" s="69">
        <v>0.86425118002394696</v>
      </c>
      <c r="AD53" s="69">
        <v>0.274997549098282</v>
      </c>
      <c r="AE53" s="69">
        <v>0.80468892968738504</v>
      </c>
      <c r="AF53" s="69">
        <v>3.1417673857740001</v>
      </c>
      <c r="AG53" s="69">
        <v>0.53623920030956296</v>
      </c>
      <c r="AH53" s="69">
        <v>1.0424346438816601</v>
      </c>
      <c r="AI53" s="69">
        <v>0.87572451038600796</v>
      </c>
      <c r="AJ53" s="69">
        <v>4.2222049637037697</v>
      </c>
      <c r="AK53" s="69">
        <v>0.15945250166963301</v>
      </c>
      <c r="AL53" s="69">
        <v>0.73815478216428398</v>
      </c>
      <c r="AM53" s="69">
        <v>15.2636021650156</v>
      </c>
      <c r="AN53" s="69">
        <v>61.2925134633741</v>
      </c>
      <c r="AO53" s="69">
        <v>5.5535903622518799</v>
      </c>
      <c r="AP53" s="69">
        <v>1.5671127278213</v>
      </c>
      <c r="AQ53" s="69">
        <v>389.376034885455</v>
      </c>
      <c r="AR53" s="69">
        <v>1.84118937122943</v>
      </c>
      <c r="AS53" s="69">
        <v>9.9433926045650101E-2</v>
      </c>
      <c r="AT53" s="69">
        <v>0.42202820457288998</v>
      </c>
      <c r="AU53" s="69">
        <v>3.3783208712742101</v>
      </c>
      <c r="AV53" s="69">
        <v>46.198508592780598</v>
      </c>
      <c r="AW53" s="69">
        <v>3.86625090750919</v>
      </c>
      <c r="AX53" s="69">
        <v>28.2828979168068</v>
      </c>
      <c r="AY53" s="69">
        <v>5.3132078453186402</v>
      </c>
      <c r="AZ53" s="69">
        <v>90.909849797821906</v>
      </c>
      <c r="BA53" s="69">
        <v>14.5449060974438</v>
      </c>
      <c r="BB53" s="69">
        <v>968.55438280669603</v>
      </c>
      <c r="BC53" s="69">
        <v>44.5883827310846</v>
      </c>
      <c r="BD53" s="69">
        <v>259.73947285288301</v>
      </c>
      <c r="BE53" s="69">
        <v>123.73990365295499</v>
      </c>
      <c r="BF53" s="69">
        <v>2976.34953196366</v>
      </c>
      <c r="BG53" s="69">
        <v>24.510151184275401</v>
      </c>
      <c r="BH53" s="69">
        <v>28.752040505609902</v>
      </c>
      <c r="BI53" s="69">
        <v>0.221258759198871</v>
      </c>
      <c r="BJ53" s="69">
        <v>1038.38957346961</v>
      </c>
      <c r="BK53" s="69">
        <v>2378.3032127842698</v>
      </c>
      <c r="BL53" s="69">
        <v>1417.28741046138</v>
      </c>
      <c r="BM53" s="69">
        <v>57.896268937248898</v>
      </c>
      <c r="BN53" s="69">
        <v>107.804138842613</v>
      </c>
      <c r="BO53" s="69">
        <v>6.78620704514623</v>
      </c>
      <c r="BP53" s="69">
        <v>128.68848563245399</v>
      </c>
      <c r="BQ53" s="70">
        <v>0</v>
      </c>
      <c r="BR53" s="71">
        <v>10483.781234260499</v>
      </c>
      <c r="BS53" s="72">
        <v>1034.46802019607</v>
      </c>
      <c r="BT53" s="73">
        <v>4.7049191256343798E-2</v>
      </c>
      <c r="BU53" s="73">
        <v>0</v>
      </c>
      <c r="BV53" s="73">
        <v>6829.7815744676</v>
      </c>
      <c r="BW53" s="73">
        <v>22.8954380624516</v>
      </c>
      <c r="BX53" s="74">
        <v>-744.97331617785699</v>
      </c>
      <c r="BY53" s="71">
        <v>7142.2187657395198</v>
      </c>
      <c r="BZ53" s="75">
        <v>17626</v>
      </c>
    </row>
    <row r="54" spans="1:78" ht="15" customHeight="1" x14ac:dyDescent="0.3">
      <c r="A54" s="33" t="s">
        <v>72</v>
      </c>
      <c r="B54" s="11" t="s">
        <v>140</v>
      </c>
      <c r="C54" s="68">
        <v>0.52417007283538997</v>
      </c>
      <c r="D54" s="69">
        <v>0.28315317673815299</v>
      </c>
      <c r="E54" s="69">
        <v>2.3213924922517101E-2</v>
      </c>
      <c r="F54" s="69">
        <v>2.3782003044135899E-2</v>
      </c>
      <c r="G54" s="69">
        <v>0.24535091469647199</v>
      </c>
      <c r="H54" s="69">
        <v>0.20574551307657099</v>
      </c>
      <c r="I54" s="69">
        <v>2.95589585519122E-2</v>
      </c>
      <c r="J54" s="69">
        <v>0.81106132801141095</v>
      </c>
      <c r="K54" s="69">
        <v>8.2084475352203895E-2</v>
      </c>
      <c r="L54" s="69">
        <v>0.77187648908474704</v>
      </c>
      <c r="M54" s="69">
        <v>0.11461945397328301</v>
      </c>
      <c r="N54" s="69">
        <v>2.7168888789665599E-2</v>
      </c>
      <c r="O54" s="69">
        <v>0.18069111012879899</v>
      </c>
      <c r="P54" s="69">
        <v>0.20599572133708099</v>
      </c>
      <c r="Q54" s="69">
        <v>9.2675461927340594E-2</v>
      </c>
      <c r="R54" s="69">
        <v>8.8764705092212806E-2</v>
      </c>
      <c r="S54" s="69">
        <v>0.29164918560451503</v>
      </c>
      <c r="T54" s="69">
        <v>4.1192744002410402E-2</v>
      </c>
      <c r="U54" s="69">
        <v>0.12968726964030899</v>
      </c>
      <c r="V54" s="69">
        <v>0.123477653043864</v>
      </c>
      <c r="W54" s="69">
        <v>0.36585717606225798</v>
      </c>
      <c r="X54" s="69">
        <v>0.19583040573188501</v>
      </c>
      <c r="Y54" s="69">
        <v>0.12302544019714</v>
      </c>
      <c r="Z54" s="69">
        <v>0.15162155325019999</v>
      </c>
      <c r="AA54" s="69">
        <v>0.36522992374888802</v>
      </c>
      <c r="AB54" s="69">
        <v>0.21852060987260299</v>
      </c>
      <c r="AC54" s="69">
        <v>0.39234859850523901</v>
      </c>
      <c r="AD54" s="69">
        <v>0.20788637680255301</v>
      </c>
      <c r="AE54" s="69">
        <v>0.29155738330686798</v>
      </c>
      <c r="AF54" s="69">
        <v>0.21789272288971001</v>
      </c>
      <c r="AG54" s="69">
        <v>0.27883254864735701</v>
      </c>
      <c r="AH54" s="69">
        <v>0.51059005076060904</v>
      </c>
      <c r="AI54" s="69">
        <v>0.38097074000814601</v>
      </c>
      <c r="AJ54" s="69">
        <v>0.24473132097189601</v>
      </c>
      <c r="AK54" s="69">
        <v>5.7245344202748898E-2</v>
      </c>
      <c r="AL54" s="69">
        <v>0.217231568241114</v>
      </c>
      <c r="AM54" s="69">
        <v>0.15939758566421799</v>
      </c>
      <c r="AN54" s="69">
        <v>0.21099114518017401</v>
      </c>
      <c r="AO54" s="69">
        <v>0.119363724166174</v>
      </c>
      <c r="AP54" s="69">
        <v>0.80029817279120796</v>
      </c>
      <c r="AQ54" s="69">
        <v>9.9503081623246601</v>
      </c>
      <c r="AR54" s="69">
        <v>1.6851607421418699</v>
      </c>
      <c r="AS54" s="69">
        <v>3.0625026584451698E-2</v>
      </c>
      <c r="AT54" s="69">
        <v>2.4770705505138799E-2</v>
      </c>
      <c r="AU54" s="69">
        <v>0.76650952433366004</v>
      </c>
      <c r="AV54" s="69">
        <v>3.0287620092830698</v>
      </c>
      <c r="AW54" s="69">
        <v>1.1583000315187899</v>
      </c>
      <c r="AX54" s="69">
        <v>8.5277204640223605</v>
      </c>
      <c r="AY54" s="69">
        <v>6172.0977402952503</v>
      </c>
      <c r="AZ54" s="69">
        <v>4570.2100346031702</v>
      </c>
      <c r="BA54" s="69">
        <v>1.57460307514721</v>
      </c>
      <c r="BB54" s="69">
        <v>2.9794029498332799</v>
      </c>
      <c r="BC54" s="69">
        <v>0.35471243581224099</v>
      </c>
      <c r="BD54" s="69">
        <v>1.0453389721878401</v>
      </c>
      <c r="BE54" s="69">
        <v>0.19269139156041201</v>
      </c>
      <c r="BF54" s="69">
        <v>32472.2369783498</v>
      </c>
      <c r="BG54" s="69">
        <v>0.20683740512558599</v>
      </c>
      <c r="BH54" s="69">
        <v>40.655641996011397</v>
      </c>
      <c r="BI54" s="69">
        <v>2.7872914955659298</v>
      </c>
      <c r="BJ54" s="69">
        <v>0.58219509889588295</v>
      </c>
      <c r="BK54" s="69">
        <v>0.193843653850997</v>
      </c>
      <c r="BL54" s="69">
        <v>1.0633714654051301</v>
      </c>
      <c r="BM54" s="69">
        <v>0.299815768197844</v>
      </c>
      <c r="BN54" s="69">
        <v>0.80483568659843496</v>
      </c>
      <c r="BO54" s="69">
        <v>103.188336440293</v>
      </c>
      <c r="BP54" s="69">
        <v>0.76010167409680895</v>
      </c>
      <c r="BQ54" s="70">
        <v>0</v>
      </c>
      <c r="BR54" s="71">
        <v>43406.211270863299</v>
      </c>
      <c r="BS54" s="72">
        <v>2040.88576334959</v>
      </c>
      <c r="BT54" s="73">
        <v>5.0969957194372403E-2</v>
      </c>
      <c r="BU54" s="73">
        <v>0</v>
      </c>
      <c r="BV54" s="73">
        <v>1213.22956490365</v>
      </c>
      <c r="BW54" s="73">
        <v>1.6224309262212899</v>
      </c>
      <c r="BX54" s="74">
        <v>0</v>
      </c>
      <c r="BY54" s="71">
        <v>3255.7887291366501</v>
      </c>
      <c r="BZ54" s="75">
        <v>46662</v>
      </c>
    </row>
    <row r="55" spans="1:78" ht="15" customHeight="1" x14ac:dyDescent="0.3">
      <c r="A55" s="33" t="s">
        <v>73</v>
      </c>
      <c r="B55" s="11" t="s">
        <v>141</v>
      </c>
      <c r="C55" s="68">
        <v>39.260380186638102</v>
      </c>
      <c r="D55" s="69">
        <v>20.8680302681055</v>
      </c>
      <c r="E55" s="69">
        <v>10.324521021260001</v>
      </c>
      <c r="F55" s="69">
        <v>34.426950253476697</v>
      </c>
      <c r="G55" s="69">
        <v>877.63203477876903</v>
      </c>
      <c r="H55" s="69">
        <v>258.34215758896897</v>
      </c>
      <c r="I55" s="69">
        <v>35.670391590036402</v>
      </c>
      <c r="J55" s="69">
        <v>951.16223787869501</v>
      </c>
      <c r="K55" s="69">
        <v>318.403352991492</v>
      </c>
      <c r="L55" s="69">
        <v>1608.0051396649901</v>
      </c>
      <c r="M55" s="69">
        <v>430.74919558218301</v>
      </c>
      <c r="N55" s="69">
        <v>26.6172131377994</v>
      </c>
      <c r="O55" s="69">
        <v>242.29841568871299</v>
      </c>
      <c r="P55" s="69">
        <v>587.045651228304</v>
      </c>
      <c r="Q55" s="69">
        <v>147.75797869423801</v>
      </c>
      <c r="R55" s="69">
        <v>177.21883572522</v>
      </c>
      <c r="S55" s="69">
        <v>559.01335498622598</v>
      </c>
      <c r="T55" s="69">
        <v>313.462952760836</v>
      </c>
      <c r="U55" s="69">
        <v>281.88423563344497</v>
      </c>
      <c r="V55" s="69">
        <v>286.287051638707</v>
      </c>
      <c r="W55" s="69">
        <v>456.213816216743</v>
      </c>
      <c r="X55" s="69">
        <v>321.99596095762502</v>
      </c>
      <c r="Y55" s="69">
        <v>40.596705656824099</v>
      </c>
      <c r="Z55" s="69">
        <v>285.40347827383903</v>
      </c>
      <c r="AA55" s="69">
        <v>431.16007652669703</v>
      </c>
      <c r="AB55" s="69">
        <v>559.39950928264102</v>
      </c>
      <c r="AC55" s="69">
        <v>249.20608923050301</v>
      </c>
      <c r="AD55" s="69">
        <v>97.555020038067696</v>
      </c>
      <c r="AE55" s="69">
        <v>480.37953984617701</v>
      </c>
      <c r="AF55" s="69">
        <v>816.12793193448795</v>
      </c>
      <c r="AG55" s="69">
        <v>494.67063697827803</v>
      </c>
      <c r="AH55" s="69">
        <v>607.46147832848601</v>
      </c>
      <c r="AI55" s="69">
        <v>1209.79022283975</v>
      </c>
      <c r="AJ55" s="69">
        <v>1257.38526736122</v>
      </c>
      <c r="AK55" s="69">
        <v>144.21385770197099</v>
      </c>
      <c r="AL55" s="69">
        <v>549.47126024905799</v>
      </c>
      <c r="AM55" s="69">
        <v>118.412659620708</v>
      </c>
      <c r="AN55" s="69">
        <v>285.08714466829002</v>
      </c>
      <c r="AO55" s="69">
        <v>209.90007624559101</v>
      </c>
      <c r="AP55" s="69">
        <v>838.34252440033003</v>
      </c>
      <c r="AQ55" s="69">
        <v>8826.5599940809407</v>
      </c>
      <c r="AR55" s="69">
        <v>959.435079474139</v>
      </c>
      <c r="AS55" s="69">
        <v>48.229609389474099</v>
      </c>
      <c r="AT55" s="69">
        <v>39.686283776567699</v>
      </c>
      <c r="AU55" s="69">
        <v>1080.7834870317499</v>
      </c>
      <c r="AV55" s="69">
        <v>235.81576974721199</v>
      </c>
      <c r="AW55" s="69">
        <v>665.02118399142705</v>
      </c>
      <c r="AX55" s="69">
        <v>70.913648913412104</v>
      </c>
      <c r="AY55" s="69">
        <v>288.63054818504099</v>
      </c>
      <c r="AZ55" s="69">
        <v>18713.191480029502</v>
      </c>
      <c r="BA55" s="69">
        <v>2089.5443619515099</v>
      </c>
      <c r="BB55" s="69">
        <v>5441.4976665355498</v>
      </c>
      <c r="BC55" s="69">
        <v>451.41004067892698</v>
      </c>
      <c r="BD55" s="69">
        <v>2201.6816160357098</v>
      </c>
      <c r="BE55" s="69">
        <v>349.555898346699</v>
      </c>
      <c r="BF55" s="69">
        <v>3107.13530800952</v>
      </c>
      <c r="BG55" s="69">
        <v>124.078060497853</v>
      </c>
      <c r="BH55" s="69">
        <v>1688.20744866271</v>
      </c>
      <c r="BI55" s="69">
        <v>245.38311979833199</v>
      </c>
      <c r="BJ55" s="69">
        <v>4925.9539796517502</v>
      </c>
      <c r="BK55" s="69">
        <v>1108.7736961027599</v>
      </c>
      <c r="BL55" s="69">
        <v>1150.0777440925799</v>
      </c>
      <c r="BM55" s="69">
        <v>574.922758300856</v>
      </c>
      <c r="BN55" s="69">
        <v>844.91201682134897</v>
      </c>
      <c r="BO55" s="69">
        <v>194.51776519579701</v>
      </c>
      <c r="BP55" s="69">
        <v>1359.93160822098</v>
      </c>
      <c r="BQ55" s="70">
        <v>0</v>
      </c>
      <c r="BR55" s="71">
        <v>73445.053511177801</v>
      </c>
      <c r="BS55" s="72">
        <v>2894.0296228995498</v>
      </c>
      <c r="BT55" s="73">
        <v>3.0464351338482598</v>
      </c>
      <c r="BU55" s="73">
        <v>0</v>
      </c>
      <c r="BV55" s="73">
        <v>105453.61464299</v>
      </c>
      <c r="BW55" s="73">
        <v>547.25578779917396</v>
      </c>
      <c r="BX55" s="74">
        <v>0</v>
      </c>
      <c r="BY55" s="71">
        <v>108897.946488822</v>
      </c>
      <c r="BZ55" s="75">
        <v>182343</v>
      </c>
    </row>
    <row r="56" spans="1:78" ht="15" customHeight="1" x14ac:dyDescent="0.3">
      <c r="A56" s="33" t="s">
        <v>74</v>
      </c>
      <c r="B56" s="11" t="s">
        <v>142</v>
      </c>
      <c r="C56" s="68">
        <v>78.561227359999606</v>
      </c>
      <c r="D56" s="69">
        <v>38.227806103890103</v>
      </c>
      <c r="E56" s="69">
        <v>2.9701407230091599</v>
      </c>
      <c r="F56" s="69">
        <v>2.8522020873482101</v>
      </c>
      <c r="G56" s="69">
        <v>154.36833633713101</v>
      </c>
      <c r="H56" s="69">
        <v>829.88397236399305</v>
      </c>
      <c r="I56" s="69">
        <v>54.412863215883498</v>
      </c>
      <c r="J56" s="69">
        <v>816.31661385443999</v>
      </c>
      <c r="K56" s="69">
        <v>54.577617206431903</v>
      </c>
      <c r="L56" s="69">
        <v>1492.5982565480799</v>
      </c>
      <c r="M56" s="69">
        <v>119.06061962987199</v>
      </c>
      <c r="N56" s="69">
        <v>69.961652565140895</v>
      </c>
      <c r="O56" s="69">
        <v>68.978799371081095</v>
      </c>
      <c r="P56" s="69">
        <v>73.132647019452193</v>
      </c>
      <c r="Q56" s="69">
        <v>23.2074516315352</v>
      </c>
      <c r="R56" s="69">
        <v>41.655951392122297</v>
      </c>
      <c r="S56" s="69">
        <v>430.752918843011</v>
      </c>
      <c r="T56" s="69">
        <v>4.95620800102418</v>
      </c>
      <c r="U56" s="69">
        <v>80.1555575795512</v>
      </c>
      <c r="V56" s="69">
        <v>9.5352605563795692</v>
      </c>
      <c r="W56" s="69">
        <v>818.14452546878294</v>
      </c>
      <c r="X56" s="69">
        <v>414.52338853375198</v>
      </c>
      <c r="Y56" s="69">
        <v>44.7120190627789</v>
      </c>
      <c r="Z56" s="69">
        <v>651.91735892016197</v>
      </c>
      <c r="AA56" s="69">
        <v>273.19352710051902</v>
      </c>
      <c r="AB56" s="69">
        <v>168.21814245919199</v>
      </c>
      <c r="AC56" s="69">
        <v>341.32997033114799</v>
      </c>
      <c r="AD56" s="69">
        <v>70.638690362033799</v>
      </c>
      <c r="AE56" s="69">
        <v>216.004526978005</v>
      </c>
      <c r="AF56" s="69">
        <v>279.00932653567799</v>
      </c>
      <c r="AG56" s="69">
        <v>520.24169840928403</v>
      </c>
      <c r="AH56" s="69">
        <v>388.52115059943799</v>
      </c>
      <c r="AI56" s="69">
        <v>1087.2187952358399</v>
      </c>
      <c r="AJ56" s="69">
        <v>224.53535363929601</v>
      </c>
      <c r="AK56" s="69">
        <v>82.4281365366828</v>
      </c>
      <c r="AL56" s="69">
        <v>240.459050704014</v>
      </c>
      <c r="AM56" s="69">
        <v>175.67543080910201</v>
      </c>
      <c r="AN56" s="69">
        <v>1324.7494341629599</v>
      </c>
      <c r="AO56" s="69">
        <v>576.17732294856603</v>
      </c>
      <c r="AP56" s="69">
        <v>638.05601486080297</v>
      </c>
      <c r="AQ56" s="69">
        <v>14546.8103122664</v>
      </c>
      <c r="AR56" s="69">
        <v>1470.8389049914399</v>
      </c>
      <c r="AS56" s="69">
        <v>2.1342424545918699</v>
      </c>
      <c r="AT56" s="69">
        <v>874.20821431967295</v>
      </c>
      <c r="AU56" s="69">
        <v>2307.3410494986601</v>
      </c>
      <c r="AV56" s="69">
        <v>91.286452571011296</v>
      </c>
      <c r="AW56" s="69">
        <v>172.26854176540201</v>
      </c>
      <c r="AX56" s="69">
        <v>564.94226183399599</v>
      </c>
      <c r="AY56" s="69">
        <v>1384.4598383145999</v>
      </c>
      <c r="AZ56" s="69">
        <v>3418.2875625501001</v>
      </c>
      <c r="BA56" s="69">
        <v>22296.693190979699</v>
      </c>
      <c r="BB56" s="69">
        <v>18766.422790832901</v>
      </c>
      <c r="BC56" s="69">
        <v>477.99401862926101</v>
      </c>
      <c r="BD56" s="69">
        <v>4061.7751861953102</v>
      </c>
      <c r="BE56" s="69">
        <v>102.04459949620799</v>
      </c>
      <c r="BF56" s="69">
        <v>14709.252533098999</v>
      </c>
      <c r="BG56" s="69">
        <v>636.01271217783403</v>
      </c>
      <c r="BH56" s="69">
        <v>1655.9138682810001</v>
      </c>
      <c r="BI56" s="69">
        <v>299.82627797848301</v>
      </c>
      <c r="BJ56" s="69">
        <v>17514.6871968993</v>
      </c>
      <c r="BK56" s="69">
        <v>1749.32983851739</v>
      </c>
      <c r="BL56" s="69">
        <v>617.52976864466405</v>
      </c>
      <c r="BM56" s="69">
        <v>2644.30415191781</v>
      </c>
      <c r="BN56" s="69">
        <v>33.125127273602601</v>
      </c>
      <c r="BO56" s="69">
        <v>219.13201691487799</v>
      </c>
      <c r="BP56" s="69">
        <v>2090.71574201048</v>
      </c>
      <c r="BQ56" s="70">
        <v>0</v>
      </c>
      <c r="BR56" s="71">
        <v>125689.25636646101</v>
      </c>
      <c r="BS56" s="72">
        <v>14787.7506161273</v>
      </c>
      <c r="BT56" s="73">
        <v>4.5990584453076</v>
      </c>
      <c r="BU56" s="73">
        <v>0</v>
      </c>
      <c r="BV56" s="73">
        <v>2673.1609156995801</v>
      </c>
      <c r="BW56" s="73">
        <v>124321.23380799301</v>
      </c>
      <c r="BX56" s="74">
        <v>18.999235273946599</v>
      </c>
      <c r="BY56" s="71">
        <v>141805.74363353901</v>
      </c>
      <c r="BZ56" s="75">
        <v>267495</v>
      </c>
    </row>
    <row r="57" spans="1:78" ht="15" customHeight="1" x14ac:dyDescent="0.3">
      <c r="A57" s="33" t="s">
        <v>75</v>
      </c>
      <c r="B57" s="11" t="s">
        <v>143</v>
      </c>
      <c r="C57" s="68">
        <v>6774.4536373556102</v>
      </c>
      <c r="D57" s="69">
        <v>2164.35916929926</v>
      </c>
      <c r="E57" s="69">
        <v>554.54332748140803</v>
      </c>
      <c r="F57" s="69">
        <v>885.11557922310499</v>
      </c>
      <c r="G57" s="69">
        <v>4057.2099594850201</v>
      </c>
      <c r="H57" s="69">
        <v>1336.0665895658601</v>
      </c>
      <c r="I57" s="69">
        <v>516.12890919322501</v>
      </c>
      <c r="J57" s="69">
        <v>5410.7058571376001</v>
      </c>
      <c r="K57" s="69">
        <v>1980.8579770362401</v>
      </c>
      <c r="L57" s="69">
        <v>5781.3499842522097</v>
      </c>
      <c r="M57" s="69">
        <v>1477.5625163801701</v>
      </c>
      <c r="N57" s="69">
        <v>279.29394676671399</v>
      </c>
      <c r="O57" s="69">
        <v>812.61099983346605</v>
      </c>
      <c r="P57" s="69">
        <v>822.19299300380499</v>
      </c>
      <c r="Q57" s="69">
        <v>610.92876440344696</v>
      </c>
      <c r="R57" s="69">
        <v>597.47797472558295</v>
      </c>
      <c r="S57" s="69">
        <v>2297.44759548514</v>
      </c>
      <c r="T57" s="69">
        <v>287.33389851831498</v>
      </c>
      <c r="U57" s="69">
        <v>3533.2884674963998</v>
      </c>
      <c r="V57" s="69">
        <v>1286.5627927609401</v>
      </c>
      <c r="W57" s="69">
        <v>4301.6743921889702</v>
      </c>
      <c r="X57" s="69">
        <v>1608.02711382693</v>
      </c>
      <c r="Y57" s="69">
        <v>834.50683932311802</v>
      </c>
      <c r="Z57" s="69">
        <v>1141.9473577009201</v>
      </c>
      <c r="AA57" s="69">
        <v>1853.8804956466299</v>
      </c>
      <c r="AB57" s="69">
        <v>2297.7032613371798</v>
      </c>
      <c r="AC57" s="69">
        <v>3669.9430384063598</v>
      </c>
      <c r="AD57" s="69">
        <v>1318.8452725157999</v>
      </c>
      <c r="AE57" s="69">
        <v>1604.4855156457099</v>
      </c>
      <c r="AF57" s="69">
        <v>2116.0048579806198</v>
      </c>
      <c r="AG57" s="69">
        <v>1381.85511753792</v>
      </c>
      <c r="AH57" s="69">
        <v>2523.1654117440598</v>
      </c>
      <c r="AI57" s="69">
        <v>2684.57473320914</v>
      </c>
      <c r="AJ57" s="69">
        <v>1016.99911185973</v>
      </c>
      <c r="AK57" s="69">
        <v>612.56180593990098</v>
      </c>
      <c r="AL57" s="69">
        <v>987.95991127246702</v>
      </c>
      <c r="AM57" s="69">
        <v>578.62795683476804</v>
      </c>
      <c r="AN57" s="69">
        <v>7330.6239138667297</v>
      </c>
      <c r="AO57" s="69">
        <v>1169.53465660079</v>
      </c>
      <c r="AP57" s="69">
        <v>7153.9090602661399</v>
      </c>
      <c r="AQ57" s="69">
        <v>29588.063235461999</v>
      </c>
      <c r="AR57" s="69">
        <v>7991.5494775174602</v>
      </c>
      <c r="AS57" s="69">
        <v>677.00767349860405</v>
      </c>
      <c r="AT57" s="69">
        <v>971.60803528405995</v>
      </c>
      <c r="AU57" s="69">
        <v>3129.1907758959701</v>
      </c>
      <c r="AV57" s="69">
        <v>573.17760984596703</v>
      </c>
      <c r="AW57" s="69">
        <v>2306.65961883914</v>
      </c>
      <c r="AX57" s="69">
        <v>360.814705939269</v>
      </c>
      <c r="AY57" s="69">
        <v>903.06692375009004</v>
      </c>
      <c r="AZ57" s="69">
        <v>8192.2349343874394</v>
      </c>
      <c r="BA57" s="69">
        <v>2955.3307619575698</v>
      </c>
      <c r="BB57" s="69">
        <v>110270.527883802</v>
      </c>
      <c r="BC57" s="69">
        <v>22913.2611652618</v>
      </c>
      <c r="BD57" s="69">
        <v>4008.5857136685599</v>
      </c>
      <c r="BE57" s="69">
        <v>1228.6309193817599</v>
      </c>
      <c r="BF57" s="69">
        <v>904.95665476446197</v>
      </c>
      <c r="BG57" s="69">
        <v>1435.7404467574599</v>
      </c>
      <c r="BH57" s="69">
        <v>4515.2941956616596</v>
      </c>
      <c r="BI57" s="69">
        <v>701.15556521815597</v>
      </c>
      <c r="BJ57" s="69">
        <v>52055.993249689804</v>
      </c>
      <c r="BK57" s="69">
        <v>847.06767226918896</v>
      </c>
      <c r="BL57" s="69">
        <v>1360.9766860841901</v>
      </c>
      <c r="BM57" s="69">
        <v>613.80221083337801</v>
      </c>
      <c r="BN57" s="69">
        <v>4612.8382152551803</v>
      </c>
      <c r="BO57" s="69">
        <v>821.75643665210805</v>
      </c>
      <c r="BP57" s="69">
        <v>2400.6180400518401</v>
      </c>
      <c r="BQ57" s="70">
        <v>0</v>
      </c>
      <c r="BR57" s="71">
        <v>353992.22957083699</v>
      </c>
      <c r="BS57" s="72">
        <v>11393.016672985301</v>
      </c>
      <c r="BT57" s="73">
        <v>1784.05285711333</v>
      </c>
      <c r="BU57" s="73">
        <v>586.445491107213</v>
      </c>
      <c r="BV57" s="73">
        <v>349387.05616017297</v>
      </c>
      <c r="BW57" s="73">
        <v>704.13381224273201</v>
      </c>
      <c r="BX57" s="74">
        <v>6.5435540977222206E-2</v>
      </c>
      <c r="BY57" s="71">
        <v>363854.77042916301</v>
      </c>
      <c r="BZ57" s="75">
        <v>717847</v>
      </c>
    </row>
    <row r="58" spans="1:78" ht="15" customHeight="1" x14ac:dyDescent="0.3">
      <c r="A58" s="33" t="s">
        <v>76</v>
      </c>
      <c r="B58" s="11" t="s">
        <v>144</v>
      </c>
      <c r="C58" s="68">
        <v>8.0111359518729799</v>
      </c>
      <c r="D58" s="69">
        <v>6.5546130654148298</v>
      </c>
      <c r="E58" s="69">
        <v>7.2827990409611703</v>
      </c>
      <c r="F58" s="69">
        <v>27.184412347267401</v>
      </c>
      <c r="G58" s="69">
        <v>444.486156722663</v>
      </c>
      <c r="H58" s="69">
        <v>86.526848971920401</v>
      </c>
      <c r="I58" s="69">
        <v>27.881559036869401</v>
      </c>
      <c r="J58" s="69">
        <v>917.48527334113305</v>
      </c>
      <c r="K58" s="69">
        <v>260.33995319457603</v>
      </c>
      <c r="L58" s="69">
        <v>546.60889197155097</v>
      </c>
      <c r="M58" s="69">
        <v>75.618832647834594</v>
      </c>
      <c r="N58" s="69">
        <v>27.938520072105501</v>
      </c>
      <c r="O58" s="69">
        <v>328.27512751481402</v>
      </c>
      <c r="P58" s="69">
        <v>389.60795799070303</v>
      </c>
      <c r="Q58" s="69">
        <v>79.665778448018798</v>
      </c>
      <c r="R58" s="69">
        <v>58.894345908018998</v>
      </c>
      <c r="S58" s="69">
        <v>228.49617826226799</v>
      </c>
      <c r="T58" s="69">
        <v>52.160816020130397</v>
      </c>
      <c r="U58" s="69">
        <v>242.58779842583499</v>
      </c>
      <c r="V58" s="69">
        <v>370.42511382834198</v>
      </c>
      <c r="W58" s="69">
        <v>282.416735174937</v>
      </c>
      <c r="X58" s="69">
        <v>118.924663715893</v>
      </c>
      <c r="Y58" s="69">
        <v>177.69252313182099</v>
      </c>
      <c r="Z58" s="69">
        <v>290.830257893218</v>
      </c>
      <c r="AA58" s="69">
        <v>499.82910792388401</v>
      </c>
      <c r="AB58" s="69">
        <v>244.67332419553901</v>
      </c>
      <c r="AC58" s="69">
        <v>359.49554757976398</v>
      </c>
      <c r="AD58" s="69">
        <v>14.565611692573301</v>
      </c>
      <c r="AE58" s="69">
        <v>296.39858768701703</v>
      </c>
      <c r="AF58" s="69">
        <v>181.60890591282899</v>
      </c>
      <c r="AG58" s="69">
        <v>131.82282423882401</v>
      </c>
      <c r="AH58" s="69">
        <v>300.81929672836498</v>
      </c>
      <c r="AI58" s="69">
        <v>104.383961717712</v>
      </c>
      <c r="AJ58" s="69">
        <v>221.352374031073</v>
      </c>
      <c r="AK58" s="69">
        <v>41.971653181615999</v>
      </c>
      <c r="AL58" s="69">
        <v>262.44928698325901</v>
      </c>
      <c r="AM58" s="69">
        <v>55.779536323835202</v>
      </c>
      <c r="AN58" s="69">
        <v>686.09837460281597</v>
      </c>
      <c r="AO58" s="69">
        <v>373.50406698485199</v>
      </c>
      <c r="AP58" s="69">
        <v>891.125608424088</v>
      </c>
      <c r="AQ58" s="69">
        <v>47704.937668888102</v>
      </c>
      <c r="AR58" s="69">
        <v>1273.3453659212801</v>
      </c>
      <c r="AS58" s="69">
        <v>113.54884713106</v>
      </c>
      <c r="AT58" s="69">
        <v>90.543424900786405</v>
      </c>
      <c r="AU58" s="69">
        <v>3796.4171250416898</v>
      </c>
      <c r="AV58" s="69">
        <v>1079.73396160213</v>
      </c>
      <c r="AW58" s="69">
        <v>4343.03290216391</v>
      </c>
      <c r="AX58" s="69">
        <v>168.22725375385599</v>
      </c>
      <c r="AY58" s="69">
        <v>455.13449855698798</v>
      </c>
      <c r="AZ58" s="69">
        <v>1994.9539431211999</v>
      </c>
      <c r="BA58" s="69">
        <v>2677.9002114599198</v>
      </c>
      <c r="BB58" s="69">
        <v>4817.7794973911596</v>
      </c>
      <c r="BC58" s="69">
        <v>1686.1927483777399</v>
      </c>
      <c r="BD58" s="69">
        <v>5173.7763469636002</v>
      </c>
      <c r="BE58" s="69">
        <v>816.78070053239196</v>
      </c>
      <c r="BF58" s="69">
        <v>1536.22743512947</v>
      </c>
      <c r="BG58" s="69">
        <v>865.52658734481702</v>
      </c>
      <c r="BH58" s="69">
        <v>3286.9587399632201</v>
      </c>
      <c r="BI58" s="69">
        <v>303.17692561106799</v>
      </c>
      <c r="BJ58" s="69">
        <v>2335.66500981849</v>
      </c>
      <c r="BK58" s="69">
        <v>567.93504103888097</v>
      </c>
      <c r="BL58" s="69">
        <v>5333.8389600211103</v>
      </c>
      <c r="BM58" s="69">
        <v>484.31116929241398</v>
      </c>
      <c r="BN58" s="69">
        <v>2695.2731435774199</v>
      </c>
      <c r="BO58" s="69">
        <v>3841.8421227679301</v>
      </c>
      <c r="BP58" s="69">
        <v>3531.7316237024102</v>
      </c>
      <c r="BQ58" s="70">
        <v>0</v>
      </c>
      <c r="BR58" s="71">
        <v>110696.56561495901</v>
      </c>
      <c r="BS58" s="72">
        <v>3846.7712926965601</v>
      </c>
      <c r="BT58" s="73">
        <v>0</v>
      </c>
      <c r="BU58" s="73">
        <v>0</v>
      </c>
      <c r="BV58" s="73">
        <v>643768.78238033399</v>
      </c>
      <c r="BW58" s="73">
        <v>0.88071200970932595</v>
      </c>
      <c r="BX58" s="74">
        <v>0</v>
      </c>
      <c r="BY58" s="71">
        <v>647616.43438504101</v>
      </c>
      <c r="BZ58" s="75">
        <v>758313</v>
      </c>
    </row>
    <row r="59" spans="1:78" ht="15" customHeight="1" x14ac:dyDescent="0.3">
      <c r="A59" s="33" t="s">
        <v>77</v>
      </c>
      <c r="B59" s="11" t="s">
        <v>145</v>
      </c>
      <c r="C59" s="68">
        <v>38.594613364730698</v>
      </c>
      <c r="D59" s="69">
        <v>13.537923616564299</v>
      </c>
      <c r="E59" s="69">
        <v>40.565478807961497</v>
      </c>
      <c r="F59" s="69">
        <v>595.12441497172097</v>
      </c>
      <c r="G59" s="69">
        <v>9210.7343776957405</v>
      </c>
      <c r="H59" s="69">
        <v>2806.3169607893101</v>
      </c>
      <c r="I59" s="69">
        <v>241.71248776521</v>
      </c>
      <c r="J59" s="69">
        <v>7313.9414381032702</v>
      </c>
      <c r="K59" s="69">
        <v>1358.4989173312399</v>
      </c>
      <c r="L59" s="69">
        <v>11327.8691485324</v>
      </c>
      <c r="M59" s="69">
        <v>3746.5345315136401</v>
      </c>
      <c r="N59" s="69">
        <v>808.72697227551396</v>
      </c>
      <c r="O59" s="69">
        <v>466.76570158271801</v>
      </c>
      <c r="P59" s="69">
        <v>391.74844363484698</v>
      </c>
      <c r="Q59" s="69">
        <v>246.877581200262</v>
      </c>
      <c r="R59" s="69">
        <v>488.44463161134098</v>
      </c>
      <c r="S59" s="69">
        <v>3272.7927684879501</v>
      </c>
      <c r="T59" s="69">
        <v>218.649631589519</v>
      </c>
      <c r="U59" s="69">
        <v>7010.8120749646996</v>
      </c>
      <c r="V59" s="69">
        <v>1438.1817326083101</v>
      </c>
      <c r="W59" s="69">
        <v>6543.8451155938001</v>
      </c>
      <c r="X59" s="69">
        <v>4850.38137074719</v>
      </c>
      <c r="Y59" s="69">
        <v>2231.16872614257</v>
      </c>
      <c r="Z59" s="69">
        <v>4281.0617474562096</v>
      </c>
      <c r="AA59" s="69">
        <v>2633.9981387414</v>
      </c>
      <c r="AB59" s="69">
        <v>3165.2283784216502</v>
      </c>
      <c r="AC59" s="69">
        <v>2119.3552109851598</v>
      </c>
      <c r="AD59" s="69">
        <v>852.06862238890199</v>
      </c>
      <c r="AE59" s="69">
        <v>1022.15717206302</v>
      </c>
      <c r="AF59" s="69">
        <v>3267.8479565739699</v>
      </c>
      <c r="AG59" s="69">
        <v>1720.5573986362399</v>
      </c>
      <c r="AH59" s="69">
        <v>2598.8135985419999</v>
      </c>
      <c r="AI59" s="69">
        <v>3297.2022319518701</v>
      </c>
      <c r="AJ59" s="69">
        <v>1367.6625327971001</v>
      </c>
      <c r="AK59" s="69">
        <v>542.30657778207797</v>
      </c>
      <c r="AL59" s="69">
        <v>691.58174487992596</v>
      </c>
      <c r="AM59" s="69">
        <v>1010.98994234784</v>
      </c>
      <c r="AN59" s="69">
        <v>910.18858473654495</v>
      </c>
      <c r="AO59" s="69">
        <v>2097.9393991400202</v>
      </c>
      <c r="AP59" s="69">
        <v>4792.8584002928601</v>
      </c>
      <c r="AQ59" s="69">
        <v>44910.551722754702</v>
      </c>
      <c r="AR59" s="69">
        <v>3180.8094979665102</v>
      </c>
      <c r="AS59" s="69">
        <v>266.69423092391298</v>
      </c>
      <c r="AT59" s="69">
        <v>515.44303772925696</v>
      </c>
      <c r="AU59" s="69">
        <v>3329.4626276292202</v>
      </c>
      <c r="AV59" s="69">
        <v>288.11355710099298</v>
      </c>
      <c r="AW59" s="69">
        <v>1296.6765080340899</v>
      </c>
      <c r="AX59" s="69">
        <v>436.44098282639402</v>
      </c>
      <c r="AY59" s="69">
        <v>3029.97715790755</v>
      </c>
      <c r="AZ59" s="69">
        <v>3331.00171112925</v>
      </c>
      <c r="BA59" s="69">
        <v>5687.3504307214698</v>
      </c>
      <c r="BB59" s="69">
        <v>16615.896472085999</v>
      </c>
      <c r="BC59" s="69">
        <v>3068.5861218424998</v>
      </c>
      <c r="BD59" s="69">
        <v>19466.090531048601</v>
      </c>
      <c r="BE59" s="69">
        <v>6331.5153327074104</v>
      </c>
      <c r="BF59" s="69">
        <v>797.12533525434503</v>
      </c>
      <c r="BG59" s="69">
        <v>1312.72606711959</v>
      </c>
      <c r="BH59" s="69">
        <v>5763.9379328084597</v>
      </c>
      <c r="BI59" s="69">
        <v>2045.39383749542</v>
      </c>
      <c r="BJ59" s="69">
        <v>5214.4930290042703</v>
      </c>
      <c r="BK59" s="69">
        <v>149.76359102140901</v>
      </c>
      <c r="BL59" s="69">
        <v>3143.7573054387699</v>
      </c>
      <c r="BM59" s="69">
        <v>367.71231555752598</v>
      </c>
      <c r="BN59" s="69">
        <v>4605.5769407574699</v>
      </c>
      <c r="BO59" s="69">
        <v>1339.13400819916</v>
      </c>
      <c r="BP59" s="69">
        <v>4134.7338859019101</v>
      </c>
      <c r="BQ59" s="70">
        <v>0</v>
      </c>
      <c r="BR59" s="71">
        <v>241662.60685163399</v>
      </c>
      <c r="BS59" s="72">
        <v>22236.752374086202</v>
      </c>
      <c r="BT59" s="73">
        <v>0.16271178642818901</v>
      </c>
      <c r="BU59" s="73">
        <v>0</v>
      </c>
      <c r="BV59" s="73">
        <v>21125.298763767802</v>
      </c>
      <c r="BW59" s="73">
        <v>5.1792987260141201</v>
      </c>
      <c r="BX59" s="74">
        <v>0</v>
      </c>
      <c r="BY59" s="71">
        <v>43367.393148366398</v>
      </c>
      <c r="BZ59" s="75">
        <v>285030</v>
      </c>
    </row>
    <row r="60" spans="1:78" ht="15" customHeight="1" x14ac:dyDescent="0.3">
      <c r="A60" s="33" t="s">
        <v>78</v>
      </c>
      <c r="B60" s="11" t="s">
        <v>146</v>
      </c>
      <c r="C60" s="68">
        <v>952.52610326885303</v>
      </c>
      <c r="D60" s="69">
        <v>34.768684002356103</v>
      </c>
      <c r="E60" s="69">
        <v>0.36903764579160298</v>
      </c>
      <c r="F60" s="69">
        <v>60.290321640784498</v>
      </c>
      <c r="G60" s="69">
        <v>1888.89955079369</v>
      </c>
      <c r="H60" s="69">
        <v>1102.2142177723299</v>
      </c>
      <c r="I60" s="69">
        <v>166.28873065002699</v>
      </c>
      <c r="J60" s="69">
        <v>1406.4344156473201</v>
      </c>
      <c r="K60" s="69">
        <v>617.16527968136904</v>
      </c>
      <c r="L60" s="69">
        <v>1250.4852143725</v>
      </c>
      <c r="M60" s="69">
        <v>247.92860407644201</v>
      </c>
      <c r="N60" s="69">
        <v>141.996272195019</v>
      </c>
      <c r="O60" s="69">
        <v>72.411467987138295</v>
      </c>
      <c r="P60" s="69">
        <v>162.05231077225201</v>
      </c>
      <c r="Q60" s="69">
        <v>93.798377088571797</v>
      </c>
      <c r="R60" s="69">
        <v>107.585912901757</v>
      </c>
      <c r="S60" s="69">
        <v>721.81691353763097</v>
      </c>
      <c r="T60" s="69">
        <v>39.129693133563499</v>
      </c>
      <c r="U60" s="69">
        <v>242.079638922572</v>
      </c>
      <c r="V60" s="69">
        <v>517.68023178157296</v>
      </c>
      <c r="W60" s="69">
        <v>1245.6021196269501</v>
      </c>
      <c r="X60" s="69">
        <v>713.65615392118502</v>
      </c>
      <c r="Y60" s="69">
        <v>406.86756800865197</v>
      </c>
      <c r="Z60" s="69">
        <v>998.32451771835599</v>
      </c>
      <c r="AA60" s="69">
        <v>1016.68854091786</v>
      </c>
      <c r="AB60" s="69">
        <v>651.92889218527705</v>
      </c>
      <c r="AC60" s="69">
        <v>487.94971011062</v>
      </c>
      <c r="AD60" s="69">
        <v>341.21520237580199</v>
      </c>
      <c r="AE60" s="69">
        <v>533.21646099203099</v>
      </c>
      <c r="AF60" s="69">
        <v>550.37700853719605</v>
      </c>
      <c r="AG60" s="69">
        <v>391.03156898782902</v>
      </c>
      <c r="AH60" s="69">
        <v>2267.6166873788802</v>
      </c>
      <c r="AI60" s="69">
        <v>1423.7164586674201</v>
      </c>
      <c r="AJ60" s="69">
        <v>720.28855982370703</v>
      </c>
      <c r="AK60" s="69">
        <v>114.15845812150199</v>
      </c>
      <c r="AL60" s="69">
        <v>283.617422653831</v>
      </c>
      <c r="AM60" s="69">
        <v>224.36432314843699</v>
      </c>
      <c r="AN60" s="69">
        <v>1905.2580984700701</v>
      </c>
      <c r="AO60" s="69">
        <v>555.04643023229903</v>
      </c>
      <c r="AP60" s="69">
        <v>2755.14818023506</v>
      </c>
      <c r="AQ60" s="69">
        <v>2030.67180486295</v>
      </c>
      <c r="AR60" s="69">
        <v>427.34468364781202</v>
      </c>
      <c r="AS60" s="69">
        <v>27.878474952678999</v>
      </c>
      <c r="AT60" s="69">
        <v>0.54318442498151398</v>
      </c>
      <c r="AU60" s="69">
        <v>5082.11175753521</v>
      </c>
      <c r="AV60" s="69">
        <v>10.1670525210702</v>
      </c>
      <c r="AW60" s="69">
        <v>27.2715877483407</v>
      </c>
      <c r="AX60" s="69">
        <v>1.2794940067501299</v>
      </c>
      <c r="AY60" s="69">
        <v>2.6046704968907601</v>
      </c>
      <c r="AZ60" s="69">
        <v>19.626950542500701</v>
      </c>
      <c r="BA60" s="69">
        <v>515.97697379377905</v>
      </c>
      <c r="BB60" s="69">
        <v>476.095161280681</v>
      </c>
      <c r="BC60" s="69">
        <v>24.070599766841699</v>
      </c>
      <c r="BD60" s="69">
        <v>28.6050487907955</v>
      </c>
      <c r="BE60" s="69">
        <v>2913.3618708069098</v>
      </c>
      <c r="BF60" s="69">
        <v>8.9754727324857004</v>
      </c>
      <c r="BG60" s="69">
        <v>86.942029027446495</v>
      </c>
      <c r="BH60" s="69">
        <v>45.7601106509263</v>
      </c>
      <c r="BI60" s="69">
        <v>1.95187079721388</v>
      </c>
      <c r="BJ60" s="69">
        <v>5326.6474813577697</v>
      </c>
      <c r="BK60" s="69">
        <v>1344.6880350966001</v>
      </c>
      <c r="BL60" s="69">
        <v>139.464057600177</v>
      </c>
      <c r="BM60" s="69">
        <v>2091.5722700534402</v>
      </c>
      <c r="BN60" s="69">
        <v>17.760433672424298</v>
      </c>
      <c r="BO60" s="69">
        <v>20.891049678399</v>
      </c>
      <c r="BP60" s="69">
        <v>19.867088250476101</v>
      </c>
      <c r="BQ60" s="70">
        <v>0</v>
      </c>
      <c r="BR60" s="71">
        <v>48104.122554080102</v>
      </c>
      <c r="BS60" s="72">
        <v>27114.207898981302</v>
      </c>
      <c r="BT60" s="73">
        <v>0.35090855145356398</v>
      </c>
      <c r="BU60" s="73">
        <v>0</v>
      </c>
      <c r="BV60" s="73">
        <v>1240.7378546263801</v>
      </c>
      <c r="BW60" s="73">
        <v>8619.0059566525106</v>
      </c>
      <c r="BX60" s="74">
        <v>12.574827108357701</v>
      </c>
      <c r="BY60" s="71">
        <v>36986.877445919999</v>
      </c>
      <c r="BZ60" s="75">
        <v>85091</v>
      </c>
    </row>
    <row r="61" spans="1:78" ht="15" customHeight="1" x14ac:dyDescent="0.3">
      <c r="A61" s="33" t="s">
        <v>79</v>
      </c>
      <c r="B61" s="11" t="s">
        <v>147</v>
      </c>
      <c r="C61" s="68">
        <v>24.727617974700799</v>
      </c>
      <c r="D61" s="69">
        <v>528.85498771702203</v>
      </c>
      <c r="E61" s="69">
        <v>122.9326804933</v>
      </c>
      <c r="F61" s="69">
        <v>59.548482019923298</v>
      </c>
      <c r="G61" s="69">
        <v>927.87962399240098</v>
      </c>
      <c r="H61" s="69">
        <v>39.851600301816703</v>
      </c>
      <c r="I61" s="69">
        <v>0.89946914398297095</v>
      </c>
      <c r="J61" s="69">
        <v>3883.3596788797699</v>
      </c>
      <c r="K61" s="69">
        <v>512.816840631128</v>
      </c>
      <c r="L61" s="69">
        <v>5227.3181983587801</v>
      </c>
      <c r="M61" s="69">
        <v>7173.8409231122496</v>
      </c>
      <c r="N61" s="69">
        <v>406.66375805389202</v>
      </c>
      <c r="O61" s="69">
        <v>129.81860807285801</v>
      </c>
      <c r="P61" s="69">
        <v>523.40191296551995</v>
      </c>
      <c r="Q61" s="69">
        <v>895.78572158543204</v>
      </c>
      <c r="R61" s="69">
        <v>87.796025688007802</v>
      </c>
      <c r="S61" s="69">
        <v>952.65703632259601</v>
      </c>
      <c r="T61" s="69">
        <v>75.093228273708405</v>
      </c>
      <c r="U61" s="69">
        <v>375.54910295441903</v>
      </c>
      <c r="V61" s="69">
        <v>321.27107454077299</v>
      </c>
      <c r="W61" s="69">
        <v>237.11944211798601</v>
      </c>
      <c r="X61" s="69">
        <v>803.88429798989398</v>
      </c>
      <c r="Y61" s="69">
        <v>1720.21532068382</v>
      </c>
      <c r="Z61" s="69">
        <v>2850.0316272750601</v>
      </c>
      <c r="AA61" s="69">
        <v>873.59966720452496</v>
      </c>
      <c r="AB61" s="69">
        <v>477.50544847062298</v>
      </c>
      <c r="AC61" s="69">
        <v>390.88509423241402</v>
      </c>
      <c r="AD61" s="69">
        <v>29.339127788092998</v>
      </c>
      <c r="AE61" s="69">
        <v>793.37733769089903</v>
      </c>
      <c r="AF61" s="69">
        <v>1756.84344511313</v>
      </c>
      <c r="AG61" s="69">
        <v>884.56748149452596</v>
      </c>
      <c r="AH61" s="69">
        <v>828.26275861297404</v>
      </c>
      <c r="AI61" s="69">
        <v>4383.0895612685699</v>
      </c>
      <c r="AJ61" s="69">
        <v>216.89389973976299</v>
      </c>
      <c r="AK61" s="69">
        <v>301.59879998034</v>
      </c>
      <c r="AL61" s="69">
        <v>644.18474689377001</v>
      </c>
      <c r="AM61" s="69">
        <v>203.09039232257101</v>
      </c>
      <c r="AN61" s="69">
        <v>2944.8282515995302</v>
      </c>
      <c r="AO61" s="69">
        <v>324.78058147438401</v>
      </c>
      <c r="AP61" s="69">
        <v>2027.7844555311599</v>
      </c>
      <c r="AQ61" s="69">
        <v>32624.977264737201</v>
      </c>
      <c r="AR61" s="69">
        <v>1195.1621006350899</v>
      </c>
      <c r="AS61" s="69">
        <v>94.785514069991294</v>
      </c>
      <c r="AT61" s="69">
        <v>196.49038544572599</v>
      </c>
      <c r="AU61" s="69">
        <v>2379.1123144806102</v>
      </c>
      <c r="AV61" s="69">
        <v>405.919184598382</v>
      </c>
      <c r="AW61" s="69">
        <v>1004.93079299711</v>
      </c>
      <c r="AX61" s="69">
        <v>825.00001274429997</v>
      </c>
      <c r="AY61" s="69">
        <v>2377.1797387731499</v>
      </c>
      <c r="AZ61" s="69">
        <v>3370.7348211275098</v>
      </c>
      <c r="BA61" s="69">
        <v>4383.2443912451499</v>
      </c>
      <c r="BB61" s="69">
        <v>12260.7534963705</v>
      </c>
      <c r="BC61" s="69">
        <v>1140.5937966435899</v>
      </c>
      <c r="BD61" s="69">
        <v>6128.2939492256701</v>
      </c>
      <c r="BE61" s="69">
        <v>737.37335265330705</v>
      </c>
      <c r="BF61" s="69">
        <v>4268.1828930482998</v>
      </c>
      <c r="BG61" s="69">
        <v>1680.80467326894</v>
      </c>
      <c r="BH61" s="69">
        <v>2534.5790837980398</v>
      </c>
      <c r="BI61" s="69">
        <v>306.96014166832998</v>
      </c>
      <c r="BJ61" s="69">
        <v>4163.16600860783</v>
      </c>
      <c r="BK61" s="69">
        <v>757.56398910980499</v>
      </c>
      <c r="BL61" s="69">
        <v>3847.4324363450301</v>
      </c>
      <c r="BM61" s="69">
        <v>1503.74321809307</v>
      </c>
      <c r="BN61" s="69">
        <v>46.2525294298161</v>
      </c>
      <c r="BO61" s="69">
        <v>1975.4813422071099</v>
      </c>
      <c r="BP61" s="69">
        <v>2355.8258178914798</v>
      </c>
      <c r="BQ61" s="70">
        <v>0</v>
      </c>
      <c r="BR61" s="71">
        <v>137526.491557781</v>
      </c>
      <c r="BS61" s="72">
        <v>6051.5253530023201</v>
      </c>
      <c r="BT61" s="73">
        <v>6.0771872039444001E-2</v>
      </c>
      <c r="BU61" s="73">
        <v>0</v>
      </c>
      <c r="BV61" s="73">
        <v>2711.98788047064</v>
      </c>
      <c r="BW61" s="73">
        <v>1.93443687357154</v>
      </c>
      <c r="BX61" s="74">
        <v>0</v>
      </c>
      <c r="BY61" s="71">
        <v>8765.5084422185701</v>
      </c>
      <c r="BZ61" s="75">
        <v>146292</v>
      </c>
    </row>
    <row r="62" spans="1:78" ht="15" customHeight="1" x14ac:dyDescent="0.3">
      <c r="A62" s="33" t="s">
        <v>80</v>
      </c>
      <c r="B62" s="11" t="s">
        <v>148</v>
      </c>
      <c r="C62" s="68">
        <v>329.02947909728698</v>
      </c>
      <c r="D62" s="69">
        <v>78.641265884801996</v>
      </c>
      <c r="E62" s="69">
        <v>90.863271774105499</v>
      </c>
      <c r="F62" s="69">
        <v>209.409035501701</v>
      </c>
      <c r="G62" s="69">
        <v>7487.0060504514204</v>
      </c>
      <c r="H62" s="69">
        <v>2705.2869067469701</v>
      </c>
      <c r="I62" s="69">
        <v>206.42738945147099</v>
      </c>
      <c r="J62" s="69">
        <v>328.00349516184502</v>
      </c>
      <c r="K62" s="69">
        <v>519.98175565694999</v>
      </c>
      <c r="L62" s="69">
        <v>910.80468537757804</v>
      </c>
      <c r="M62" s="69">
        <v>319.95162984421802</v>
      </c>
      <c r="N62" s="69">
        <v>30.3844105421188</v>
      </c>
      <c r="O62" s="69">
        <v>63.298593516876601</v>
      </c>
      <c r="P62" s="69">
        <v>69.470336265865697</v>
      </c>
      <c r="Q62" s="69">
        <v>42.554945548455699</v>
      </c>
      <c r="R62" s="69">
        <v>191.72886273680399</v>
      </c>
      <c r="S62" s="69">
        <v>854.17648269172798</v>
      </c>
      <c r="T62" s="69">
        <v>130.47202244527401</v>
      </c>
      <c r="U62" s="69">
        <v>473.243795891285</v>
      </c>
      <c r="V62" s="69">
        <v>138.46987300785599</v>
      </c>
      <c r="W62" s="69">
        <v>501.74525692563202</v>
      </c>
      <c r="X62" s="69">
        <v>329.74863162724</v>
      </c>
      <c r="Y62" s="69">
        <v>67.613516465546994</v>
      </c>
      <c r="Z62" s="69">
        <v>155.91489048666</v>
      </c>
      <c r="AA62" s="69">
        <v>366.01560414005201</v>
      </c>
      <c r="AB62" s="69">
        <v>408.18054136661999</v>
      </c>
      <c r="AC62" s="69">
        <v>726.58881968084904</v>
      </c>
      <c r="AD62" s="69">
        <v>262.44819926269003</v>
      </c>
      <c r="AE62" s="69">
        <v>539.61473658259797</v>
      </c>
      <c r="AF62" s="69">
        <v>170.29808666765101</v>
      </c>
      <c r="AG62" s="69">
        <v>155.104169602007</v>
      </c>
      <c r="AH62" s="69">
        <v>537.64607136717302</v>
      </c>
      <c r="AI62" s="69">
        <v>564.64873052058397</v>
      </c>
      <c r="AJ62" s="69">
        <v>323.26084520679001</v>
      </c>
      <c r="AK62" s="69">
        <v>194.263462618744</v>
      </c>
      <c r="AL62" s="69">
        <v>199.53456033461401</v>
      </c>
      <c r="AM62" s="69">
        <v>264.054205191714</v>
      </c>
      <c r="AN62" s="69">
        <v>395.15519855569897</v>
      </c>
      <c r="AO62" s="69">
        <v>1408.8096386459299</v>
      </c>
      <c r="AP62" s="69">
        <v>1374.3770084376199</v>
      </c>
      <c r="AQ62" s="69">
        <v>7175.8759567931202</v>
      </c>
      <c r="AR62" s="69">
        <v>2991.4413077992499</v>
      </c>
      <c r="AS62" s="69">
        <v>1191.92313241644</v>
      </c>
      <c r="AT62" s="69">
        <v>1627.6543379294601</v>
      </c>
      <c r="AU62" s="69">
        <v>2133.04956238656</v>
      </c>
      <c r="AV62" s="69">
        <v>94.194264746688901</v>
      </c>
      <c r="AW62" s="69">
        <v>546.86652970174998</v>
      </c>
      <c r="AX62" s="69">
        <v>193.45790495129901</v>
      </c>
      <c r="AY62" s="69">
        <v>499.50850449382898</v>
      </c>
      <c r="AZ62" s="69">
        <v>2048.7820287468599</v>
      </c>
      <c r="BA62" s="69">
        <v>2149.2817409058598</v>
      </c>
      <c r="BB62" s="69">
        <v>777.73755515234598</v>
      </c>
      <c r="BC62" s="69">
        <v>239.273972937103</v>
      </c>
      <c r="BD62" s="69">
        <v>590.81273745843396</v>
      </c>
      <c r="BE62" s="69">
        <v>665.02217379539798</v>
      </c>
      <c r="BF62" s="69">
        <v>298.75080083887298</v>
      </c>
      <c r="BG62" s="69">
        <v>1305.8937966685901</v>
      </c>
      <c r="BH62" s="69">
        <v>907.84535153987599</v>
      </c>
      <c r="BI62" s="69">
        <v>310.554649124555</v>
      </c>
      <c r="BJ62" s="69">
        <v>4196.4982733134402</v>
      </c>
      <c r="BK62" s="69">
        <v>1463.0060103379001</v>
      </c>
      <c r="BL62" s="69">
        <v>1299.7291210621399</v>
      </c>
      <c r="BM62" s="69">
        <v>2143.9773130547001</v>
      </c>
      <c r="BN62" s="69">
        <v>582.71443764152798</v>
      </c>
      <c r="BO62" s="69">
        <v>348.71742535743999</v>
      </c>
      <c r="BP62" s="69">
        <v>230.54141498342301</v>
      </c>
      <c r="BQ62" s="70">
        <v>0</v>
      </c>
      <c r="BR62" s="71">
        <v>60137.336765417902</v>
      </c>
      <c r="BS62" s="72">
        <v>8284.4744538244195</v>
      </c>
      <c r="BT62" s="73">
        <v>2.1588861708167699</v>
      </c>
      <c r="BU62" s="73">
        <v>0</v>
      </c>
      <c r="BV62" s="73">
        <v>5839.0177853896303</v>
      </c>
      <c r="BW62" s="73">
        <v>932.83809076755404</v>
      </c>
      <c r="BX62" s="74">
        <v>7.1740184296995899</v>
      </c>
      <c r="BY62" s="71">
        <v>15065.6632345821</v>
      </c>
      <c r="BZ62" s="75">
        <v>75203</v>
      </c>
    </row>
    <row r="63" spans="1:78" ht="15" customHeight="1" x14ac:dyDescent="0.3">
      <c r="A63" s="33" t="s">
        <v>81</v>
      </c>
      <c r="B63" s="11" t="s">
        <v>149</v>
      </c>
      <c r="C63" s="68">
        <v>49.154630548087603</v>
      </c>
      <c r="D63" s="69">
        <v>24.1029911848381</v>
      </c>
      <c r="E63" s="69">
        <v>34.908687502097798</v>
      </c>
      <c r="F63" s="69">
        <v>976.93019287965797</v>
      </c>
      <c r="G63" s="69">
        <v>1162.4217111077</v>
      </c>
      <c r="H63" s="69">
        <v>2152.9248082443901</v>
      </c>
      <c r="I63" s="69">
        <v>355.69419258874098</v>
      </c>
      <c r="J63" s="69">
        <v>1312.2717306388399</v>
      </c>
      <c r="K63" s="69">
        <v>1130.5124864361701</v>
      </c>
      <c r="L63" s="69">
        <v>1891.6903279104799</v>
      </c>
      <c r="M63" s="69">
        <v>1597.3340725623</v>
      </c>
      <c r="N63" s="69">
        <v>306.11250765735701</v>
      </c>
      <c r="O63" s="69">
        <v>249.92130602069699</v>
      </c>
      <c r="P63" s="69">
        <v>317.60765214129299</v>
      </c>
      <c r="Q63" s="69">
        <v>341.61849906731402</v>
      </c>
      <c r="R63" s="69">
        <v>107.65850214140499</v>
      </c>
      <c r="S63" s="69">
        <v>1080.3878895990499</v>
      </c>
      <c r="T63" s="69">
        <v>39.198620212790303</v>
      </c>
      <c r="U63" s="69">
        <v>423.70679965149702</v>
      </c>
      <c r="V63" s="69">
        <v>1115.9107075463801</v>
      </c>
      <c r="W63" s="69">
        <v>820.92775490018903</v>
      </c>
      <c r="X63" s="69">
        <v>1110.6115741860599</v>
      </c>
      <c r="Y63" s="69">
        <v>450.51309711129397</v>
      </c>
      <c r="Z63" s="69">
        <v>1243.90788328997</v>
      </c>
      <c r="AA63" s="69">
        <v>977.02175261085404</v>
      </c>
      <c r="AB63" s="69">
        <v>1525.44946613764</v>
      </c>
      <c r="AC63" s="69">
        <v>819.917984464185</v>
      </c>
      <c r="AD63" s="69">
        <v>995.69640768735803</v>
      </c>
      <c r="AE63" s="69">
        <v>1234.67770578922</v>
      </c>
      <c r="AF63" s="69">
        <v>1174.96669349986</v>
      </c>
      <c r="AG63" s="69">
        <v>942.79926290160802</v>
      </c>
      <c r="AH63" s="69">
        <v>3273.39061037386</v>
      </c>
      <c r="AI63" s="69">
        <v>1498.1391621128901</v>
      </c>
      <c r="AJ63" s="69">
        <v>484.81568720361599</v>
      </c>
      <c r="AK63" s="69">
        <v>135.312907611734</v>
      </c>
      <c r="AL63" s="69">
        <v>406.67365732822202</v>
      </c>
      <c r="AM63" s="69">
        <v>461.44406895385703</v>
      </c>
      <c r="AN63" s="69">
        <v>2810.11679006943</v>
      </c>
      <c r="AO63" s="69">
        <v>619.53817233496</v>
      </c>
      <c r="AP63" s="69">
        <v>2437.8906682741499</v>
      </c>
      <c r="AQ63" s="69">
        <v>52185.586765765103</v>
      </c>
      <c r="AR63" s="69">
        <v>3170.8406089906698</v>
      </c>
      <c r="AS63" s="69">
        <v>172.45684809153201</v>
      </c>
      <c r="AT63" s="69">
        <v>1064.45550500786</v>
      </c>
      <c r="AU63" s="69">
        <v>4754.0061258566902</v>
      </c>
      <c r="AV63" s="69">
        <v>1081.85886932322</v>
      </c>
      <c r="AW63" s="69">
        <v>2557.3707329563899</v>
      </c>
      <c r="AX63" s="69">
        <v>251.24847274659999</v>
      </c>
      <c r="AY63" s="69">
        <v>1080.521539778</v>
      </c>
      <c r="AZ63" s="69">
        <v>23061.259072791301</v>
      </c>
      <c r="BA63" s="69">
        <v>13312.0575239058</v>
      </c>
      <c r="BB63" s="69">
        <v>24163.959622417398</v>
      </c>
      <c r="BC63" s="69">
        <v>1736.81038801406</v>
      </c>
      <c r="BD63" s="69">
        <v>6116.8988889580896</v>
      </c>
      <c r="BE63" s="69">
        <v>853.53610085343405</v>
      </c>
      <c r="BF63" s="69">
        <v>1400.0039446190799</v>
      </c>
      <c r="BG63" s="69">
        <v>1014.75448011297</v>
      </c>
      <c r="BH63" s="69">
        <v>8428.3557692555405</v>
      </c>
      <c r="BI63" s="69">
        <v>666.43541564537304</v>
      </c>
      <c r="BJ63" s="69">
        <v>26556.5946937013</v>
      </c>
      <c r="BK63" s="69">
        <v>13100.750894983101</v>
      </c>
      <c r="BL63" s="69">
        <v>6011.8092087410996</v>
      </c>
      <c r="BM63" s="69">
        <v>14569.6315483946</v>
      </c>
      <c r="BN63" s="69">
        <v>4399.2074526223996</v>
      </c>
      <c r="BO63" s="69">
        <v>1395.2094009586999</v>
      </c>
      <c r="BP63" s="69">
        <v>7261.9270281442496</v>
      </c>
      <c r="BQ63" s="70">
        <v>0</v>
      </c>
      <c r="BR63" s="71">
        <v>258461.42652511701</v>
      </c>
      <c r="BS63" s="72">
        <v>9496.1099075968505</v>
      </c>
      <c r="BT63" s="73">
        <v>0.27837438160003403</v>
      </c>
      <c r="BU63" s="73">
        <v>39053.0000561864</v>
      </c>
      <c r="BV63" s="73">
        <v>11997.598209239301</v>
      </c>
      <c r="BW63" s="73">
        <v>52.5869274792257</v>
      </c>
      <c r="BX63" s="74">
        <v>0</v>
      </c>
      <c r="BY63" s="71">
        <v>60599.5734748834</v>
      </c>
      <c r="BZ63" s="75">
        <v>319061</v>
      </c>
    </row>
    <row r="64" spans="1:78" ht="15" customHeight="1" x14ac:dyDescent="0.3">
      <c r="A64" s="33" t="s">
        <v>82</v>
      </c>
      <c r="B64" s="11" t="s">
        <v>150</v>
      </c>
      <c r="C64" s="68">
        <v>3.977417370915</v>
      </c>
      <c r="D64" s="69">
        <v>1.6066241241506101</v>
      </c>
      <c r="E64" s="69">
        <v>2.1263953790748098</v>
      </c>
      <c r="F64" s="69">
        <v>10.1139285855543</v>
      </c>
      <c r="G64" s="69">
        <v>145.426521129055</v>
      </c>
      <c r="H64" s="69">
        <v>190.970800822765</v>
      </c>
      <c r="I64" s="69">
        <v>25.146262899129699</v>
      </c>
      <c r="J64" s="69">
        <v>524.284905631539</v>
      </c>
      <c r="K64" s="69">
        <v>240.284155070276</v>
      </c>
      <c r="L64" s="69">
        <v>404.12565793240202</v>
      </c>
      <c r="M64" s="69">
        <v>146.25385220627001</v>
      </c>
      <c r="N64" s="69">
        <v>175.62283766096101</v>
      </c>
      <c r="O64" s="69">
        <v>36.651633101191202</v>
      </c>
      <c r="P64" s="69">
        <v>35.0899745092023</v>
      </c>
      <c r="Q64" s="69">
        <v>37.009912444964399</v>
      </c>
      <c r="R64" s="69">
        <v>100.877779532616</v>
      </c>
      <c r="S64" s="69">
        <v>726.02193822368895</v>
      </c>
      <c r="T64" s="69">
        <v>16.193331890137301</v>
      </c>
      <c r="U64" s="69">
        <v>172.852745831204</v>
      </c>
      <c r="V64" s="69">
        <v>4.4106430158098897</v>
      </c>
      <c r="W64" s="69">
        <v>457.06994026803</v>
      </c>
      <c r="X64" s="69">
        <v>223.72322085584199</v>
      </c>
      <c r="Y64" s="69">
        <v>38.642846807325597</v>
      </c>
      <c r="Z64" s="69">
        <v>282.709732000825</v>
      </c>
      <c r="AA64" s="69">
        <v>264.83883587060001</v>
      </c>
      <c r="AB64" s="69">
        <v>553.57949725634796</v>
      </c>
      <c r="AC64" s="69">
        <v>102.525012546383</v>
      </c>
      <c r="AD64" s="69">
        <v>91.5922808346957</v>
      </c>
      <c r="AE64" s="69">
        <v>241.16654861117601</v>
      </c>
      <c r="AF64" s="69">
        <v>137.01459659511801</v>
      </c>
      <c r="AG64" s="69">
        <v>110.592273391124</v>
      </c>
      <c r="AH64" s="69">
        <v>344.621245914094</v>
      </c>
      <c r="AI64" s="69">
        <v>479.03203453461703</v>
      </c>
      <c r="AJ64" s="69">
        <v>323.03139705670799</v>
      </c>
      <c r="AK64" s="69">
        <v>78.192848434745201</v>
      </c>
      <c r="AL64" s="69">
        <v>59.457613725196097</v>
      </c>
      <c r="AM64" s="69">
        <v>199.66147816317499</v>
      </c>
      <c r="AN64" s="69">
        <v>259.66872682801699</v>
      </c>
      <c r="AO64" s="69">
        <v>645.72744875722799</v>
      </c>
      <c r="AP64" s="69">
        <v>598.527455526008</v>
      </c>
      <c r="AQ64" s="69">
        <v>6940.68273470658</v>
      </c>
      <c r="AR64" s="69">
        <v>1900.8694760916501</v>
      </c>
      <c r="AS64" s="69">
        <v>43.084747929345497</v>
      </c>
      <c r="AT64" s="69">
        <v>168.94947500505199</v>
      </c>
      <c r="AU64" s="69">
        <v>3881.0233856938098</v>
      </c>
      <c r="AV64" s="69">
        <v>94.17095268416</v>
      </c>
      <c r="AW64" s="69">
        <v>619.04017474662601</v>
      </c>
      <c r="AX64" s="69">
        <v>28.038987301874599</v>
      </c>
      <c r="AY64" s="69">
        <v>264.07083013121701</v>
      </c>
      <c r="AZ64" s="69">
        <v>512.48502641169205</v>
      </c>
      <c r="BA64" s="69">
        <v>886.62945227249702</v>
      </c>
      <c r="BB64" s="69">
        <v>4098.47351745169</v>
      </c>
      <c r="BC64" s="69">
        <v>194.58933278036699</v>
      </c>
      <c r="BD64" s="69">
        <v>890.96956866993696</v>
      </c>
      <c r="BE64" s="69">
        <v>17.452497341577502</v>
      </c>
      <c r="BF64" s="69">
        <v>318.93061595369898</v>
      </c>
      <c r="BG64" s="69">
        <v>149.082586095669</v>
      </c>
      <c r="BH64" s="69">
        <v>869.24942832208103</v>
      </c>
      <c r="BI64" s="69">
        <v>56.0645916755971</v>
      </c>
      <c r="BJ64" s="69">
        <v>8279.2767732843204</v>
      </c>
      <c r="BK64" s="69">
        <v>3918.28856676847</v>
      </c>
      <c r="BL64" s="69">
        <v>1596.41676109226</v>
      </c>
      <c r="BM64" s="69">
        <v>1865.4681438995699</v>
      </c>
      <c r="BN64" s="69">
        <v>2.4550602433727402</v>
      </c>
      <c r="BO64" s="69">
        <v>161.01449954604601</v>
      </c>
      <c r="BP64" s="69">
        <v>3.5405354052479399</v>
      </c>
      <c r="BQ64" s="70">
        <v>0</v>
      </c>
      <c r="BR64" s="71">
        <v>46250.7400728426</v>
      </c>
      <c r="BS64" s="72">
        <v>4.2882811242282504</v>
      </c>
      <c r="BT64" s="73">
        <v>0.29013667941412002</v>
      </c>
      <c r="BU64" s="73">
        <v>0</v>
      </c>
      <c r="BV64" s="73">
        <v>624.44613331221899</v>
      </c>
      <c r="BW64" s="73">
        <v>9.2353760415673491</v>
      </c>
      <c r="BX64" s="74">
        <v>0</v>
      </c>
      <c r="BY64" s="71">
        <v>638.25992715742802</v>
      </c>
      <c r="BZ64" s="75">
        <v>46889</v>
      </c>
    </row>
    <row r="65" spans="1:80" ht="15" customHeight="1" x14ac:dyDescent="0.3">
      <c r="A65" s="33" t="s">
        <v>83</v>
      </c>
      <c r="B65" s="11" t="s">
        <v>151</v>
      </c>
      <c r="C65" s="68">
        <v>297.53919794157599</v>
      </c>
      <c r="D65" s="69">
        <v>105.14245850382</v>
      </c>
      <c r="E65" s="69">
        <v>18.018803477330401</v>
      </c>
      <c r="F65" s="69">
        <v>37.834173296660403</v>
      </c>
      <c r="G65" s="69">
        <v>509.32220649164799</v>
      </c>
      <c r="H65" s="69">
        <v>402.06632192465298</v>
      </c>
      <c r="I65" s="69">
        <v>42.1786237040454</v>
      </c>
      <c r="J65" s="69">
        <v>645.14721354498204</v>
      </c>
      <c r="K65" s="69">
        <v>176.27087244524901</v>
      </c>
      <c r="L65" s="69">
        <v>900.28139582648805</v>
      </c>
      <c r="M65" s="69">
        <v>637.41722963019197</v>
      </c>
      <c r="N65" s="69">
        <v>79.223893806636397</v>
      </c>
      <c r="O65" s="69">
        <v>46.078013546448801</v>
      </c>
      <c r="P65" s="69">
        <v>65.466558310886498</v>
      </c>
      <c r="Q65" s="69">
        <v>75.4415712927307</v>
      </c>
      <c r="R65" s="69">
        <v>126.362766498385</v>
      </c>
      <c r="S65" s="69">
        <v>384.37610017563998</v>
      </c>
      <c r="T65" s="69">
        <v>16.250524588667499</v>
      </c>
      <c r="U65" s="69">
        <v>270.70289859395899</v>
      </c>
      <c r="V65" s="69">
        <v>144.820155022638</v>
      </c>
      <c r="W65" s="69">
        <v>1146.6713735356</v>
      </c>
      <c r="X65" s="69">
        <v>364.22326031693802</v>
      </c>
      <c r="Y65" s="69">
        <v>229.18647855897299</v>
      </c>
      <c r="Z65" s="69">
        <v>395.92582013123803</v>
      </c>
      <c r="AA65" s="69">
        <v>253.921260299149</v>
      </c>
      <c r="AB65" s="69">
        <v>319.62860334487698</v>
      </c>
      <c r="AC65" s="69">
        <v>637.60637049119305</v>
      </c>
      <c r="AD65" s="69">
        <v>287.096247078619</v>
      </c>
      <c r="AE65" s="69">
        <v>204.497774283734</v>
      </c>
      <c r="AF65" s="69">
        <v>230.364446395762</v>
      </c>
      <c r="AG65" s="69">
        <v>188.72182439294301</v>
      </c>
      <c r="AH65" s="69">
        <v>343.55736705292497</v>
      </c>
      <c r="AI65" s="69">
        <v>517.19233223147205</v>
      </c>
      <c r="AJ65" s="69">
        <v>167.11482897597</v>
      </c>
      <c r="AK65" s="69">
        <v>58.606567874079502</v>
      </c>
      <c r="AL65" s="69">
        <v>102.04907138764401</v>
      </c>
      <c r="AM65" s="69">
        <v>86.449392515302506</v>
      </c>
      <c r="AN65" s="69">
        <v>576.71064893532298</v>
      </c>
      <c r="AO65" s="69">
        <v>248.69242072461699</v>
      </c>
      <c r="AP65" s="69">
        <v>478.700306816661</v>
      </c>
      <c r="AQ65" s="69">
        <v>4957.5604084115503</v>
      </c>
      <c r="AR65" s="69">
        <v>529.13509685429301</v>
      </c>
      <c r="AS65" s="69">
        <v>92.003169150324297</v>
      </c>
      <c r="AT65" s="69">
        <v>111.08180807151599</v>
      </c>
      <c r="AU65" s="69">
        <v>683.59183195702406</v>
      </c>
      <c r="AV65" s="69">
        <v>110.62918590184501</v>
      </c>
      <c r="AW65" s="69">
        <v>265.93110396549298</v>
      </c>
      <c r="AX65" s="69">
        <v>68.589354131322295</v>
      </c>
      <c r="AY65" s="69">
        <v>295.02053384613299</v>
      </c>
      <c r="AZ65" s="69">
        <v>477.86980847492202</v>
      </c>
      <c r="BA65" s="69">
        <v>739.12642938975</v>
      </c>
      <c r="BB65" s="69">
        <v>1683.08755203245</v>
      </c>
      <c r="BC65" s="69">
        <v>222.111626425011</v>
      </c>
      <c r="BD65" s="69">
        <v>1133.1383326023199</v>
      </c>
      <c r="BE65" s="69">
        <v>522.64406986993299</v>
      </c>
      <c r="BF65" s="69">
        <v>585.29000070907</v>
      </c>
      <c r="BG65" s="69">
        <v>172.059406770621</v>
      </c>
      <c r="BH65" s="69">
        <v>1030.28419710002</v>
      </c>
      <c r="BI65" s="69">
        <v>88.698180674774207</v>
      </c>
      <c r="BJ65" s="69">
        <v>1987.8216204704399</v>
      </c>
      <c r="BK65" s="69">
        <v>446.06609756716102</v>
      </c>
      <c r="BL65" s="69">
        <v>521.661499311395</v>
      </c>
      <c r="BM65" s="69">
        <v>589.99508778006896</v>
      </c>
      <c r="BN65" s="69">
        <v>536.98525481704098</v>
      </c>
      <c r="BO65" s="69">
        <v>234.92122577717601</v>
      </c>
      <c r="BP65" s="69">
        <v>886.61961959528105</v>
      </c>
      <c r="BQ65" s="70">
        <v>0</v>
      </c>
      <c r="BR65" s="71">
        <v>30788.7798756226</v>
      </c>
      <c r="BS65" s="72">
        <v>2889.9257723432502</v>
      </c>
      <c r="BT65" s="73">
        <v>933326.60662691202</v>
      </c>
      <c r="BU65" s="73">
        <v>382.72171552422202</v>
      </c>
      <c r="BV65" s="73">
        <v>15646.994003309501</v>
      </c>
      <c r="BW65" s="73">
        <v>10115.627826978</v>
      </c>
      <c r="BX65" s="74">
        <v>65.344179310894702</v>
      </c>
      <c r="BY65" s="71">
        <v>962427.22012437705</v>
      </c>
      <c r="BZ65" s="75">
        <v>993216</v>
      </c>
    </row>
    <row r="66" spans="1:80" ht="15" customHeight="1" x14ac:dyDescent="0.3">
      <c r="A66" s="33" t="s">
        <v>84</v>
      </c>
      <c r="B66" s="11" t="s">
        <v>152</v>
      </c>
      <c r="C66" s="68">
        <v>1.24464812700008</v>
      </c>
      <c r="D66" s="69">
        <v>0.18253203009702201</v>
      </c>
      <c r="E66" s="69">
        <v>5.5852901102062702E-2</v>
      </c>
      <c r="F66" s="69">
        <v>1.80919083475878</v>
      </c>
      <c r="G66" s="69">
        <v>5.2660602774532004</v>
      </c>
      <c r="H66" s="69">
        <v>88.546797570572707</v>
      </c>
      <c r="I66" s="69">
        <v>0.84225042970632302</v>
      </c>
      <c r="J66" s="69">
        <v>35.198183897678398</v>
      </c>
      <c r="K66" s="69">
        <v>6.3628749027318303</v>
      </c>
      <c r="L66" s="69">
        <v>18.244196405318402</v>
      </c>
      <c r="M66" s="69">
        <v>27.304243096594501</v>
      </c>
      <c r="N66" s="69">
        <v>7.3258760000775496</v>
      </c>
      <c r="O66" s="69">
        <v>0.60038728342272196</v>
      </c>
      <c r="P66" s="69">
        <v>5.3582637814528304</v>
      </c>
      <c r="Q66" s="69">
        <v>6.7253106754924703</v>
      </c>
      <c r="R66" s="69">
        <v>5.6480268799913702</v>
      </c>
      <c r="S66" s="69">
        <v>14.039842405117</v>
      </c>
      <c r="T66" s="69">
        <v>0.40552809392398298</v>
      </c>
      <c r="U66" s="69">
        <v>2.2322513948589102</v>
      </c>
      <c r="V66" s="69">
        <v>1.14657683899937</v>
      </c>
      <c r="W66" s="69">
        <v>35.004508423799301</v>
      </c>
      <c r="X66" s="69">
        <v>10.792304549353499</v>
      </c>
      <c r="Y66" s="69">
        <v>18.557817703267698</v>
      </c>
      <c r="Z66" s="69">
        <v>67.034381989062098</v>
      </c>
      <c r="AA66" s="69">
        <v>12.5458260924008</v>
      </c>
      <c r="AB66" s="69">
        <v>13.4188870844731</v>
      </c>
      <c r="AC66" s="69">
        <v>13.0829544639486</v>
      </c>
      <c r="AD66" s="69">
        <v>38.1272894287385</v>
      </c>
      <c r="AE66" s="69">
        <v>5.9307141220005501</v>
      </c>
      <c r="AF66" s="69">
        <v>13.592746509042099</v>
      </c>
      <c r="AG66" s="69">
        <v>41.970684861624697</v>
      </c>
      <c r="AH66" s="69">
        <v>50.984957953586601</v>
      </c>
      <c r="AI66" s="69">
        <v>64.669354199673094</v>
      </c>
      <c r="AJ66" s="69">
        <v>38.116440338169902</v>
      </c>
      <c r="AK66" s="69">
        <v>7.54387358512622</v>
      </c>
      <c r="AL66" s="69">
        <v>7.5897293070963903</v>
      </c>
      <c r="AM66" s="69">
        <v>1.2957547133171701</v>
      </c>
      <c r="AN66" s="69">
        <v>21.408587405043502</v>
      </c>
      <c r="AO66" s="69">
        <v>4.1255354320902304</v>
      </c>
      <c r="AP66" s="69">
        <v>11.7669045619184</v>
      </c>
      <c r="AQ66" s="69">
        <v>151.11716121999601</v>
      </c>
      <c r="AR66" s="69">
        <v>15.1210373379022</v>
      </c>
      <c r="AS66" s="69">
        <v>1.3581309562253401</v>
      </c>
      <c r="AT66" s="69">
        <v>1.0214364117503001</v>
      </c>
      <c r="AU66" s="69">
        <v>12.755182132600901</v>
      </c>
      <c r="AV66" s="69">
        <v>1.61532755995488</v>
      </c>
      <c r="AW66" s="69">
        <v>4.20658164908484</v>
      </c>
      <c r="AX66" s="69">
        <v>1.01057837688793</v>
      </c>
      <c r="AY66" s="69">
        <v>1.6136613293591</v>
      </c>
      <c r="AZ66" s="69">
        <v>41.393966465225198</v>
      </c>
      <c r="BA66" s="69">
        <v>58.935766363384502</v>
      </c>
      <c r="BB66" s="69">
        <v>48.771751095872503</v>
      </c>
      <c r="BC66" s="69">
        <v>2.5494477068664598</v>
      </c>
      <c r="BD66" s="69">
        <v>34.227018419051298</v>
      </c>
      <c r="BE66" s="69">
        <v>234.891428710425</v>
      </c>
      <c r="BF66" s="69">
        <v>10.4997245613765</v>
      </c>
      <c r="BG66" s="69">
        <v>12.41528173194</v>
      </c>
      <c r="BH66" s="69">
        <v>29.796505992847301</v>
      </c>
      <c r="BI66" s="69">
        <v>2.7251426896731101</v>
      </c>
      <c r="BJ66" s="69">
        <v>31.572137570207001</v>
      </c>
      <c r="BK66" s="69">
        <v>13.100959921175299</v>
      </c>
      <c r="BL66" s="69">
        <v>8.50469364711482</v>
      </c>
      <c r="BM66" s="69">
        <v>19.019400045921099</v>
      </c>
      <c r="BN66" s="69">
        <v>33.091146920321499</v>
      </c>
      <c r="BO66" s="69">
        <v>3.5736045746510001</v>
      </c>
      <c r="BP66" s="69">
        <v>15.596390750783399</v>
      </c>
      <c r="BQ66" s="70">
        <v>0</v>
      </c>
      <c r="BR66" s="71">
        <v>1496.58161069068</v>
      </c>
      <c r="BS66" s="72">
        <v>42.134128327069803</v>
      </c>
      <c r="BT66" s="73">
        <v>388908.99881729798</v>
      </c>
      <c r="BU66" s="73">
        <v>6.0139602879536502</v>
      </c>
      <c r="BV66" s="73">
        <v>970.29979463485404</v>
      </c>
      <c r="BW66" s="73">
        <v>12918.970770505701</v>
      </c>
      <c r="BX66" s="74">
        <v>9.1825599033022796E-4</v>
      </c>
      <c r="BY66" s="71">
        <v>402846.41838930902</v>
      </c>
      <c r="BZ66" s="75">
        <v>404343</v>
      </c>
    </row>
    <row r="67" spans="1:80" ht="15" customHeight="1" x14ac:dyDescent="0.3">
      <c r="A67" s="33" t="s">
        <v>85</v>
      </c>
      <c r="B67" s="11" t="s">
        <v>153</v>
      </c>
      <c r="C67" s="68">
        <v>9.0457727943134092</v>
      </c>
      <c r="D67" s="69">
        <v>3.2514404742753702</v>
      </c>
      <c r="E67" s="69">
        <v>0.19046143799432899</v>
      </c>
      <c r="F67" s="69">
        <v>1.1967536296259</v>
      </c>
      <c r="G67" s="69">
        <v>78.142125620832601</v>
      </c>
      <c r="H67" s="69">
        <v>553.879852150739</v>
      </c>
      <c r="I67" s="69">
        <v>48.338400657877798</v>
      </c>
      <c r="J67" s="69">
        <v>11.6229574902145</v>
      </c>
      <c r="K67" s="69">
        <v>1.0554912266971399</v>
      </c>
      <c r="L67" s="69">
        <v>43.720323296383803</v>
      </c>
      <c r="M67" s="69">
        <v>2.3995907449063298</v>
      </c>
      <c r="N67" s="69">
        <v>0.62877648909860595</v>
      </c>
      <c r="O67" s="69">
        <v>2.5548138405304299</v>
      </c>
      <c r="P67" s="69">
        <v>2.09301090949588</v>
      </c>
      <c r="Q67" s="69">
        <v>1.14708577298879</v>
      </c>
      <c r="R67" s="69">
        <v>1.05928856727706</v>
      </c>
      <c r="S67" s="69">
        <v>88.730316785594297</v>
      </c>
      <c r="T67" s="69">
        <v>0.36986045002678902</v>
      </c>
      <c r="U67" s="69">
        <v>20.381538458164101</v>
      </c>
      <c r="V67" s="69">
        <v>1.1480954798059799</v>
      </c>
      <c r="W67" s="69">
        <v>31.789836616420001</v>
      </c>
      <c r="X67" s="69">
        <v>56.928339250785903</v>
      </c>
      <c r="Y67" s="69">
        <v>2.08579389572966</v>
      </c>
      <c r="Z67" s="69">
        <v>5.1510547555223098</v>
      </c>
      <c r="AA67" s="69">
        <v>5.6977373390858999</v>
      </c>
      <c r="AB67" s="69">
        <v>2.4853878624807901</v>
      </c>
      <c r="AC67" s="69">
        <v>361.66445750046699</v>
      </c>
      <c r="AD67" s="69">
        <v>139.92552598309001</v>
      </c>
      <c r="AE67" s="69">
        <v>113.36628986141901</v>
      </c>
      <c r="AF67" s="69">
        <v>3.4482501769358702</v>
      </c>
      <c r="AG67" s="69">
        <v>4.7031133937490601</v>
      </c>
      <c r="AH67" s="69">
        <v>47.314932742950198</v>
      </c>
      <c r="AI67" s="69">
        <v>172.839477067562</v>
      </c>
      <c r="AJ67" s="69">
        <v>6.1763096933429997</v>
      </c>
      <c r="AK67" s="69">
        <v>0.90925055900349405</v>
      </c>
      <c r="AL67" s="69">
        <v>2.2593522416204501</v>
      </c>
      <c r="AM67" s="69">
        <v>12.8672583686016</v>
      </c>
      <c r="AN67" s="69">
        <v>122.811011587998</v>
      </c>
      <c r="AO67" s="69">
        <v>2.2370724313411801</v>
      </c>
      <c r="AP67" s="69">
        <v>9.0844563034681993</v>
      </c>
      <c r="AQ67" s="69">
        <v>1604.3951952334701</v>
      </c>
      <c r="AR67" s="69">
        <v>1922.78493776298</v>
      </c>
      <c r="AS67" s="69">
        <v>173.99138005839799</v>
      </c>
      <c r="AT67" s="69">
        <v>10.8163528667113</v>
      </c>
      <c r="AU67" s="69">
        <v>499.36711718485299</v>
      </c>
      <c r="AV67" s="69">
        <v>3.19609276119182</v>
      </c>
      <c r="AW67" s="69">
        <v>11.1232672724789</v>
      </c>
      <c r="AX67" s="69">
        <v>0.53638092371943902</v>
      </c>
      <c r="AY67" s="69">
        <v>1.03702833170215</v>
      </c>
      <c r="AZ67" s="69">
        <v>67.545219045966505</v>
      </c>
      <c r="BA67" s="69">
        <v>8.3312881581514802</v>
      </c>
      <c r="BB67" s="69">
        <v>2940.6043456512298</v>
      </c>
      <c r="BC67" s="69">
        <v>3.5513243324762902</v>
      </c>
      <c r="BD67" s="69">
        <v>3828.5496900391099</v>
      </c>
      <c r="BE67" s="69">
        <v>292.359720358186</v>
      </c>
      <c r="BF67" s="69">
        <v>1375.62824746311</v>
      </c>
      <c r="BG67" s="69">
        <v>108.544671265849</v>
      </c>
      <c r="BH67" s="69">
        <v>3428.3470531327298</v>
      </c>
      <c r="BI67" s="69">
        <v>243.511281425389</v>
      </c>
      <c r="BJ67" s="69">
        <v>385.75210167438399</v>
      </c>
      <c r="BK67" s="69">
        <v>527.54702797249195</v>
      </c>
      <c r="BL67" s="69">
        <v>10.7757475366462</v>
      </c>
      <c r="BM67" s="69">
        <v>794.04625091437401</v>
      </c>
      <c r="BN67" s="69">
        <v>7.7409336810489</v>
      </c>
      <c r="BO67" s="69">
        <v>7.6703473922963203</v>
      </c>
      <c r="BP67" s="69">
        <v>684.665883737993</v>
      </c>
      <c r="BQ67" s="70">
        <v>0</v>
      </c>
      <c r="BR67" s="71">
        <v>20917.1197500854</v>
      </c>
      <c r="BS67" s="72">
        <v>46.580114916686703</v>
      </c>
      <c r="BT67" s="73">
        <v>0.41168042349300799</v>
      </c>
      <c r="BU67" s="73">
        <v>0</v>
      </c>
      <c r="BV67" s="73">
        <v>128699.39340178399</v>
      </c>
      <c r="BW67" s="73">
        <v>782.49505279070797</v>
      </c>
      <c r="BX67" s="74">
        <v>0</v>
      </c>
      <c r="BY67" s="71">
        <v>129528.880249915</v>
      </c>
      <c r="BZ67" s="75">
        <v>150446</v>
      </c>
    </row>
    <row r="68" spans="1:80" ht="15" customHeight="1" x14ac:dyDescent="0.3">
      <c r="A68" s="33" t="s">
        <v>86</v>
      </c>
      <c r="B68" s="11" t="s">
        <v>154</v>
      </c>
      <c r="C68" s="68">
        <v>1.22676047069868E-2</v>
      </c>
      <c r="D68" s="69">
        <v>4.3472535010420697E-4</v>
      </c>
      <c r="E68" s="69">
        <v>3.4530983030453198E-5</v>
      </c>
      <c r="F68" s="69">
        <v>7.4233431264738706E-2</v>
      </c>
      <c r="G68" s="69">
        <v>2.6264014338470702E-2</v>
      </c>
      <c r="H68" s="69">
        <v>11.2652543850231</v>
      </c>
      <c r="I68" s="69">
        <v>2.2535410839901698E-3</v>
      </c>
      <c r="J68" s="69">
        <v>4.19908414419469</v>
      </c>
      <c r="K68" s="69">
        <v>0.66917988343253898</v>
      </c>
      <c r="L68" s="69">
        <v>1.66845991871329</v>
      </c>
      <c r="M68" s="69">
        <v>3.32726448183513</v>
      </c>
      <c r="N68" s="69">
        <v>0.91863694793994499</v>
      </c>
      <c r="O68" s="69">
        <v>2.45502081576615E-3</v>
      </c>
      <c r="P68" s="69">
        <v>0.62723699867353899</v>
      </c>
      <c r="Q68" s="69">
        <v>0.84491448826144999</v>
      </c>
      <c r="R68" s="69">
        <v>0.73497531455135301</v>
      </c>
      <c r="S68" s="69">
        <v>1.5870322254064599</v>
      </c>
      <c r="T68" s="69">
        <v>3.7405177791380501E-2</v>
      </c>
      <c r="U68" s="69">
        <v>4.2327504010399603E-3</v>
      </c>
      <c r="V68" s="69">
        <v>8.4046649758556108E-3</v>
      </c>
      <c r="W68" s="69">
        <v>4.1414337825159997</v>
      </c>
      <c r="X68" s="69">
        <v>1.1097152500165799</v>
      </c>
      <c r="Y68" s="69">
        <v>2.3550443245587398</v>
      </c>
      <c r="Z68" s="69">
        <v>8.7857344951827194</v>
      </c>
      <c r="AA68" s="69">
        <v>1.44530769994542</v>
      </c>
      <c r="AB68" s="69">
        <v>1.43952883000076</v>
      </c>
      <c r="AC68" s="69">
        <v>1.25453229126876</v>
      </c>
      <c r="AD68" s="69">
        <v>4.9195359919307098</v>
      </c>
      <c r="AE68" s="69">
        <v>0.44792516508375102</v>
      </c>
      <c r="AF68" s="69">
        <v>1.5112434471788101</v>
      </c>
      <c r="AG68" s="69">
        <v>5.5276123972976698</v>
      </c>
      <c r="AH68" s="69">
        <v>6.1901217848479702</v>
      </c>
      <c r="AI68" s="69">
        <v>8.3573856115643608</v>
      </c>
      <c r="AJ68" s="69">
        <v>5.0454896859751397</v>
      </c>
      <c r="AK68" s="69">
        <v>0.99162008457853601</v>
      </c>
      <c r="AL68" s="69">
        <v>0.92148153064523697</v>
      </c>
      <c r="AM68" s="69">
        <v>3.9572790195235998E-2</v>
      </c>
      <c r="AN68" s="69">
        <v>2.22097469334151</v>
      </c>
      <c r="AO68" s="69">
        <v>0.37554821356225399</v>
      </c>
      <c r="AP68" s="69">
        <v>0.80887988256257004</v>
      </c>
      <c r="AQ68" s="69">
        <v>7.8391670096997803</v>
      </c>
      <c r="AR68" s="69">
        <v>1.14238870270243E-2</v>
      </c>
      <c r="AS68" s="69">
        <v>8.8596255775406398E-4</v>
      </c>
      <c r="AT68" s="69">
        <v>4.2930700117338E-4</v>
      </c>
      <c r="AU68" s="69">
        <v>8.3341345419191901E-2</v>
      </c>
      <c r="AV68" s="69">
        <v>5.1725938044539501E-3</v>
      </c>
      <c r="AW68" s="69">
        <v>2.05922681297066E-2</v>
      </c>
      <c r="AX68" s="69">
        <v>7.41345672526421E-2</v>
      </c>
      <c r="AY68" s="69">
        <v>2.1579946147912E-3</v>
      </c>
      <c r="AZ68" s="69">
        <v>2.0807653229479102</v>
      </c>
      <c r="BA68" s="69">
        <v>5.9958932006700802</v>
      </c>
      <c r="BB68" s="69">
        <v>0.24865085389536401</v>
      </c>
      <c r="BC68" s="69">
        <v>8.1776422387769502E-3</v>
      </c>
      <c r="BD68" s="69">
        <v>2.45311948522281E-2</v>
      </c>
      <c r="BE68" s="69">
        <v>31.323619637821199</v>
      </c>
      <c r="BF68" s="69">
        <v>7.2839437243580902E-3</v>
      </c>
      <c r="BG68" s="69">
        <v>1.3618426501121901</v>
      </c>
      <c r="BH68" s="69">
        <v>0.27255064334502399</v>
      </c>
      <c r="BI68" s="69">
        <v>1.4374978692453899E-3</v>
      </c>
      <c r="BJ68" s="69">
        <v>0.523729935140959</v>
      </c>
      <c r="BK68" s="69">
        <v>7.0738506577528004E-2</v>
      </c>
      <c r="BL68" s="69">
        <v>6.3382195804022504E-2</v>
      </c>
      <c r="BM68" s="69">
        <v>0.257537070124573</v>
      </c>
      <c r="BN68" s="69">
        <v>404.04108973405698</v>
      </c>
      <c r="BO68" s="69">
        <v>1.8215897604459401E-2</v>
      </c>
      <c r="BP68" s="69">
        <v>1.674552178222E-2</v>
      </c>
      <c r="BQ68" s="70">
        <v>0</v>
      </c>
      <c r="BR68" s="71">
        <v>538.25220858606895</v>
      </c>
      <c r="BS68" s="72">
        <v>5.2039818933270601</v>
      </c>
      <c r="BT68" s="73">
        <v>274495.28905884898</v>
      </c>
      <c r="BU68" s="73">
        <v>85.124706467649105</v>
      </c>
      <c r="BV68" s="73">
        <v>2269.79269977893</v>
      </c>
      <c r="BW68" s="73">
        <v>1772.3373444251299</v>
      </c>
      <c r="BX68" s="74">
        <v>0</v>
      </c>
      <c r="BY68" s="71">
        <v>278627.74779141397</v>
      </c>
      <c r="BZ68" s="75">
        <v>279166</v>
      </c>
    </row>
    <row r="69" spans="1:80" ht="15" customHeight="1" x14ac:dyDescent="0.3">
      <c r="A69" s="33" t="s">
        <v>87</v>
      </c>
      <c r="B69" s="11" t="s">
        <v>155</v>
      </c>
      <c r="C69" s="68">
        <v>1.6864932112073301E-2</v>
      </c>
      <c r="D69" s="69">
        <v>1.37985808189691E-2</v>
      </c>
      <c r="E69" s="69">
        <v>1.53317564655212E-2</v>
      </c>
      <c r="F69" s="69">
        <v>5.8229632298204499E-2</v>
      </c>
      <c r="G69" s="69">
        <v>0.93573064410667794</v>
      </c>
      <c r="H69" s="69">
        <v>0.33571303867911001</v>
      </c>
      <c r="I69" s="69">
        <v>5.8696111147163402E-2</v>
      </c>
      <c r="J69" s="69">
        <v>1.98850217191307</v>
      </c>
      <c r="K69" s="69">
        <v>0.55707683507954098</v>
      </c>
      <c r="L69" s="69">
        <v>1.1732435918253199</v>
      </c>
      <c r="M69" s="69">
        <v>0.20456061496845401</v>
      </c>
      <c r="N69" s="69">
        <v>7.1327812821989606E-2</v>
      </c>
      <c r="O69" s="69">
        <v>0.69108587056118498</v>
      </c>
      <c r="P69" s="69">
        <v>0.82871179898914904</v>
      </c>
      <c r="Q69" s="69">
        <v>0.17922328216180899</v>
      </c>
      <c r="R69" s="69">
        <v>0.13399380864639299</v>
      </c>
      <c r="S69" s="69">
        <v>0.50255068276485104</v>
      </c>
      <c r="T69" s="69">
        <v>0.11030958220296599</v>
      </c>
      <c r="U69" s="69">
        <v>0.51069662551596795</v>
      </c>
      <c r="V69" s="69">
        <v>0.77981982485227797</v>
      </c>
      <c r="W69" s="69">
        <v>0.65083340835400105</v>
      </c>
      <c r="X69" s="69">
        <v>0.26537444939774202</v>
      </c>
      <c r="Y69" s="69">
        <v>0.40614029986460298</v>
      </c>
      <c r="Z69" s="69">
        <v>0.731977565617695</v>
      </c>
      <c r="AA69" s="69">
        <v>1.07175988702775</v>
      </c>
      <c r="AB69" s="69">
        <v>0.53460508194655598</v>
      </c>
      <c r="AC69" s="69">
        <v>0.77382678720216003</v>
      </c>
      <c r="AD69" s="69">
        <v>9.7748682191006006E-2</v>
      </c>
      <c r="AE69" s="69">
        <v>0.62998459425888897</v>
      </c>
      <c r="AF69" s="69">
        <v>0.402842242823716</v>
      </c>
      <c r="AG69" s="69">
        <v>0.35288389422715</v>
      </c>
      <c r="AH69" s="69">
        <v>0.71736309627832595</v>
      </c>
      <c r="AI69" s="69">
        <v>0.33356221360099703</v>
      </c>
      <c r="AJ69" s="69">
        <v>0.53471725884138599</v>
      </c>
      <c r="AK69" s="69">
        <v>0.101870270963188</v>
      </c>
      <c r="AL69" s="69">
        <v>0.56502057942552397</v>
      </c>
      <c r="AM69" s="69">
        <v>0.11792772400474</v>
      </c>
      <c r="AN69" s="69">
        <v>1.4743116556776801</v>
      </c>
      <c r="AO69" s="69">
        <v>0.79130660129575403</v>
      </c>
      <c r="AP69" s="69">
        <v>1.88634722008251</v>
      </c>
      <c r="AQ69" s="69">
        <v>100.53218257242401</v>
      </c>
      <c r="AR69" s="69">
        <v>2.6806506960849501</v>
      </c>
      <c r="AS69" s="69">
        <v>0.23904337738648901</v>
      </c>
      <c r="AT69" s="69">
        <v>0.19061230852098099</v>
      </c>
      <c r="AU69" s="69">
        <v>7.9922277024868098</v>
      </c>
      <c r="AV69" s="69">
        <v>2.2730582544206501</v>
      </c>
      <c r="AW69" s="69">
        <v>9.1429670495897408</v>
      </c>
      <c r="AX69" s="69">
        <v>0.35515346733494702</v>
      </c>
      <c r="AY69" s="69">
        <v>0.95814960896729495</v>
      </c>
      <c r="AZ69" s="69">
        <v>4.2280529814753498</v>
      </c>
      <c r="BA69" s="69">
        <v>5.7190927726140304</v>
      </c>
      <c r="BB69" s="69">
        <v>10.1454064847337</v>
      </c>
      <c r="BC69" s="69">
        <v>3.5497762450595798</v>
      </c>
      <c r="BD69" s="69">
        <v>10.891850514389301</v>
      </c>
      <c r="BE69" s="69">
        <v>2.1464537427728501</v>
      </c>
      <c r="BF69" s="69">
        <v>3.2340710136149902</v>
      </c>
      <c r="BG69" s="69">
        <v>1.8406253591489601</v>
      </c>
      <c r="BH69" s="69">
        <v>6.92320997560482</v>
      </c>
      <c r="BI69" s="69">
        <v>0.63824905394495401</v>
      </c>
      <c r="BJ69" s="69">
        <v>56.844795651060799</v>
      </c>
      <c r="BK69" s="69">
        <v>7.1281312044732603</v>
      </c>
      <c r="BL69" s="69">
        <v>11.229313410314401</v>
      </c>
      <c r="BM69" s="69">
        <v>27.715898049388102</v>
      </c>
      <c r="BN69" s="69">
        <v>47210.814794694001</v>
      </c>
      <c r="BO69" s="69">
        <v>8.0878585363799598</v>
      </c>
      <c r="BP69" s="69">
        <v>7.4350116713056602</v>
      </c>
      <c r="BQ69" s="70">
        <v>0</v>
      </c>
      <c r="BR69" s="71">
        <v>47524.542507108497</v>
      </c>
      <c r="BS69" s="72">
        <v>573.66506086932895</v>
      </c>
      <c r="BT69" s="73">
        <v>58733.523969790302</v>
      </c>
      <c r="BU69" s="73">
        <v>9953.7784063958206</v>
      </c>
      <c r="BV69" s="73">
        <v>265559.30122768902</v>
      </c>
      <c r="BW69" s="73">
        <v>24.188828147584001</v>
      </c>
      <c r="BX69" s="74">
        <v>0</v>
      </c>
      <c r="BY69" s="71">
        <v>334844.45749289199</v>
      </c>
      <c r="BZ69" s="75">
        <v>382369</v>
      </c>
    </row>
    <row r="70" spans="1:80" ht="15" customHeight="1" x14ac:dyDescent="0.3">
      <c r="A70" s="33" t="s">
        <v>88</v>
      </c>
      <c r="B70" s="11" t="s">
        <v>156</v>
      </c>
      <c r="C70" s="68">
        <v>1.7527388192811499</v>
      </c>
      <c r="D70" s="69">
        <v>7.3162871940269598</v>
      </c>
      <c r="E70" s="69">
        <v>1.5857809638003499</v>
      </c>
      <c r="F70" s="69">
        <v>0.81279520822413498</v>
      </c>
      <c r="G70" s="69">
        <v>12.328927293735401</v>
      </c>
      <c r="H70" s="69">
        <v>1.0960375920743599</v>
      </c>
      <c r="I70" s="69">
        <v>0.104448553523199</v>
      </c>
      <c r="J70" s="69">
        <v>50.601700016357903</v>
      </c>
      <c r="K70" s="69">
        <v>6.6727711311272104</v>
      </c>
      <c r="L70" s="69">
        <v>66.938687318298705</v>
      </c>
      <c r="M70" s="69">
        <v>88.974559781746905</v>
      </c>
      <c r="N70" s="69">
        <v>5.1107519174457403</v>
      </c>
      <c r="O70" s="69">
        <v>2.2418102046514301</v>
      </c>
      <c r="P70" s="69">
        <v>7.2001017861304204</v>
      </c>
      <c r="Q70" s="69">
        <v>11.3559709759228</v>
      </c>
      <c r="R70" s="69">
        <v>1.35431625720447</v>
      </c>
      <c r="S70" s="69">
        <v>12.6702480128048</v>
      </c>
      <c r="T70" s="69">
        <v>1.0634694762902099</v>
      </c>
      <c r="U70" s="69">
        <v>5.1004833131334397</v>
      </c>
      <c r="V70" s="69">
        <v>4.4674576099614596</v>
      </c>
      <c r="W70" s="69">
        <v>4.0578586514211903</v>
      </c>
      <c r="X70" s="69">
        <v>10.521528571407099</v>
      </c>
      <c r="Y70" s="69">
        <v>21.666571229640098</v>
      </c>
      <c r="Z70" s="69">
        <v>35.751584043923202</v>
      </c>
      <c r="AA70" s="69">
        <v>12.0122063897764</v>
      </c>
      <c r="AB70" s="69">
        <v>6.6056475073235799</v>
      </c>
      <c r="AC70" s="69">
        <v>6.0634119704880298</v>
      </c>
      <c r="AD70" s="69">
        <v>0.94130760060819196</v>
      </c>
      <c r="AE70" s="69">
        <v>10.731254678715599</v>
      </c>
      <c r="AF70" s="69">
        <v>22.3820653849174</v>
      </c>
      <c r="AG70" s="69">
        <v>11.752440644342199</v>
      </c>
      <c r="AH70" s="69">
        <v>11.767448521737901</v>
      </c>
      <c r="AI70" s="69">
        <v>55.2432293851274</v>
      </c>
      <c r="AJ70" s="69">
        <v>3.4482503588523099</v>
      </c>
      <c r="AK70" s="69">
        <v>3.9016093895311199</v>
      </c>
      <c r="AL70" s="69">
        <v>8.66887083593158</v>
      </c>
      <c r="AM70" s="69">
        <v>2.9719042762667498</v>
      </c>
      <c r="AN70" s="69">
        <v>37.255180153533303</v>
      </c>
      <c r="AO70" s="69">
        <v>4.5007986525441099</v>
      </c>
      <c r="AP70" s="69">
        <v>27.636747201195099</v>
      </c>
      <c r="AQ70" s="69">
        <v>451.776949322267</v>
      </c>
      <c r="AR70" s="69">
        <v>17.198561039280801</v>
      </c>
      <c r="AS70" s="69">
        <v>1.30387819837509</v>
      </c>
      <c r="AT70" s="69">
        <v>2.5343948182334199</v>
      </c>
      <c r="AU70" s="69">
        <v>33.125746682485001</v>
      </c>
      <c r="AV70" s="69">
        <v>19.996812170928099</v>
      </c>
      <c r="AW70" s="69">
        <v>17.4617427668719</v>
      </c>
      <c r="AX70" s="69">
        <v>10.412765357094299</v>
      </c>
      <c r="AY70" s="69">
        <v>1855.94509421002</v>
      </c>
      <c r="AZ70" s="69">
        <v>302.426545457055</v>
      </c>
      <c r="BA70" s="69">
        <v>56.8802843680308</v>
      </c>
      <c r="BB70" s="69">
        <v>156.231484175058</v>
      </c>
      <c r="BC70" s="69">
        <v>15.788752918977099</v>
      </c>
      <c r="BD70" s="69">
        <v>80.800306720530003</v>
      </c>
      <c r="BE70" s="69">
        <v>9.9894534982259007</v>
      </c>
      <c r="BF70" s="69">
        <v>160.365645826145</v>
      </c>
      <c r="BG70" s="69">
        <v>21.704519812929199</v>
      </c>
      <c r="BH70" s="69">
        <v>48.627565261735299</v>
      </c>
      <c r="BI70" s="69">
        <v>4.1079059233085999</v>
      </c>
      <c r="BJ70" s="69">
        <v>872.28339959420896</v>
      </c>
      <c r="BK70" s="69">
        <v>110.27669733456401</v>
      </c>
      <c r="BL70" s="69">
        <v>52.740339445072401</v>
      </c>
      <c r="BM70" s="69">
        <v>107.69723980721299</v>
      </c>
      <c r="BN70" s="69">
        <v>3.94026018789567</v>
      </c>
      <c r="BO70" s="69">
        <v>721.89622591946204</v>
      </c>
      <c r="BP70" s="69">
        <v>1417.87246528116</v>
      </c>
      <c r="BQ70" s="70">
        <v>0</v>
      </c>
      <c r="BR70" s="71">
        <v>7140.0142949701503</v>
      </c>
      <c r="BS70" s="72">
        <v>2610.3633549710298</v>
      </c>
      <c r="BT70" s="73">
        <v>0.141147573769031</v>
      </c>
      <c r="BU70" s="73">
        <v>12067.9162101314</v>
      </c>
      <c r="BV70" s="73">
        <v>20983.072106711701</v>
      </c>
      <c r="BW70" s="73">
        <v>4.4928856418435803</v>
      </c>
      <c r="BX70" s="74">
        <v>0</v>
      </c>
      <c r="BY70" s="71">
        <v>35665.985705029801</v>
      </c>
      <c r="BZ70" s="75">
        <v>42806</v>
      </c>
    </row>
    <row r="71" spans="1:80" ht="15" customHeight="1" x14ac:dyDescent="0.3">
      <c r="A71" s="33" t="s">
        <v>89</v>
      </c>
      <c r="B71" s="11" t="s">
        <v>157</v>
      </c>
      <c r="C71" s="68">
        <v>188.03815003484701</v>
      </c>
      <c r="D71" s="69">
        <v>50.571725992370503</v>
      </c>
      <c r="E71" s="69">
        <v>29.5698282813944</v>
      </c>
      <c r="F71" s="69">
        <v>56.5275283021967</v>
      </c>
      <c r="G71" s="69">
        <v>886.37554244811304</v>
      </c>
      <c r="H71" s="69">
        <v>801.64250604100698</v>
      </c>
      <c r="I71" s="69">
        <v>77.951510628817303</v>
      </c>
      <c r="J71" s="69">
        <v>391.46318347770898</v>
      </c>
      <c r="K71" s="69">
        <v>195.17149904151</v>
      </c>
      <c r="L71" s="69">
        <v>337.82552853664799</v>
      </c>
      <c r="M71" s="69">
        <v>195.828368869613</v>
      </c>
      <c r="N71" s="69">
        <v>28.6548714869711</v>
      </c>
      <c r="O71" s="69">
        <v>82.990291685065202</v>
      </c>
      <c r="P71" s="69">
        <v>136.97297488998399</v>
      </c>
      <c r="Q71" s="69">
        <v>59.169202571977102</v>
      </c>
      <c r="R71" s="69">
        <v>162.16012054188499</v>
      </c>
      <c r="S71" s="69">
        <v>269.13374342420002</v>
      </c>
      <c r="T71" s="69">
        <v>55.846351349731599</v>
      </c>
      <c r="U71" s="69">
        <v>243.53314467183799</v>
      </c>
      <c r="V71" s="69">
        <v>157.805371819085</v>
      </c>
      <c r="W71" s="69">
        <v>234.131889452314</v>
      </c>
      <c r="X71" s="69">
        <v>85.005738595126104</v>
      </c>
      <c r="Y71" s="69">
        <v>67.594831907397094</v>
      </c>
      <c r="Z71" s="69">
        <v>161.261608117702</v>
      </c>
      <c r="AA71" s="69">
        <v>269.90565522092197</v>
      </c>
      <c r="AB71" s="69">
        <v>260.44730050052499</v>
      </c>
      <c r="AC71" s="69">
        <v>210.676549370776</v>
      </c>
      <c r="AD71" s="69">
        <v>95.781918440952396</v>
      </c>
      <c r="AE71" s="69">
        <v>376.67523005368201</v>
      </c>
      <c r="AF71" s="69">
        <v>295.32498509265201</v>
      </c>
      <c r="AG71" s="69">
        <v>186.95519627044899</v>
      </c>
      <c r="AH71" s="69">
        <v>365.28048528006599</v>
      </c>
      <c r="AI71" s="69">
        <v>291.16436482444402</v>
      </c>
      <c r="AJ71" s="69">
        <v>216.779815187857</v>
      </c>
      <c r="AK71" s="69">
        <v>58.409892137587299</v>
      </c>
      <c r="AL71" s="69">
        <v>162.87890058826099</v>
      </c>
      <c r="AM71" s="69">
        <v>7.1301071790956101</v>
      </c>
      <c r="AN71" s="69">
        <v>440.83380968777197</v>
      </c>
      <c r="AO71" s="69">
        <v>2.02478064503851</v>
      </c>
      <c r="AP71" s="69">
        <v>151.47033314449999</v>
      </c>
      <c r="AQ71" s="69">
        <v>3884.7874645602001</v>
      </c>
      <c r="AR71" s="69">
        <v>561.52061658514697</v>
      </c>
      <c r="AS71" s="69">
        <v>6.6007902567443999</v>
      </c>
      <c r="AT71" s="69">
        <v>6.8232953308517104</v>
      </c>
      <c r="AU71" s="69">
        <v>1384.9668332844101</v>
      </c>
      <c r="AV71" s="69">
        <v>170.202090515815</v>
      </c>
      <c r="AW71" s="69">
        <v>202.59800743207501</v>
      </c>
      <c r="AX71" s="69">
        <v>33.860297729394198</v>
      </c>
      <c r="AY71" s="69">
        <v>172.597103201235</v>
      </c>
      <c r="AZ71" s="69">
        <v>2816.9249620248402</v>
      </c>
      <c r="BA71" s="69">
        <v>2183.3678151945001</v>
      </c>
      <c r="BB71" s="69">
        <v>2006.27724180717</v>
      </c>
      <c r="BC71" s="69">
        <v>123.694957603226</v>
      </c>
      <c r="BD71" s="69">
        <v>521.06383285608797</v>
      </c>
      <c r="BE71" s="69">
        <v>87.462426588127798</v>
      </c>
      <c r="BF71" s="69">
        <v>1002.71654446045</v>
      </c>
      <c r="BG71" s="69">
        <v>185.06119052339801</v>
      </c>
      <c r="BH71" s="69">
        <v>1796.2307765094999</v>
      </c>
      <c r="BI71" s="69">
        <v>50.434599249179797</v>
      </c>
      <c r="BJ71" s="69">
        <v>737.80246201286695</v>
      </c>
      <c r="BK71" s="69">
        <v>140.24208021659999</v>
      </c>
      <c r="BL71" s="69">
        <v>588.02496836917999</v>
      </c>
      <c r="BM71" s="69">
        <v>2035.1477838543101</v>
      </c>
      <c r="BN71" s="69">
        <v>2525.6989040736698</v>
      </c>
      <c r="BO71" s="69">
        <v>20.267876496146801</v>
      </c>
      <c r="BP71" s="69">
        <v>668.01313594701298</v>
      </c>
      <c r="BQ71" s="70">
        <v>0</v>
      </c>
      <c r="BR71" s="71">
        <v>32259.352892474199</v>
      </c>
      <c r="BS71" s="72">
        <v>27.726425233116</v>
      </c>
      <c r="BT71" s="73">
        <v>1.36638692940298</v>
      </c>
      <c r="BU71" s="73">
        <v>52913</v>
      </c>
      <c r="BV71" s="73">
        <v>99983.688214566806</v>
      </c>
      <c r="BW71" s="73">
        <v>116.857927156526</v>
      </c>
      <c r="BX71" s="74">
        <v>8.1536399640387194E-3</v>
      </c>
      <c r="BY71" s="71">
        <v>153042.64710752599</v>
      </c>
      <c r="BZ71" s="75">
        <v>185302</v>
      </c>
    </row>
    <row r="72" spans="1:80" ht="15" customHeight="1" x14ac:dyDescent="0.3">
      <c r="A72" s="34" t="s">
        <v>90</v>
      </c>
      <c r="B72" s="35" t="s">
        <v>158</v>
      </c>
      <c r="C72" s="76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77">
        <v>0</v>
      </c>
      <c r="AX72" s="77">
        <v>0</v>
      </c>
      <c r="AY72" s="77">
        <v>0</v>
      </c>
      <c r="AZ72" s="77">
        <v>0</v>
      </c>
      <c r="BA72" s="77">
        <v>0</v>
      </c>
      <c r="BB72" s="77">
        <v>0</v>
      </c>
      <c r="BC72" s="77">
        <v>0</v>
      </c>
      <c r="BD72" s="77">
        <v>0</v>
      </c>
      <c r="BE72" s="77">
        <v>0</v>
      </c>
      <c r="BF72" s="77">
        <v>0</v>
      </c>
      <c r="BG72" s="77">
        <v>0</v>
      </c>
      <c r="BH72" s="77">
        <v>0</v>
      </c>
      <c r="BI72" s="77">
        <v>0</v>
      </c>
      <c r="BJ72" s="77">
        <v>0</v>
      </c>
      <c r="BK72" s="77">
        <v>0</v>
      </c>
      <c r="BL72" s="77">
        <v>0</v>
      </c>
      <c r="BM72" s="77">
        <v>0</v>
      </c>
      <c r="BN72" s="77">
        <v>0</v>
      </c>
      <c r="BO72" s="77">
        <v>0</v>
      </c>
      <c r="BP72" s="77">
        <v>0</v>
      </c>
      <c r="BQ72" s="78">
        <v>0</v>
      </c>
      <c r="BR72" s="79">
        <v>0</v>
      </c>
      <c r="BS72" s="80">
        <v>0</v>
      </c>
      <c r="BT72" s="81">
        <v>0</v>
      </c>
      <c r="BU72" s="81">
        <v>0</v>
      </c>
      <c r="BV72" s="81">
        <v>61371</v>
      </c>
      <c r="BW72" s="81">
        <v>0</v>
      </c>
      <c r="BX72" s="82">
        <v>0</v>
      </c>
      <c r="BY72" s="79">
        <v>61371</v>
      </c>
      <c r="BZ72" s="83">
        <v>61371</v>
      </c>
      <c r="CA72" s="84"/>
      <c r="CB72" s="84"/>
    </row>
    <row r="73" spans="1:80" ht="15" customHeight="1" x14ac:dyDescent="0.3">
      <c r="A73" s="42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6"/>
      <c r="BS73" s="86"/>
      <c r="BT73" s="86"/>
      <c r="BU73" s="86"/>
      <c r="BV73" s="86"/>
      <c r="BW73" s="86"/>
      <c r="BX73" s="86"/>
      <c r="BY73" s="86"/>
      <c r="BZ73" s="86"/>
    </row>
    <row r="74" spans="1:80" ht="15" customHeight="1" x14ac:dyDescent="0.3">
      <c r="A74" s="94" t="s">
        <v>159</v>
      </c>
      <c r="B74" s="95"/>
      <c r="C74" s="87">
        <v>267696.184711874</v>
      </c>
      <c r="D74" s="47">
        <v>117914.00125976199</v>
      </c>
      <c r="E74" s="47">
        <v>12044.5811505823</v>
      </c>
      <c r="F74" s="47">
        <v>14919.0731310886</v>
      </c>
      <c r="G74" s="47">
        <v>125505.51021170701</v>
      </c>
      <c r="H74" s="47">
        <v>88951.955685241395</v>
      </c>
      <c r="I74" s="47">
        <v>12644.582229304</v>
      </c>
      <c r="J74" s="47">
        <v>411719.85161108902</v>
      </c>
      <c r="K74" s="47">
        <v>71068.650574079598</v>
      </c>
      <c r="L74" s="47">
        <v>385720.33009969199</v>
      </c>
      <c r="M74" s="47">
        <v>75762.0293648972</v>
      </c>
      <c r="N74" s="47">
        <v>14612.442779049799</v>
      </c>
      <c r="O74" s="47">
        <v>49543.071111491401</v>
      </c>
      <c r="P74" s="47">
        <v>40491.6058567371</v>
      </c>
      <c r="Q74" s="47">
        <v>28536.543303877399</v>
      </c>
      <c r="R74" s="47">
        <v>35523.047433144799</v>
      </c>
      <c r="S74" s="47">
        <v>102820.27972541</v>
      </c>
      <c r="T74" s="47">
        <v>11181.088691086299</v>
      </c>
      <c r="U74" s="47">
        <v>455337.28018137702</v>
      </c>
      <c r="V74" s="47">
        <v>80447.195873159406</v>
      </c>
      <c r="W74" s="47">
        <v>170302.07430352099</v>
      </c>
      <c r="X74" s="47">
        <v>75248.818628334295</v>
      </c>
      <c r="Y74" s="47">
        <v>43105.762299292503</v>
      </c>
      <c r="Z74" s="47">
        <v>36844.538796299399</v>
      </c>
      <c r="AA74" s="47">
        <v>114071.07684437399</v>
      </c>
      <c r="AB74" s="47">
        <v>84487.560872530696</v>
      </c>
      <c r="AC74" s="47">
        <v>175953.58586516799</v>
      </c>
      <c r="AD74" s="47">
        <v>66521.511600874102</v>
      </c>
      <c r="AE74" s="47">
        <v>112845.22669300799</v>
      </c>
      <c r="AF74" s="47">
        <v>50493.499804797902</v>
      </c>
      <c r="AG74" s="47">
        <v>77404.172837443795</v>
      </c>
      <c r="AH74" s="47">
        <v>129315.294871265</v>
      </c>
      <c r="AI74" s="47">
        <v>156953.28482723399</v>
      </c>
      <c r="AJ74" s="47">
        <v>85136.654129580405</v>
      </c>
      <c r="AK74" s="47">
        <v>18672.899784074001</v>
      </c>
      <c r="AL74" s="47">
        <v>53162.504190944797</v>
      </c>
      <c r="AM74" s="47">
        <v>42847.649838047997</v>
      </c>
      <c r="AN74" s="47">
        <v>240027.685319682</v>
      </c>
      <c r="AO74" s="47">
        <v>35662.778614995303</v>
      </c>
      <c r="AP74" s="47">
        <v>340516.65648967499</v>
      </c>
      <c r="AQ74" s="47">
        <v>592897.90825911297</v>
      </c>
      <c r="AR74" s="47">
        <v>278462.998509044</v>
      </c>
      <c r="AS74" s="47">
        <v>14841.5822590975</v>
      </c>
      <c r="AT74" s="47">
        <v>19741.552528207601</v>
      </c>
      <c r="AU74" s="47">
        <v>70766.946161820393</v>
      </c>
      <c r="AV74" s="47">
        <v>13227.462307453399</v>
      </c>
      <c r="AW74" s="47">
        <v>135460.58727496301</v>
      </c>
      <c r="AX74" s="47">
        <v>7465.1084965196196</v>
      </c>
      <c r="AY74" s="47">
        <v>24239.063205360701</v>
      </c>
      <c r="AZ74" s="47">
        <v>88739.856377987206</v>
      </c>
      <c r="BA74" s="47">
        <v>78891.467083312906</v>
      </c>
      <c r="BB74" s="47">
        <v>231762.30658246001</v>
      </c>
      <c r="BC74" s="47">
        <v>45383.344694524698</v>
      </c>
      <c r="BD74" s="47">
        <v>72963.425088102202</v>
      </c>
      <c r="BE74" s="47">
        <v>25675.101125629899</v>
      </c>
      <c r="BF74" s="47">
        <v>80909.809890140794</v>
      </c>
      <c r="BG74" s="47">
        <v>19275.815562571901</v>
      </c>
      <c r="BH74" s="47">
        <v>82699.151697466499</v>
      </c>
      <c r="BI74" s="47">
        <v>8388.2897363052707</v>
      </c>
      <c r="BJ74" s="47">
        <v>231281.59998242601</v>
      </c>
      <c r="BK74" s="47">
        <v>55586.978496746</v>
      </c>
      <c r="BL74" s="47">
        <v>41094.956453882703</v>
      </c>
      <c r="BM74" s="47">
        <v>93156.640414575595</v>
      </c>
      <c r="BN74" s="47">
        <v>126446.97404308101</v>
      </c>
      <c r="BO74" s="47">
        <v>17011.307722460901</v>
      </c>
      <c r="BP74" s="47">
        <v>78127.117775139399</v>
      </c>
      <c r="BQ74" s="88">
        <v>0</v>
      </c>
      <c r="BR74" s="89">
        <v>7046509.8933241796</v>
      </c>
      <c r="BS74" s="90">
        <v>1708558.5611725</v>
      </c>
      <c r="BT74" s="91">
        <v>1664998.82175046</v>
      </c>
      <c r="BU74" s="91">
        <v>115048.000546101</v>
      </c>
      <c r="BV74" s="91">
        <v>4577557.4615348699</v>
      </c>
      <c r="BW74" s="91">
        <v>1337749.2391544101</v>
      </c>
      <c r="BX74" s="92">
        <v>131451.022517481</v>
      </c>
      <c r="BY74" s="89">
        <v>9535363.1066758204</v>
      </c>
      <c r="BZ74" s="93">
        <v>16581873</v>
      </c>
    </row>
    <row r="75" spans="1:80" ht="15" customHeight="1" x14ac:dyDescent="0.3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</row>
    <row r="76" spans="1:80" ht="15" customHeight="1" x14ac:dyDescent="0.2">
      <c r="A76" s="53" t="s">
        <v>171</v>
      </c>
    </row>
    <row r="77" spans="1:80" ht="15" customHeight="1" x14ac:dyDescent="0.2"/>
  </sheetData>
  <mergeCells count="12">
    <mergeCell ref="A3:A5"/>
    <mergeCell ref="B3:B5"/>
    <mergeCell ref="BS3:BY3"/>
    <mergeCell ref="BZ3:BZ5"/>
    <mergeCell ref="BR4:BR5"/>
    <mergeCell ref="BS4:BS5"/>
    <mergeCell ref="BT4:BT5"/>
    <mergeCell ref="BU4:BU5"/>
    <mergeCell ref="BV4:BV5"/>
    <mergeCell ref="BW4:BW5"/>
    <mergeCell ref="BX4:BX5"/>
    <mergeCell ref="BY4:BY5"/>
  </mergeCells>
  <pageMargins left="0.196527777777778" right="0" top="0.196527777777778" bottom="0.196527777777778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CB77"/>
  <sheetViews>
    <sheetView showGridLines="0" zoomScale="90" zoomScaleNormal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78" width="20.7109375" customWidth="1"/>
  </cols>
  <sheetData>
    <row r="1" spans="1:78" ht="15" customHeight="1" x14ac:dyDescent="0.3">
      <c r="A1" s="12" t="s">
        <v>198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78" ht="15" customHeight="1" x14ac:dyDescent="0.3">
      <c r="A2" s="12" t="s">
        <v>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</row>
    <row r="3" spans="1:78" ht="15" customHeight="1" x14ac:dyDescent="0.2">
      <c r="A3" s="126" t="s">
        <v>189</v>
      </c>
      <c r="B3" s="126" t="s">
        <v>190</v>
      </c>
      <c r="C3" s="14" t="s">
        <v>161</v>
      </c>
      <c r="D3" s="15"/>
      <c r="E3" s="15"/>
      <c r="F3" s="15"/>
      <c r="G3" s="15"/>
      <c r="H3" s="15"/>
      <c r="I3" s="15"/>
      <c r="J3" s="15"/>
      <c r="K3" s="15"/>
      <c r="L3" s="16" t="s">
        <v>161</v>
      </c>
      <c r="M3" s="15"/>
      <c r="N3" s="15"/>
      <c r="O3" s="15"/>
      <c r="P3" s="15"/>
      <c r="Q3" s="15"/>
      <c r="R3" s="15"/>
      <c r="S3" s="15"/>
      <c r="T3" s="15"/>
      <c r="U3" s="16" t="s">
        <v>161</v>
      </c>
      <c r="V3" s="15"/>
      <c r="W3" s="15"/>
      <c r="X3" s="15"/>
      <c r="Y3" s="15"/>
      <c r="Z3" s="15"/>
      <c r="AA3" s="15"/>
      <c r="AB3" s="15"/>
      <c r="AC3" s="15"/>
      <c r="AD3" s="16" t="s">
        <v>161</v>
      </c>
      <c r="AE3" s="15"/>
      <c r="AF3" s="15"/>
      <c r="AG3" s="15"/>
      <c r="AH3" s="15"/>
      <c r="AI3" s="15"/>
      <c r="AJ3" s="15"/>
      <c r="AK3" s="15"/>
      <c r="AL3" s="15"/>
      <c r="AM3" s="16" t="s">
        <v>161</v>
      </c>
      <c r="AN3" s="15"/>
      <c r="AO3" s="15"/>
      <c r="AP3" s="15"/>
      <c r="AQ3" s="15"/>
      <c r="AR3" s="15"/>
      <c r="AS3" s="15"/>
      <c r="AT3" s="15"/>
      <c r="AU3" s="15"/>
      <c r="AV3" s="16" t="s">
        <v>161</v>
      </c>
      <c r="AW3" s="15"/>
      <c r="AX3" s="15"/>
      <c r="AY3" s="15"/>
      <c r="AZ3" s="15"/>
      <c r="BA3" s="15"/>
      <c r="BB3" s="15"/>
      <c r="BC3" s="15"/>
      <c r="BD3" s="15"/>
      <c r="BE3" s="16" t="s">
        <v>161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59" t="s">
        <v>161</v>
      </c>
      <c r="BS3" s="127" t="s">
        <v>162</v>
      </c>
      <c r="BT3" s="127"/>
      <c r="BU3" s="127"/>
      <c r="BV3" s="127"/>
      <c r="BW3" s="127"/>
      <c r="BX3" s="127"/>
      <c r="BY3" s="127"/>
      <c r="BZ3" s="128" t="s">
        <v>163</v>
      </c>
    </row>
    <row r="4" spans="1:78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  <c r="BR4" s="128" t="s">
        <v>164</v>
      </c>
      <c r="BS4" s="128" t="s">
        <v>165</v>
      </c>
      <c r="BT4" s="128" t="s">
        <v>166</v>
      </c>
      <c r="BU4" s="128" t="s">
        <v>167</v>
      </c>
      <c r="BV4" s="128" t="s">
        <v>168</v>
      </c>
      <c r="BW4" s="128" t="s">
        <v>169</v>
      </c>
      <c r="BX4" s="128" t="s">
        <v>170</v>
      </c>
      <c r="BY4" s="128" t="s">
        <v>162</v>
      </c>
      <c r="BZ4" s="128"/>
    </row>
    <row r="5" spans="1:78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  <c r="BR5" s="128"/>
      <c r="BS5" s="128"/>
      <c r="BT5" s="128"/>
      <c r="BU5" s="128"/>
      <c r="BV5" s="128"/>
      <c r="BW5" s="128"/>
      <c r="BX5" s="128"/>
      <c r="BY5" s="128"/>
      <c r="BZ5" s="128"/>
    </row>
    <row r="6" spans="1:78" ht="15" customHeight="1" x14ac:dyDescent="0.3">
      <c r="A6" s="19" t="s">
        <v>24</v>
      </c>
      <c r="B6" s="11" t="s">
        <v>92</v>
      </c>
      <c r="C6" s="60">
        <v>1048.4146311241</v>
      </c>
      <c r="D6" s="61">
        <v>1194.0373245312401</v>
      </c>
      <c r="E6" s="61">
        <v>46.986612261981797</v>
      </c>
      <c r="F6" s="61">
        <v>6.9282443596598894E-2</v>
      </c>
      <c r="G6" s="61">
        <v>0.140062147999997</v>
      </c>
      <c r="H6" s="61">
        <v>7.5487628226671294E-2</v>
      </c>
      <c r="I6" s="61">
        <v>7.0315283727229796E-3</v>
      </c>
      <c r="J6" s="61">
        <v>354.31798016237599</v>
      </c>
      <c r="K6" s="61">
        <v>5.5528921411022399E-2</v>
      </c>
      <c r="L6" s="61">
        <v>21093.365417148401</v>
      </c>
      <c r="M6" s="61">
        <v>612.23556144103804</v>
      </c>
      <c r="N6" s="61">
        <v>50.815628969502299</v>
      </c>
      <c r="O6" s="61">
        <v>271.58866044983898</v>
      </c>
      <c r="P6" s="61">
        <v>159.71023092477401</v>
      </c>
      <c r="Q6" s="61">
        <v>1.1789919477242801</v>
      </c>
      <c r="R6" s="61">
        <v>1.56374133028252</v>
      </c>
      <c r="S6" s="61">
        <v>4.0622332774758103</v>
      </c>
      <c r="T6" s="61">
        <v>4.8006305239873901E-3</v>
      </c>
      <c r="U6" s="61">
        <v>0.17537317854937301</v>
      </c>
      <c r="V6" s="61">
        <v>252.846824484336</v>
      </c>
      <c r="W6" s="61">
        <v>10.157373860092999</v>
      </c>
      <c r="X6" s="61">
        <v>1.4613880333801099</v>
      </c>
      <c r="Y6" s="61">
        <v>0.34430015716191698</v>
      </c>
      <c r="Z6" s="61">
        <v>5.6061577239310196</v>
      </c>
      <c r="AA6" s="61">
        <v>14.775498679698501</v>
      </c>
      <c r="AB6" s="61">
        <v>0.979976669667036</v>
      </c>
      <c r="AC6" s="61">
        <v>0.98492574184957504</v>
      </c>
      <c r="AD6" s="61">
        <v>0.20380157278598501</v>
      </c>
      <c r="AE6" s="61">
        <v>0.98590907620085599</v>
      </c>
      <c r="AF6" s="61">
        <v>5.2607794625432899E-2</v>
      </c>
      <c r="AG6" s="61">
        <v>8.0588278938509103E-2</v>
      </c>
      <c r="AH6" s="61">
        <v>0.15796896066490801</v>
      </c>
      <c r="AI6" s="61">
        <v>5.4973789829539599E-2</v>
      </c>
      <c r="AJ6" s="61">
        <v>4.68118888608954E-2</v>
      </c>
      <c r="AK6" s="61">
        <v>1.9107793976882802E-2</v>
      </c>
      <c r="AL6" s="61">
        <v>2.2860813186400302</v>
      </c>
      <c r="AM6" s="61">
        <v>2.7347018674142801E-2</v>
      </c>
      <c r="AN6" s="61">
        <v>9.2667959533064795E-2</v>
      </c>
      <c r="AO6" s="61">
        <v>4.8314782260523303</v>
      </c>
      <c r="AP6" s="61">
        <v>39.827368409176898</v>
      </c>
      <c r="AQ6" s="61">
        <v>1794.11133455708</v>
      </c>
      <c r="AR6" s="61">
        <v>0.17228742731001201</v>
      </c>
      <c r="AS6" s="61">
        <v>4.1224556221191502E-3</v>
      </c>
      <c r="AT6" s="61">
        <v>2.7648099344910901E-2</v>
      </c>
      <c r="AU6" s="61">
        <v>0.180748853162851</v>
      </c>
      <c r="AV6" s="61">
        <v>20.821989307092799</v>
      </c>
      <c r="AW6" s="61">
        <v>295.490209873955</v>
      </c>
      <c r="AX6" s="61">
        <v>2.5978350865672999E-2</v>
      </c>
      <c r="AY6" s="61">
        <v>6.4975451830618605E-2</v>
      </c>
      <c r="AZ6" s="61">
        <v>7.5030291139895705E-2</v>
      </c>
      <c r="BA6" s="61">
        <v>0.44803536992035597</v>
      </c>
      <c r="BB6" s="61">
        <v>0.39288024346597</v>
      </c>
      <c r="BC6" s="61">
        <v>0.28896166670446299</v>
      </c>
      <c r="BD6" s="61">
        <v>0.455550512562865</v>
      </c>
      <c r="BE6" s="61">
        <v>0.295385112920308</v>
      </c>
      <c r="BF6" s="61">
        <v>0.199579291484486</v>
      </c>
      <c r="BG6" s="61">
        <v>0.31367854309705701</v>
      </c>
      <c r="BH6" s="61">
        <v>10.6333102980175</v>
      </c>
      <c r="BI6" s="61">
        <v>2.8453126664404499E-2</v>
      </c>
      <c r="BJ6" s="61">
        <v>244.21627137487599</v>
      </c>
      <c r="BK6" s="61">
        <v>35.850961215725199</v>
      </c>
      <c r="BL6" s="61">
        <v>2.7654707511875798</v>
      </c>
      <c r="BM6" s="61">
        <v>43.606951242525</v>
      </c>
      <c r="BN6" s="61">
        <v>16.809914342558901</v>
      </c>
      <c r="BO6" s="61">
        <v>0.145544697576209</v>
      </c>
      <c r="BP6" s="61">
        <v>25.1140206613251</v>
      </c>
      <c r="BQ6" s="62">
        <v>0</v>
      </c>
      <c r="BR6" s="63">
        <v>27667.167030603501</v>
      </c>
      <c r="BS6" s="64">
        <v>2.5130854244445901E-3</v>
      </c>
      <c r="BT6" s="65">
        <v>42.431980417898799</v>
      </c>
      <c r="BU6" s="65">
        <v>0</v>
      </c>
      <c r="BV6" s="65">
        <v>4419.4098134951801</v>
      </c>
      <c r="BW6" s="65">
        <v>5.0627390165231496</v>
      </c>
      <c r="BX6" s="66">
        <v>-7316.3887825514603</v>
      </c>
      <c r="BY6" s="63">
        <v>-2849.4817365364402</v>
      </c>
      <c r="BZ6" s="67">
        <v>24817.685294067101</v>
      </c>
    </row>
    <row r="7" spans="1:78" ht="15" customHeight="1" x14ac:dyDescent="0.3">
      <c r="A7" s="19" t="s">
        <v>25</v>
      </c>
      <c r="B7" s="11" t="s">
        <v>93</v>
      </c>
      <c r="C7" s="68">
        <v>81.613205446194897</v>
      </c>
      <c r="D7" s="69">
        <v>139.05580059366</v>
      </c>
      <c r="E7" s="69">
        <v>86.067357169938504</v>
      </c>
      <c r="F7" s="69">
        <v>3.6477000142832401E-2</v>
      </c>
      <c r="G7" s="69">
        <v>0.43279059411413301</v>
      </c>
      <c r="H7" s="69">
        <v>0.24186687556452799</v>
      </c>
      <c r="I7" s="69">
        <v>2.0991412288091E-2</v>
      </c>
      <c r="J7" s="69">
        <v>270.10943115097098</v>
      </c>
      <c r="K7" s="69">
        <v>0.10951569934548799</v>
      </c>
      <c r="L7" s="69">
        <v>739.42960564400903</v>
      </c>
      <c r="M7" s="69">
        <v>23.092611030013199</v>
      </c>
      <c r="N7" s="69">
        <v>3.1416399026770798</v>
      </c>
      <c r="O7" s="69">
        <v>90.563673384263694</v>
      </c>
      <c r="P7" s="69">
        <v>74.601394899448294</v>
      </c>
      <c r="Q7" s="69">
        <v>0.72152781227222096</v>
      </c>
      <c r="R7" s="69">
        <v>3.1100091360297202</v>
      </c>
      <c r="S7" s="69">
        <v>4.1394309732710601</v>
      </c>
      <c r="T7" s="69">
        <v>1.24566871835779E-2</v>
      </c>
      <c r="U7" s="69">
        <v>4.5167685288465501E-2</v>
      </c>
      <c r="V7" s="69">
        <v>10.3732334875614</v>
      </c>
      <c r="W7" s="69">
        <v>45.927397731728099</v>
      </c>
      <c r="X7" s="69">
        <v>0.96167105259897201</v>
      </c>
      <c r="Y7" s="69">
        <v>1.14456107161704</v>
      </c>
      <c r="Z7" s="69">
        <v>2.8891545776580299</v>
      </c>
      <c r="AA7" s="69">
        <v>26.2731171674276</v>
      </c>
      <c r="AB7" s="69">
        <v>5.0564843771870196</v>
      </c>
      <c r="AC7" s="69">
        <v>2.6508936328558401</v>
      </c>
      <c r="AD7" s="69">
        <v>1.0370319183152801</v>
      </c>
      <c r="AE7" s="69">
        <v>0.96855630177363705</v>
      </c>
      <c r="AF7" s="69">
        <v>0.17025401453599001</v>
      </c>
      <c r="AG7" s="69">
        <v>0.30342376142740202</v>
      </c>
      <c r="AH7" s="69">
        <v>0.49825870789842602</v>
      </c>
      <c r="AI7" s="69">
        <v>0.17717881934079799</v>
      </c>
      <c r="AJ7" s="69">
        <v>0.15701608304083201</v>
      </c>
      <c r="AK7" s="69">
        <v>5.0731796795610802E-2</v>
      </c>
      <c r="AL7" s="69">
        <v>1.34212133518431</v>
      </c>
      <c r="AM7" s="69">
        <v>8.8442131024650594E-2</v>
      </c>
      <c r="AN7" s="69">
        <v>0.26319690137469798</v>
      </c>
      <c r="AO7" s="69">
        <v>0.240994231075917</v>
      </c>
      <c r="AP7" s="69">
        <v>75.779119094329005</v>
      </c>
      <c r="AQ7" s="69">
        <v>68.479460148971597</v>
      </c>
      <c r="AR7" s="69">
        <v>0.32732423280533901</v>
      </c>
      <c r="AS7" s="69">
        <v>1.0366924775130701E-2</v>
      </c>
      <c r="AT7" s="69">
        <v>7.80234067637115E-2</v>
      </c>
      <c r="AU7" s="69">
        <v>0.39459586214353898</v>
      </c>
      <c r="AV7" s="69">
        <v>7.4204904438731498</v>
      </c>
      <c r="AW7" s="69">
        <v>66.337017692419593</v>
      </c>
      <c r="AX7" s="69">
        <v>8.0007929637697303E-2</v>
      </c>
      <c r="AY7" s="69">
        <v>0.183828674516579</v>
      </c>
      <c r="AZ7" s="69">
        <v>0.14167601993814399</v>
      </c>
      <c r="BA7" s="69">
        <v>1.1563733253809001</v>
      </c>
      <c r="BB7" s="69">
        <v>1.2025256247948599</v>
      </c>
      <c r="BC7" s="69">
        <v>0.227492243151979</v>
      </c>
      <c r="BD7" s="69">
        <v>0.66867308953078997</v>
      </c>
      <c r="BE7" s="69">
        <v>0.61003190834352305</v>
      </c>
      <c r="BF7" s="69">
        <v>0.38780851992481402</v>
      </c>
      <c r="BG7" s="69">
        <v>0.39324342708592402</v>
      </c>
      <c r="BH7" s="69">
        <v>0.90684310052367201</v>
      </c>
      <c r="BI7" s="69">
        <v>7.1083483955504304E-2</v>
      </c>
      <c r="BJ7" s="69">
        <v>11.3873776714361</v>
      </c>
      <c r="BK7" s="69">
        <v>2.7673321475609001</v>
      </c>
      <c r="BL7" s="69">
        <v>0.90345249549088302</v>
      </c>
      <c r="BM7" s="69">
        <v>3.1608730598111001</v>
      </c>
      <c r="BN7" s="69">
        <v>1.1576880232804201</v>
      </c>
      <c r="BO7" s="69">
        <v>0.254320475372453</v>
      </c>
      <c r="BP7" s="69">
        <v>9.1010750947820593</v>
      </c>
      <c r="BQ7" s="70">
        <v>0</v>
      </c>
      <c r="BR7" s="71">
        <v>1870.7067763176999</v>
      </c>
      <c r="BS7" s="72">
        <v>4.1694371814648898E-3</v>
      </c>
      <c r="BT7" s="73">
        <v>1.34752100468763</v>
      </c>
      <c r="BU7" s="73">
        <v>0</v>
      </c>
      <c r="BV7" s="73">
        <v>468.30644669606698</v>
      </c>
      <c r="BW7" s="73">
        <v>85.446243754237898</v>
      </c>
      <c r="BX7" s="74">
        <v>-204.895645271403</v>
      </c>
      <c r="BY7" s="71">
        <v>350.20873562077099</v>
      </c>
      <c r="BZ7" s="75">
        <v>2220.91551193847</v>
      </c>
    </row>
    <row r="8" spans="1:78" ht="15" customHeight="1" x14ac:dyDescent="0.3">
      <c r="A8" s="19" t="s">
        <v>26</v>
      </c>
      <c r="B8" s="11" t="s">
        <v>94</v>
      </c>
      <c r="C8" s="68">
        <v>485.44199353059702</v>
      </c>
      <c r="D8" s="69">
        <v>437.30693331127998</v>
      </c>
      <c r="E8" s="69">
        <v>1128.47010839769</v>
      </c>
      <c r="F8" s="69">
        <v>1.2321195742615801E-2</v>
      </c>
      <c r="G8" s="69">
        <v>5.1334284477620701E-2</v>
      </c>
      <c r="H8" s="69">
        <v>2.8690012391099501E-2</v>
      </c>
      <c r="I8" s="69">
        <v>2.49296261204816E-3</v>
      </c>
      <c r="J8" s="69">
        <v>817.60623576926901</v>
      </c>
      <c r="K8" s="69">
        <v>1.09100535043239E-2</v>
      </c>
      <c r="L8" s="69">
        <v>70.006004583010196</v>
      </c>
      <c r="M8" s="69">
        <v>1.33719113368086</v>
      </c>
      <c r="N8" s="69">
        <v>1.4528016355856701</v>
      </c>
      <c r="O8" s="69">
        <v>10.1539606341963</v>
      </c>
      <c r="P8" s="69">
        <v>2.49670351264011</v>
      </c>
      <c r="Q8" s="69">
        <v>2.0113895935669901</v>
      </c>
      <c r="R8" s="69">
        <v>36.147265047303101</v>
      </c>
      <c r="S8" s="69">
        <v>37.056393199434403</v>
      </c>
      <c r="T8" s="69">
        <v>1.4834038622875501E-3</v>
      </c>
      <c r="U8" s="69">
        <v>5.3914909111365799E-3</v>
      </c>
      <c r="V8" s="69">
        <v>0.34918426251030898</v>
      </c>
      <c r="W8" s="69">
        <v>58.109877499468197</v>
      </c>
      <c r="X8" s="69">
        <v>0.26626999279028701</v>
      </c>
      <c r="Y8" s="69">
        <v>1.72178855735351E-2</v>
      </c>
      <c r="Z8" s="69">
        <v>5.3423862478762602E-2</v>
      </c>
      <c r="AA8" s="69">
        <v>296.80725371136703</v>
      </c>
      <c r="AB8" s="69">
        <v>0.40683560285890302</v>
      </c>
      <c r="AC8" s="69">
        <v>17.749608337211701</v>
      </c>
      <c r="AD8" s="69">
        <v>8.4823422668641096E-2</v>
      </c>
      <c r="AE8" s="69">
        <v>3.8757260214506499</v>
      </c>
      <c r="AF8" s="69">
        <v>2.0192000389648499E-2</v>
      </c>
      <c r="AG8" s="69">
        <v>3.13519994278042E-2</v>
      </c>
      <c r="AH8" s="69">
        <v>5.9518524817787702E-2</v>
      </c>
      <c r="AI8" s="69">
        <v>2.1120122521105698E-2</v>
      </c>
      <c r="AJ8" s="69">
        <v>1.73547577806617E-2</v>
      </c>
      <c r="AK8" s="69">
        <v>6.1903762047932796E-3</v>
      </c>
      <c r="AL8" s="69">
        <v>0.82684906661494295</v>
      </c>
      <c r="AM8" s="69">
        <v>1.04891784781089E-2</v>
      </c>
      <c r="AN8" s="69">
        <v>3.1786061908230599E-2</v>
      </c>
      <c r="AO8" s="69">
        <v>1.2125002965948799E-2</v>
      </c>
      <c r="AP8" s="69">
        <v>5.64930924646369</v>
      </c>
      <c r="AQ8" s="69">
        <v>69.0177613449045</v>
      </c>
      <c r="AR8" s="69">
        <v>3.9962406612798297E-2</v>
      </c>
      <c r="AS8" s="69">
        <v>1.2348622794913699E-3</v>
      </c>
      <c r="AT8" s="69">
        <v>8.6337190491878896E-3</v>
      </c>
      <c r="AU8" s="69">
        <v>4.7165664423658098E-2</v>
      </c>
      <c r="AV8" s="69">
        <v>13.714537811008899</v>
      </c>
      <c r="AW8" s="69">
        <v>145.70665913758901</v>
      </c>
      <c r="AX8" s="69">
        <v>9.4965456818555099E-3</v>
      </c>
      <c r="AY8" s="69">
        <v>2.20769555530827E-2</v>
      </c>
      <c r="AZ8" s="69">
        <v>1.6992755949804299E-2</v>
      </c>
      <c r="BA8" s="69">
        <v>0.13772181635085301</v>
      </c>
      <c r="BB8" s="69">
        <v>0.14118115679905599</v>
      </c>
      <c r="BC8" s="69">
        <v>2.8850253816189501E-2</v>
      </c>
      <c r="BD8" s="69">
        <v>8.08626792695534E-2</v>
      </c>
      <c r="BE8" s="69">
        <v>1.27740568557199</v>
      </c>
      <c r="BF8" s="69">
        <v>4.6487091680198003E-2</v>
      </c>
      <c r="BG8" s="69">
        <v>4.7824606262147303E-2</v>
      </c>
      <c r="BH8" s="69">
        <v>7.4513154066770296E-2</v>
      </c>
      <c r="BI8" s="69">
        <v>8.4594475145318097E-3</v>
      </c>
      <c r="BJ8" s="69">
        <v>36.728034324948098</v>
      </c>
      <c r="BK8" s="69">
        <v>22.9481365495852</v>
      </c>
      <c r="BL8" s="69">
        <v>2.49772564890911</v>
      </c>
      <c r="BM8" s="69">
        <v>23.298804776838299</v>
      </c>
      <c r="BN8" s="69">
        <v>5.2050654263133298</v>
      </c>
      <c r="BO8" s="69">
        <v>2.7997117794718501E-2</v>
      </c>
      <c r="BP8" s="69">
        <v>1.00300722585723</v>
      </c>
      <c r="BQ8" s="70">
        <v>0</v>
      </c>
      <c r="BR8" s="71">
        <v>3736.1427088523301</v>
      </c>
      <c r="BS8" s="72">
        <v>5.7115577828286099E-5</v>
      </c>
      <c r="BT8" s="73">
        <v>3.2537949633684997E-2</v>
      </c>
      <c r="BU8" s="73">
        <v>0</v>
      </c>
      <c r="BV8" s="73">
        <v>2124.4096847114802</v>
      </c>
      <c r="BW8" s="73">
        <v>0.21148822861616901</v>
      </c>
      <c r="BX8" s="74">
        <v>-28.727694931931801</v>
      </c>
      <c r="BY8" s="71">
        <v>2095.9260730733799</v>
      </c>
      <c r="BZ8" s="75">
        <v>5832.06878192571</v>
      </c>
    </row>
    <row r="9" spans="1:78" ht="15" customHeight="1" x14ac:dyDescent="0.3">
      <c r="A9" s="19" t="s">
        <v>27</v>
      </c>
      <c r="B9" s="11" t="s">
        <v>95</v>
      </c>
      <c r="C9" s="68">
        <v>37.385769021112701</v>
      </c>
      <c r="D9" s="69">
        <v>10.5075682762958</v>
      </c>
      <c r="E9" s="69">
        <v>6.6717131127631299</v>
      </c>
      <c r="F9" s="69">
        <v>0.19413266897057599</v>
      </c>
      <c r="G9" s="69">
        <v>2.9519343655567001</v>
      </c>
      <c r="H9" s="69">
        <v>0.81834599722849599</v>
      </c>
      <c r="I9" s="69">
        <v>12.5571392945533</v>
      </c>
      <c r="J9" s="69">
        <v>30.2889851976987</v>
      </c>
      <c r="K9" s="69">
        <v>4.3048447019840497</v>
      </c>
      <c r="L9" s="69">
        <v>72.718605727822407</v>
      </c>
      <c r="M9" s="69">
        <v>4.7731549277245904</v>
      </c>
      <c r="N9" s="69">
        <v>6.7650782462240304E-4</v>
      </c>
      <c r="O9" s="69">
        <v>0.23122639816349999</v>
      </c>
      <c r="P9" s="69">
        <v>6.5570053851663999E-3</v>
      </c>
      <c r="Q9" s="69">
        <v>0.20779516319663799</v>
      </c>
      <c r="R9" s="69">
        <v>2.2552447815085998E-2</v>
      </c>
      <c r="S9" s="69">
        <v>8.4193945652788393</v>
      </c>
      <c r="T9" s="69">
        <v>0.53853477164765295</v>
      </c>
      <c r="U9" s="69">
        <v>82.338655722186402</v>
      </c>
      <c r="V9" s="69">
        <v>97.506434273800394</v>
      </c>
      <c r="W9" s="69">
        <v>3345.24599817131</v>
      </c>
      <c r="X9" s="69">
        <v>22.4233965144576</v>
      </c>
      <c r="Y9" s="69">
        <v>2.1450091406933001</v>
      </c>
      <c r="Z9" s="69">
        <v>0.49616818146978803</v>
      </c>
      <c r="AA9" s="69">
        <v>2.4894295196560998</v>
      </c>
      <c r="AB9" s="69">
        <v>394.70705182287497</v>
      </c>
      <c r="AC9" s="69">
        <v>12628.548735480501</v>
      </c>
      <c r="AD9" s="69">
        <v>1073.84734396559</v>
      </c>
      <c r="AE9" s="69">
        <v>9.0468293020892396</v>
      </c>
      <c r="AF9" s="69">
        <v>0.62667095269539297</v>
      </c>
      <c r="AG9" s="69">
        <v>35.463452711592602</v>
      </c>
      <c r="AH9" s="69">
        <v>7.2533733895428103</v>
      </c>
      <c r="AI9" s="69">
        <v>5.6011123610008902</v>
      </c>
      <c r="AJ9" s="69">
        <v>107.391658067905</v>
      </c>
      <c r="AK9" s="69">
        <v>2.11662932036135</v>
      </c>
      <c r="AL9" s="69">
        <v>14.6231322717181</v>
      </c>
      <c r="AM9" s="69">
        <v>2.76366730648096</v>
      </c>
      <c r="AN9" s="69">
        <v>3488.6665135870699</v>
      </c>
      <c r="AO9" s="69">
        <v>1.4100663046622</v>
      </c>
      <c r="AP9" s="69">
        <v>358.29792786335702</v>
      </c>
      <c r="AQ9" s="69">
        <v>2.4013184211943401</v>
      </c>
      <c r="AR9" s="69">
        <v>7.2886182494275295E-2</v>
      </c>
      <c r="AS9" s="69">
        <v>2.4042000488888701E-2</v>
      </c>
      <c r="AT9" s="69">
        <v>1.4087692527344499E-3</v>
      </c>
      <c r="AU9" s="69">
        <v>9.16929275271023E-2</v>
      </c>
      <c r="AV9" s="69">
        <v>0.26786558938562499</v>
      </c>
      <c r="AW9" s="69">
        <v>1.1461962438606801</v>
      </c>
      <c r="AX9" s="69">
        <v>6.2766092858436004E-3</v>
      </c>
      <c r="AY9" s="69">
        <v>5.4395811620591601E-3</v>
      </c>
      <c r="AZ9" s="69">
        <v>2.5723333112058901E-2</v>
      </c>
      <c r="BA9" s="69">
        <v>6.4732076342447695E-2</v>
      </c>
      <c r="BB9" s="69">
        <v>5.7369958072105397E-3</v>
      </c>
      <c r="BC9" s="69">
        <v>0.978245801873734</v>
      </c>
      <c r="BD9" s="69">
        <v>0.106535008405267</v>
      </c>
      <c r="BE9" s="69">
        <v>10.121005691653</v>
      </c>
      <c r="BF9" s="69">
        <v>4.1011737896436501E-2</v>
      </c>
      <c r="BG9" s="69">
        <v>8.7921158112210504E-2</v>
      </c>
      <c r="BH9" s="69">
        <v>0.29567477204578502</v>
      </c>
      <c r="BI9" s="69">
        <v>4.7334447218934398E-3</v>
      </c>
      <c r="BJ9" s="69">
        <v>0.47833017371050701</v>
      </c>
      <c r="BK9" s="69">
        <v>0.29336036728259701</v>
      </c>
      <c r="BL9" s="69">
        <v>3.8969609638690103E-2</v>
      </c>
      <c r="BM9" s="69">
        <v>0.71254608809431297</v>
      </c>
      <c r="BN9" s="69">
        <v>0.28277332354604301</v>
      </c>
      <c r="BO9" s="69">
        <v>2.7576524974522499E-2</v>
      </c>
      <c r="BP9" s="69">
        <v>0.66512688379992202</v>
      </c>
      <c r="BQ9" s="70">
        <v>0</v>
      </c>
      <c r="BR9" s="71">
        <v>21893.8553156977</v>
      </c>
      <c r="BS9" s="72">
        <v>0</v>
      </c>
      <c r="BT9" s="73">
        <v>1.5561351668759099E-3</v>
      </c>
      <c r="BU9" s="73">
        <v>0</v>
      </c>
      <c r="BV9" s="73">
        <v>9.3166823045728098</v>
      </c>
      <c r="BW9" s="73">
        <v>4.0709915209284597</v>
      </c>
      <c r="BX9" s="74">
        <v>-229.144711589677</v>
      </c>
      <c r="BY9" s="71">
        <v>-215.75548162900901</v>
      </c>
      <c r="BZ9" s="75">
        <v>21678.0998340687</v>
      </c>
    </row>
    <row r="10" spans="1:78" ht="15" customHeight="1" x14ac:dyDescent="0.3">
      <c r="A10" s="19" t="s">
        <v>28</v>
      </c>
      <c r="B10" s="11" t="s">
        <v>96</v>
      </c>
      <c r="C10" s="68">
        <v>16.844193713649801</v>
      </c>
      <c r="D10" s="69">
        <v>9.4696956798486305</v>
      </c>
      <c r="E10" s="69">
        <v>0.86243123655179499</v>
      </c>
      <c r="F10" s="69">
        <v>0.33785636219492798</v>
      </c>
      <c r="G10" s="69">
        <v>72.411233453527601</v>
      </c>
      <c r="H10" s="69">
        <v>147.741902250761</v>
      </c>
      <c r="I10" s="69">
        <v>8.8517758327899205</v>
      </c>
      <c r="J10" s="69">
        <v>60.988033939583403</v>
      </c>
      <c r="K10" s="69">
        <v>7.9551299682617801E-2</v>
      </c>
      <c r="L10" s="69">
        <v>575.53239436063097</v>
      </c>
      <c r="M10" s="69">
        <v>119.915864528179</v>
      </c>
      <c r="N10" s="69">
        <v>4.8743670298178896E-3</v>
      </c>
      <c r="O10" s="69">
        <v>98.345246187632796</v>
      </c>
      <c r="P10" s="69">
        <v>4.6251325789618401E-2</v>
      </c>
      <c r="Q10" s="69">
        <v>0.824421898568788</v>
      </c>
      <c r="R10" s="69">
        <v>54.416158867947402</v>
      </c>
      <c r="S10" s="69">
        <v>659.80367499663305</v>
      </c>
      <c r="T10" s="69">
        <v>6.4722488448384505E-2</v>
      </c>
      <c r="U10" s="69">
        <v>26895.285510672798</v>
      </c>
      <c r="V10" s="69">
        <v>0.14291045226170099</v>
      </c>
      <c r="W10" s="69">
        <v>1729.42183293772</v>
      </c>
      <c r="X10" s="69">
        <v>73.955263956091798</v>
      </c>
      <c r="Y10" s="69">
        <v>20.162955734514298</v>
      </c>
      <c r="Z10" s="69">
        <v>28.832649393247699</v>
      </c>
      <c r="AA10" s="69">
        <v>86.079994834335693</v>
      </c>
      <c r="AB10" s="69">
        <v>561.46150294486699</v>
      </c>
      <c r="AC10" s="69">
        <v>319.03388028009999</v>
      </c>
      <c r="AD10" s="69">
        <v>258.84211597475002</v>
      </c>
      <c r="AE10" s="69">
        <v>327.14202554311902</v>
      </c>
      <c r="AF10" s="69">
        <v>0.23197530852517501</v>
      </c>
      <c r="AG10" s="69">
        <v>24.748367180156201</v>
      </c>
      <c r="AH10" s="69">
        <v>90.837650452644397</v>
      </c>
      <c r="AI10" s="69">
        <v>45.0032833983581</v>
      </c>
      <c r="AJ10" s="69">
        <v>115.548406353712</v>
      </c>
      <c r="AK10" s="69">
        <v>1.1891235451825699</v>
      </c>
      <c r="AL10" s="69">
        <v>0.84413191985139102</v>
      </c>
      <c r="AM10" s="69">
        <v>31.175841384103101</v>
      </c>
      <c r="AN10" s="69">
        <v>19647.288820958202</v>
      </c>
      <c r="AO10" s="69">
        <v>1.76660535697579</v>
      </c>
      <c r="AP10" s="69">
        <v>18.631166079712798</v>
      </c>
      <c r="AQ10" s="69">
        <v>48.208953275581898</v>
      </c>
      <c r="AR10" s="69">
        <v>32.336608216296902</v>
      </c>
      <c r="AS10" s="69">
        <v>1.4010292565995599</v>
      </c>
      <c r="AT10" s="69">
        <v>8.7315459697472099E-3</v>
      </c>
      <c r="AU10" s="69">
        <v>2.10498548106187</v>
      </c>
      <c r="AV10" s="69">
        <v>0.174256350486198</v>
      </c>
      <c r="AW10" s="69">
        <v>11.2949070018387</v>
      </c>
      <c r="AX10" s="69">
        <v>2.8612603357982599E-2</v>
      </c>
      <c r="AY10" s="69">
        <v>8.8790177862196604E-2</v>
      </c>
      <c r="AZ10" s="69">
        <v>0.27856141163044901</v>
      </c>
      <c r="BA10" s="69">
        <v>0.53512266139838005</v>
      </c>
      <c r="BB10" s="69">
        <v>5.7765253697334699E-2</v>
      </c>
      <c r="BC10" s="69">
        <v>0.92952228044504304</v>
      </c>
      <c r="BD10" s="69">
        <v>1.10813165134206</v>
      </c>
      <c r="BE10" s="69">
        <v>3.4277245615213299</v>
      </c>
      <c r="BF10" s="69">
        <v>0.484210844563771</v>
      </c>
      <c r="BG10" s="69">
        <v>1.9077801018584399</v>
      </c>
      <c r="BH10" s="69">
        <v>2.9833185403065099</v>
      </c>
      <c r="BI10" s="69">
        <v>3.5077111028242201E-2</v>
      </c>
      <c r="BJ10" s="69">
        <v>3.9909885287970601</v>
      </c>
      <c r="BK10" s="69">
        <v>0.71946583731841296</v>
      </c>
      <c r="BL10" s="69">
        <v>0.31371873914269399</v>
      </c>
      <c r="BM10" s="69">
        <v>0.39959808372215799</v>
      </c>
      <c r="BN10" s="69">
        <v>0.61789333850802097</v>
      </c>
      <c r="BO10" s="69">
        <v>0.29959990019462102</v>
      </c>
      <c r="BP10" s="69">
        <v>1.7409230153308599</v>
      </c>
      <c r="BQ10" s="70">
        <v>0</v>
      </c>
      <c r="BR10" s="71">
        <v>52219.642573220597</v>
      </c>
      <c r="BS10" s="72">
        <v>0</v>
      </c>
      <c r="BT10" s="73">
        <v>0</v>
      </c>
      <c r="BU10" s="73">
        <v>0</v>
      </c>
      <c r="BV10" s="73">
        <v>112.481865489374</v>
      </c>
      <c r="BW10" s="73">
        <v>124.916459607128</v>
      </c>
      <c r="BX10" s="74">
        <v>-2632.2477908824599</v>
      </c>
      <c r="BY10" s="71">
        <v>-2394.8494657859501</v>
      </c>
      <c r="BZ10" s="75">
        <v>49824.793107434598</v>
      </c>
    </row>
    <row r="11" spans="1:78" ht="15" customHeight="1" x14ac:dyDescent="0.3">
      <c r="A11" s="19" t="s">
        <v>29</v>
      </c>
      <c r="B11" s="11" t="s">
        <v>97</v>
      </c>
      <c r="C11" s="68">
        <v>1.0438879805408099E-2</v>
      </c>
      <c r="D11" s="69">
        <v>2.9330215372537299E-2</v>
      </c>
      <c r="E11" s="69">
        <v>4.9650709202380102E-3</v>
      </c>
      <c r="F11" s="69">
        <v>6.58086177595264E-2</v>
      </c>
      <c r="G11" s="69">
        <v>7.7778545101124701</v>
      </c>
      <c r="H11" s="69">
        <v>9.1067815191008492</v>
      </c>
      <c r="I11" s="69">
        <v>7.5570607632842002</v>
      </c>
      <c r="J11" s="69">
        <v>0.400732124814698</v>
      </c>
      <c r="K11" s="69">
        <v>3.9804711301413002E-4</v>
      </c>
      <c r="L11" s="69">
        <v>0.66117379419252598</v>
      </c>
      <c r="M11" s="69">
        <v>1.4391791965522499E-4</v>
      </c>
      <c r="N11" s="69">
        <v>5.6548690780859503E-5</v>
      </c>
      <c r="O11" s="69">
        <v>3.1712008855712599E-4</v>
      </c>
      <c r="P11" s="69">
        <v>5.5047844121073599E-4</v>
      </c>
      <c r="Q11" s="69">
        <v>2.2828191116148699E-4</v>
      </c>
      <c r="R11" s="69">
        <v>0.107058807839544</v>
      </c>
      <c r="S11" s="69">
        <v>0.362750820665379</v>
      </c>
      <c r="T11" s="69">
        <v>0.27660199421391302</v>
      </c>
      <c r="U11" s="69">
        <v>4.4554382655095199E-4</v>
      </c>
      <c r="V11" s="69">
        <v>5.30725477716059E-4</v>
      </c>
      <c r="W11" s="69">
        <v>4.0148459900492803E-2</v>
      </c>
      <c r="X11" s="69">
        <v>0.28941350964248702</v>
      </c>
      <c r="Y11" s="69">
        <v>2.4207671203328301E-4</v>
      </c>
      <c r="Z11" s="69">
        <v>1.0063668449244299E-2</v>
      </c>
      <c r="AA11" s="69">
        <v>0.23824566155626101</v>
      </c>
      <c r="AB11" s="69">
        <v>0.27701603510845102</v>
      </c>
      <c r="AC11" s="69">
        <v>41.851028161848902</v>
      </c>
      <c r="AD11" s="69">
        <v>51.316485544006099</v>
      </c>
      <c r="AE11" s="69">
        <v>4.4186226008097798</v>
      </c>
      <c r="AF11" s="69">
        <v>0.41120342251907799</v>
      </c>
      <c r="AG11" s="69">
        <v>14.168084121463799</v>
      </c>
      <c r="AH11" s="69">
        <v>31.364552012755901</v>
      </c>
      <c r="AI11" s="69">
        <v>2.11708921482033</v>
      </c>
      <c r="AJ11" s="69">
        <v>4.1338233654017502</v>
      </c>
      <c r="AK11" s="69">
        <v>1.40757444144801</v>
      </c>
      <c r="AL11" s="69">
        <v>4.48314490005182</v>
      </c>
      <c r="AM11" s="69">
        <v>12.5607052376022</v>
      </c>
      <c r="AN11" s="69">
        <v>4.4857314067957003E-2</v>
      </c>
      <c r="AO11" s="69">
        <v>0.25927139378990799</v>
      </c>
      <c r="AP11" s="69">
        <v>24.996746270961999</v>
      </c>
      <c r="AQ11" s="69">
        <v>0.72639226914238098</v>
      </c>
      <c r="AR11" s="69">
        <v>6.4529227851498894E-2</v>
      </c>
      <c r="AS11" s="69">
        <v>0.24180003504106301</v>
      </c>
      <c r="AT11" s="69">
        <v>9.2364822431227002E-5</v>
      </c>
      <c r="AU11" s="69">
        <v>0.256744507638484</v>
      </c>
      <c r="AV11" s="69">
        <v>7.6934803058861696E-3</v>
      </c>
      <c r="AW11" s="69">
        <v>2.3853294780848799E-2</v>
      </c>
      <c r="AX11" s="69">
        <v>1.64378693735914E-4</v>
      </c>
      <c r="AY11" s="69">
        <v>6.58006847454977E-4</v>
      </c>
      <c r="AZ11" s="69">
        <v>5.1449817113980598E-2</v>
      </c>
      <c r="BA11" s="69">
        <v>7.7993104543777302E-3</v>
      </c>
      <c r="BB11" s="69">
        <v>5.10781260253978E-3</v>
      </c>
      <c r="BC11" s="69">
        <v>7.6403356425329805E-2</v>
      </c>
      <c r="BD11" s="69">
        <v>1.87665749049198E-2</v>
      </c>
      <c r="BE11" s="69">
        <v>9.1677025420145806E-3</v>
      </c>
      <c r="BF11" s="69">
        <v>1.02363187000641E-2</v>
      </c>
      <c r="BG11" s="69">
        <v>1.41747424150957E-2</v>
      </c>
      <c r="BH11" s="69">
        <v>0.75020573921543898</v>
      </c>
      <c r="BI11" s="69">
        <v>4.0428199773494001E-4</v>
      </c>
      <c r="BJ11" s="69">
        <v>5.46131727067318E-2</v>
      </c>
      <c r="BK11" s="69">
        <v>8.6160663842570605E-3</v>
      </c>
      <c r="BL11" s="69">
        <v>5.5427339071147299E-3</v>
      </c>
      <c r="BM11" s="69">
        <v>8.3465710055660502E-2</v>
      </c>
      <c r="BN11" s="69">
        <v>7.7472820762928898E-3</v>
      </c>
      <c r="BO11" s="69">
        <v>4.1998950276158804E-3</v>
      </c>
      <c r="BP11" s="69">
        <v>8.4871058469496996E-3</v>
      </c>
      <c r="BQ11" s="70">
        <v>0</v>
      </c>
      <c r="BR11" s="71">
        <v>223.18986038196601</v>
      </c>
      <c r="BS11" s="72">
        <v>328.02987776431098</v>
      </c>
      <c r="BT11" s="73">
        <v>0</v>
      </c>
      <c r="BU11" s="73">
        <v>0</v>
      </c>
      <c r="BV11" s="73">
        <v>1.1698618223261501</v>
      </c>
      <c r="BW11" s="73">
        <v>50.7308174146469</v>
      </c>
      <c r="BX11" s="74">
        <v>-1.8928591666129599</v>
      </c>
      <c r="BY11" s="71">
        <v>378.03769783467101</v>
      </c>
      <c r="BZ11" s="75">
        <v>601.22755821663702</v>
      </c>
    </row>
    <row r="12" spans="1:78" ht="15" customHeight="1" x14ac:dyDescent="0.3">
      <c r="A12" s="19" t="s">
        <v>30</v>
      </c>
      <c r="B12" s="11" t="s">
        <v>98</v>
      </c>
      <c r="C12" s="68">
        <v>2.3881041046783502</v>
      </c>
      <c r="D12" s="69">
        <v>0.60069519359013002</v>
      </c>
      <c r="E12" s="69">
        <v>2.7345556208201002E-2</v>
      </c>
      <c r="F12" s="69">
        <v>1.35214126250574E-2</v>
      </c>
      <c r="G12" s="69">
        <v>0.25598335980364501</v>
      </c>
      <c r="H12" s="69">
        <v>14.756074228958701</v>
      </c>
      <c r="I12" s="69">
        <v>851.953651574623</v>
      </c>
      <c r="J12" s="69">
        <v>3.5362681696410698</v>
      </c>
      <c r="K12" s="69">
        <v>7.6573004179137399E-2</v>
      </c>
      <c r="L12" s="69">
        <v>6.1067465107316901</v>
      </c>
      <c r="M12" s="69">
        <v>0.18006079927000401</v>
      </c>
      <c r="N12" s="69">
        <v>6.1746634997769198E-5</v>
      </c>
      <c r="O12" s="69">
        <v>2.06829374434369E-2</v>
      </c>
      <c r="P12" s="69">
        <v>2.04297863660629E-4</v>
      </c>
      <c r="Q12" s="69">
        <v>1.8765453227065299E-2</v>
      </c>
      <c r="R12" s="69">
        <v>8.1947661338169404E-4</v>
      </c>
      <c r="S12" s="69">
        <v>3.8491692309059</v>
      </c>
      <c r="T12" s="69">
        <v>2.4472899824298899</v>
      </c>
      <c r="U12" s="69">
        <v>1.8149227133717699E-4</v>
      </c>
      <c r="V12" s="69">
        <v>2.2990760587357898E-3</v>
      </c>
      <c r="W12" s="69">
        <v>8.7751287636860607</v>
      </c>
      <c r="X12" s="69">
        <v>3.1879634203515499</v>
      </c>
      <c r="Y12" s="69">
        <v>0.15654903662831601</v>
      </c>
      <c r="Z12" s="69">
        <v>0.122700158779234</v>
      </c>
      <c r="AA12" s="69">
        <v>1.24591955997745</v>
      </c>
      <c r="AB12" s="69">
        <v>9.2973973791013904</v>
      </c>
      <c r="AC12" s="69">
        <v>825.32596473031697</v>
      </c>
      <c r="AD12" s="69">
        <v>4145.67070008271</v>
      </c>
      <c r="AE12" s="69">
        <v>38.330998737777698</v>
      </c>
      <c r="AF12" s="69">
        <v>2.9530782133057398</v>
      </c>
      <c r="AG12" s="69">
        <v>121.078894434699</v>
      </c>
      <c r="AH12" s="69">
        <v>19.6178603843457</v>
      </c>
      <c r="AI12" s="69">
        <v>7.3249778244569903</v>
      </c>
      <c r="AJ12" s="69">
        <v>39.112569289628702</v>
      </c>
      <c r="AK12" s="69">
        <v>8.5876029985776103</v>
      </c>
      <c r="AL12" s="69">
        <v>39.726858627472303</v>
      </c>
      <c r="AM12" s="69">
        <v>6.4250148299413903</v>
      </c>
      <c r="AN12" s="69">
        <v>0.14566891425217601</v>
      </c>
      <c r="AO12" s="69">
        <v>1.4779336015312301</v>
      </c>
      <c r="AP12" s="69">
        <v>35.752090297659898</v>
      </c>
      <c r="AQ12" s="69">
        <v>0.494058956009156</v>
      </c>
      <c r="AR12" s="69">
        <v>0.192426372626994</v>
      </c>
      <c r="AS12" s="69">
        <v>1.4921481455657101E-3</v>
      </c>
      <c r="AT12" s="69">
        <v>0</v>
      </c>
      <c r="AU12" s="69">
        <v>1.5557452618147E-3</v>
      </c>
      <c r="AV12" s="69">
        <v>9.7078183277204896E-3</v>
      </c>
      <c r="AW12" s="69">
        <v>3.13640618591755E-2</v>
      </c>
      <c r="AX12" s="69">
        <v>8.3339831253769807E-5</v>
      </c>
      <c r="AY12" s="69">
        <v>1.3144310627782399E-4</v>
      </c>
      <c r="AZ12" s="69">
        <v>9.7830917131314305E-4</v>
      </c>
      <c r="BA12" s="69">
        <v>1.4687593454380899E-4</v>
      </c>
      <c r="BB12" s="69">
        <v>3.5409484271544401E-5</v>
      </c>
      <c r="BC12" s="69">
        <v>0.56309032540780102</v>
      </c>
      <c r="BD12" s="69">
        <v>1.00577135282312E-4</v>
      </c>
      <c r="BE12" s="69">
        <v>8.2827915099282503E-4</v>
      </c>
      <c r="BF12" s="69">
        <v>5.3793070063428198E-4</v>
      </c>
      <c r="BG12" s="69">
        <v>0</v>
      </c>
      <c r="BH12" s="69">
        <v>9.1806633794111296E-3</v>
      </c>
      <c r="BI12" s="69">
        <v>1.6415223006052499E-5</v>
      </c>
      <c r="BJ12" s="69">
        <v>0.145188232244508</v>
      </c>
      <c r="BK12" s="69">
        <v>3.9183364162433398E-2</v>
      </c>
      <c r="BL12" s="69">
        <v>5.1047791665421602E-6</v>
      </c>
      <c r="BM12" s="69">
        <v>2.68855418127272E-2</v>
      </c>
      <c r="BN12" s="69">
        <v>1.3127361959329099E-2</v>
      </c>
      <c r="BO12" s="69">
        <v>4.1159927523459198E-6</v>
      </c>
      <c r="BP12" s="69">
        <v>4.8654870990069703E-2</v>
      </c>
      <c r="BQ12" s="70">
        <v>0</v>
      </c>
      <c r="BR12" s="71">
        <v>6202.1291521556504</v>
      </c>
      <c r="BS12" s="72">
        <v>2.2540931925938201E-2</v>
      </c>
      <c r="BT12" s="73">
        <v>0</v>
      </c>
      <c r="BU12" s="73">
        <v>0</v>
      </c>
      <c r="BV12" s="73">
        <v>0.21463103439991399</v>
      </c>
      <c r="BW12" s="73">
        <v>0.31315319391757401</v>
      </c>
      <c r="BX12" s="74">
        <v>-427.33080794579303</v>
      </c>
      <c r="BY12" s="71">
        <v>-426.780482785549</v>
      </c>
      <c r="BZ12" s="75">
        <v>5775.3486693700997</v>
      </c>
    </row>
    <row r="13" spans="1:78" ht="15" customHeight="1" x14ac:dyDescent="0.3">
      <c r="A13" s="19" t="s">
        <v>31</v>
      </c>
      <c r="B13" s="11" t="s">
        <v>99</v>
      </c>
      <c r="C13" s="68">
        <v>4.7685356929111897</v>
      </c>
      <c r="D13" s="69">
        <v>338.42697402167897</v>
      </c>
      <c r="E13" s="69">
        <v>1.31374716751257</v>
      </c>
      <c r="F13" s="69">
        <v>5.5567336685998097</v>
      </c>
      <c r="G13" s="69">
        <v>8.5815987219850793</v>
      </c>
      <c r="H13" s="69">
        <v>4.31546943368709</v>
      </c>
      <c r="I13" s="69">
        <v>0.84818848408873304</v>
      </c>
      <c r="J13" s="69">
        <v>1431.13784294889</v>
      </c>
      <c r="K13" s="69">
        <v>0.269171683399967</v>
      </c>
      <c r="L13" s="69">
        <v>472.54172198340501</v>
      </c>
      <c r="M13" s="69">
        <v>5.4996006444381296</v>
      </c>
      <c r="N13" s="69">
        <v>5.3209489637477E-2</v>
      </c>
      <c r="O13" s="69">
        <v>4.3378161251126404</v>
      </c>
      <c r="P13" s="69">
        <v>0.944297206559782</v>
      </c>
      <c r="Q13" s="69">
        <v>9.8910599232050291</v>
      </c>
      <c r="R13" s="69">
        <v>2.5189515687472301</v>
      </c>
      <c r="S13" s="69">
        <v>10.0104615876047</v>
      </c>
      <c r="T13" s="69">
        <v>0.52540536590828302</v>
      </c>
      <c r="U13" s="69">
        <v>1.2316859188476601</v>
      </c>
      <c r="V13" s="69">
        <v>150.19837365805199</v>
      </c>
      <c r="W13" s="69">
        <v>58.379016790421602</v>
      </c>
      <c r="X13" s="69">
        <v>45.252506310731398</v>
      </c>
      <c r="Y13" s="69">
        <v>457.61342588266302</v>
      </c>
      <c r="Z13" s="69">
        <v>18.118132342180701</v>
      </c>
      <c r="AA13" s="69">
        <v>11.3990200611674</v>
      </c>
      <c r="AB13" s="69">
        <v>1.8200437527479301</v>
      </c>
      <c r="AC13" s="69">
        <v>3.6243925297789201</v>
      </c>
      <c r="AD13" s="69">
        <v>1.64413958304899</v>
      </c>
      <c r="AE13" s="69">
        <v>16.1086427959291</v>
      </c>
      <c r="AF13" s="69">
        <v>0.29675293550168202</v>
      </c>
      <c r="AG13" s="69">
        <v>1.4574541456938499</v>
      </c>
      <c r="AH13" s="69">
        <v>3.04573504638299</v>
      </c>
      <c r="AI13" s="69">
        <v>1.1151866505552099</v>
      </c>
      <c r="AJ13" s="69">
        <v>0.44890675576136202</v>
      </c>
      <c r="AK13" s="69">
        <v>0.29587100383898202</v>
      </c>
      <c r="AL13" s="69">
        <v>2.60727419414044</v>
      </c>
      <c r="AM13" s="69">
        <v>1.69820421978414</v>
      </c>
      <c r="AN13" s="69">
        <v>0.48284476389738701</v>
      </c>
      <c r="AO13" s="69">
        <v>1.32802964416402</v>
      </c>
      <c r="AP13" s="69">
        <v>3.0723275108579702</v>
      </c>
      <c r="AQ13" s="69">
        <v>14.395873986754101</v>
      </c>
      <c r="AR13" s="69">
        <v>0.25063697914049399</v>
      </c>
      <c r="AS13" s="69">
        <v>3.5314681605457199E-2</v>
      </c>
      <c r="AT13" s="69">
        <v>9.6051904668380504E-3</v>
      </c>
      <c r="AU13" s="69">
        <v>0.34944760618807902</v>
      </c>
      <c r="AV13" s="69">
        <v>22.0992416835313</v>
      </c>
      <c r="AW13" s="69">
        <v>826.39648256813905</v>
      </c>
      <c r="AX13" s="69">
        <v>4.5843131311508703E-2</v>
      </c>
      <c r="AY13" s="69">
        <v>9.5025268058454099E-2</v>
      </c>
      <c r="AZ13" s="69">
        <v>0.47695389973470298</v>
      </c>
      <c r="BA13" s="69">
        <v>0.32134020661619001</v>
      </c>
      <c r="BB13" s="69">
        <v>0.15318483245096701</v>
      </c>
      <c r="BC13" s="69">
        <v>0.57647655694225797</v>
      </c>
      <c r="BD13" s="69">
        <v>0.65512029170255504</v>
      </c>
      <c r="BE13" s="69">
        <v>0.37768399904302802</v>
      </c>
      <c r="BF13" s="69">
        <v>0.46940306499311601</v>
      </c>
      <c r="BG13" s="69">
        <v>0.53051145498720698</v>
      </c>
      <c r="BH13" s="69">
        <v>0.97063463825083995</v>
      </c>
      <c r="BI13" s="69">
        <v>4.0321938813248297E-2</v>
      </c>
      <c r="BJ13" s="69">
        <v>87.5855698904614</v>
      </c>
      <c r="BK13" s="69">
        <v>44.620258932982097</v>
      </c>
      <c r="BL13" s="69">
        <v>10.1284849236431</v>
      </c>
      <c r="BM13" s="69">
        <v>85.044579481446206</v>
      </c>
      <c r="BN13" s="69">
        <v>32.090866920162597</v>
      </c>
      <c r="BO13" s="69">
        <v>0.205507232278652</v>
      </c>
      <c r="BP13" s="69">
        <v>12.233483442565699</v>
      </c>
      <c r="BQ13" s="70">
        <v>0</v>
      </c>
      <c r="BR13" s="71">
        <v>4222.9366050157896</v>
      </c>
      <c r="BS13" s="72">
        <v>2.2139140277800302</v>
      </c>
      <c r="BT13" s="73">
        <v>4.5517432602857797</v>
      </c>
      <c r="BU13" s="73">
        <v>0</v>
      </c>
      <c r="BV13" s="73">
        <v>6352.9846266894901</v>
      </c>
      <c r="BW13" s="73">
        <v>4.54062087842052</v>
      </c>
      <c r="BX13" s="74">
        <v>36.936904529752098</v>
      </c>
      <c r="BY13" s="71">
        <v>6401.2278093857303</v>
      </c>
      <c r="BZ13" s="75">
        <v>10624.164414401501</v>
      </c>
    </row>
    <row r="14" spans="1:78" ht="15" customHeight="1" x14ac:dyDescent="0.3">
      <c r="A14" s="19" t="s">
        <v>32</v>
      </c>
      <c r="B14" s="11" t="s">
        <v>100</v>
      </c>
      <c r="C14" s="68">
        <v>1.58068375171172</v>
      </c>
      <c r="D14" s="69">
        <v>1.6277177083512799</v>
      </c>
      <c r="E14" s="69">
        <v>1.7347099634905699E-2</v>
      </c>
      <c r="F14" s="69">
        <v>0.23370625485149399</v>
      </c>
      <c r="G14" s="69">
        <v>32.5514433813564</v>
      </c>
      <c r="H14" s="69">
        <v>29.567455530208701</v>
      </c>
      <c r="I14" s="69">
        <v>3.1000573483643601</v>
      </c>
      <c r="J14" s="69">
        <v>4.5983091274954901</v>
      </c>
      <c r="K14" s="69">
        <v>7.9070634679012297</v>
      </c>
      <c r="L14" s="69">
        <v>26.051369190700399</v>
      </c>
      <c r="M14" s="69">
        <v>5.6870132777779299</v>
      </c>
      <c r="N14" s="69">
        <v>7.3785889059471898E-3</v>
      </c>
      <c r="O14" s="69">
        <v>5.7167853216249599E-2</v>
      </c>
      <c r="P14" s="69">
        <v>6.0909510960657998E-2</v>
      </c>
      <c r="Q14" s="69">
        <v>2.6539282988299301E-2</v>
      </c>
      <c r="R14" s="69">
        <v>0.42042876463097301</v>
      </c>
      <c r="S14" s="69">
        <v>0.18783049269756999</v>
      </c>
      <c r="T14" s="69">
        <v>4.2273621353832499E-3</v>
      </c>
      <c r="U14" s="69">
        <v>151.44659734854301</v>
      </c>
      <c r="V14" s="69">
        <v>12.9339921195418</v>
      </c>
      <c r="W14" s="69">
        <v>30.066398175529599</v>
      </c>
      <c r="X14" s="69">
        <v>3.8279073042329901</v>
      </c>
      <c r="Y14" s="69">
        <v>13.537593020523101</v>
      </c>
      <c r="Z14" s="69">
        <v>5.9353431545656496</v>
      </c>
      <c r="AA14" s="69">
        <v>0.470983395014688</v>
      </c>
      <c r="AB14" s="69">
        <v>0.11678689111222</v>
      </c>
      <c r="AC14" s="69">
        <v>8.1094118395232007E-2</v>
      </c>
      <c r="AD14" s="69">
        <v>0.117399744817117</v>
      </c>
      <c r="AE14" s="69">
        <v>0.96524597138317503</v>
      </c>
      <c r="AF14" s="69">
        <v>0.31808322074927398</v>
      </c>
      <c r="AG14" s="69">
        <v>1.7491714866930801</v>
      </c>
      <c r="AH14" s="69">
        <v>102.035931474172</v>
      </c>
      <c r="AI14" s="69">
        <v>4.5749816279414901</v>
      </c>
      <c r="AJ14" s="69">
        <v>0.233487928580424</v>
      </c>
      <c r="AK14" s="69">
        <v>1.5434525495882101</v>
      </c>
      <c r="AL14" s="69">
        <v>3.1891062807203302E-2</v>
      </c>
      <c r="AM14" s="69">
        <v>41.402954674518902</v>
      </c>
      <c r="AN14" s="69">
        <v>0.13129407083317701</v>
      </c>
      <c r="AO14" s="69">
        <v>0.41819184244531599</v>
      </c>
      <c r="AP14" s="69">
        <v>15.702085921880901</v>
      </c>
      <c r="AQ14" s="69">
        <v>12.157186747492601</v>
      </c>
      <c r="AR14" s="69">
        <v>7.8608994377304704</v>
      </c>
      <c r="AS14" s="69">
        <v>0.92965402482774695</v>
      </c>
      <c r="AT14" s="69">
        <v>2.0504990579732398E-3</v>
      </c>
      <c r="AU14" s="69">
        <v>1.0773206948249401</v>
      </c>
      <c r="AV14" s="69">
        <v>0.22215126574375199</v>
      </c>
      <c r="AW14" s="69">
        <v>11.9887598417095</v>
      </c>
      <c r="AX14" s="69">
        <v>7.2675967282284204E-2</v>
      </c>
      <c r="AY14" s="69">
        <v>6.6064809685518894E-2</v>
      </c>
      <c r="AZ14" s="69">
        <v>0.36112672921386602</v>
      </c>
      <c r="BA14" s="69">
        <v>0.22034126214083</v>
      </c>
      <c r="BB14" s="69">
        <v>3.3172243692149501</v>
      </c>
      <c r="BC14" s="69">
        <v>0.54636846652123205</v>
      </c>
      <c r="BD14" s="69">
        <v>4.3003893454514897</v>
      </c>
      <c r="BE14" s="69">
        <v>3.2757144811329302</v>
      </c>
      <c r="BF14" s="69">
        <v>1.41098573797681</v>
      </c>
      <c r="BG14" s="69">
        <v>5.8298197928894098</v>
      </c>
      <c r="BH14" s="69">
        <v>7.5744919226576997</v>
      </c>
      <c r="BI14" s="69">
        <v>1.8815114439403999</v>
      </c>
      <c r="BJ14" s="69">
        <v>3.74248021726109</v>
      </c>
      <c r="BK14" s="69">
        <v>0.48408478575103597</v>
      </c>
      <c r="BL14" s="69">
        <v>0.246558262138625</v>
      </c>
      <c r="BM14" s="69">
        <v>0.46705395993757998</v>
      </c>
      <c r="BN14" s="69">
        <v>2.25350091992396</v>
      </c>
      <c r="BO14" s="69">
        <v>0.389258818596667</v>
      </c>
      <c r="BP14" s="69">
        <v>6.5407381147253396</v>
      </c>
      <c r="BQ14" s="70">
        <v>0</v>
      </c>
      <c r="BR14" s="71">
        <v>578.54592701558704</v>
      </c>
      <c r="BS14" s="72">
        <v>0</v>
      </c>
      <c r="BT14" s="73">
        <v>9.9837709372058397E-4</v>
      </c>
      <c r="BU14" s="73">
        <v>0</v>
      </c>
      <c r="BV14" s="73">
        <v>124.94567492436801</v>
      </c>
      <c r="BW14" s="73">
        <v>177.24470775734699</v>
      </c>
      <c r="BX14" s="74">
        <v>-26.040638450763801</v>
      </c>
      <c r="BY14" s="71">
        <v>276.15074260804403</v>
      </c>
      <c r="BZ14" s="75">
        <v>854.69666962363101</v>
      </c>
    </row>
    <row r="15" spans="1:78" ht="15" customHeight="1" x14ac:dyDescent="0.3">
      <c r="A15" s="19" t="s">
        <v>33</v>
      </c>
      <c r="B15" s="11" t="s">
        <v>101</v>
      </c>
      <c r="C15" s="68">
        <v>269.58480418256602</v>
      </c>
      <c r="D15" s="69">
        <v>801.245642513608</v>
      </c>
      <c r="E15" s="69">
        <v>62.569884435891403</v>
      </c>
      <c r="F15" s="69">
        <v>96.501009719472194</v>
      </c>
      <c r="G15" s="69">
        <v>89.827177326992</v>
      </c>
      <c r="H15" s="69">
        <v>47.699529675616702</v>
      </c>
      <c r="I15" s="69">
        <v>10.501481088164001</v>
      </c>
      <c r="J15" s="69">
        <v>1777.2127505144199</v>
      </c>
      <c r="K15" s="69">
        <v>3.63408582965751</v>
      </c>
      <c r="L15" s="69">
        <v>5451.7190592126099</v>
      </c>
      <c r="M15" s="69">
        <v>239.92372549582899</v>
      </c>
      <c r="N15" s="69">
        <v>0.42735619535442698</v>
      </c>
      <c r="O15" s="69">
        <v>37.7451747180639</v>
      </c>
      <c r="P15" s="69">
        <v>8.9525216225072306</v>
      </c>
      <c r="Q15" s="69">
        <v>18.6067052575115</v>
      </c>
      <c r="R15" s="69">
        <v>35.872027300911299</v>
      </c>
      <c r="S15" s="69">
        <v>180.70181410737601</v>
      </c>
      <c r="T15" s="69">
        <v>8.8430822655547097</v>
      </c>
      <c r="U15" s="69">
        <v>74.012493309940496</v>
      </c>
      <c r="V15" s="69">
        <v>344.480441989074</v>
      </c>
      <c r="W15" s="69">
        <v>624.76380537782404</v>
      </c>
      <c r="X15" s="69">
        <v>486.14900158966901</v>
      </c>
      <c r="Y15" s="69">
        <v>290.94582835194001</v>
      </c>
      <c r="Z15" s="69">
        <v>130.04599841588299</v>
      </c>
      <c r="AA15" s="69">
        <v>112.524555944581</v>
      </c>
      <c r="AB15" s="69">
        <v>26.758569846591001</v>
      </c>
      <c r="AC15" s="69">
        <v>46.094743114243897</v>
      </c>
      <c r="AD15" s="69">
        <v>15.6747056774174</v>
      </c>
      <c r="AE15" s="69">
        <v>39.739752896144203</v>
      </c>
      <c r="AF15" s="69">
        <v>1.49700388453283</v>
      </c>
      <c r="AG15" s="69">
        <v>13.136864490467</v>
      </c>
      <c r="AH15" s="69">
        <v>29.576225656406901</v>
      </c>
      <c r="AI15" s="69">
        <v>10.5385271914472</v>
      </c>
      <c r="AJ15" s="69">
        <v>7.4044224915751897</v>
      </c>
      <c r="AK15" s="69">
        <v>2.2863331262856201</v>
      </c>
      <c r="AL15" s="69">
        <v>29.360717177552001</v>
      </c>
      <c r="AM15" s="69">
        <v>18.010806789348699</v>
      </c>
      <c r="AN15" s="69">
        <v>3.1567417806259299</v>
      </c>
      <c r="AO15" s="69">
        <v>16.430870883028099</v>
      </c>
      <c r="AP15" s="69">
        <v>39.034903916700301</v>
      </c>
      <c r="AQ15" s="69">
        <v>316.436967675147</v>
      </c>
      <c r="AR15" s="69">
        <v>5.1186676498946904</v>
      </c>
      <c r="AS15" s="69">
        <v>0.45575243740661903</v>
      </c>
      <c r="AT15" s="69">
        <v>8.1832019799102901E-2</v>
      </c>
      <c r="AU15" s="69">
        <v>4.3745616617029501</v>
      </c>
      <c r="AV15" s="69">
        <v>16.457929707284901</v>
      </c>
      <c r="AW15" s="69">
        <v>1958.40262141427</v>
      </c>
      <c r="AX15" s="69">
        <v>0.26945944251575299</v>
      </c>
      <c r="AY15" s="69">
        <v>0.47373969578658898</v>
      </c>
      <c r="AZ15" s="69">
        <v>3.31922886510602</v>
      </c>
      <c r="BA15" s="69">
        <v>1.5195599436812599</v>
      </c>
      <c r="BB15" s="69">
        <v>6.8059640746256296</v>
      </c>
      <c r="BC15" s="69">
        <v>3.00284844448757</v>
      </c>
      <c r="BD15" s="69">
        <v>4.4722981433928197</v>
      </c>
      <c r="BE15" s="69">
        <v>4.6986269340833102</v>
      </c>
      <c r="BF15" s="69">
        <v>5.1283990975806901</v>
      </c>
      <c r="BG15" s="69">
        <v>5.3483989090367396</v>
      </c>
      <c r="BH15" s="69">
        <v>9.5218707391208692</v>
      </c>
      <c r="BI15" s="69">
        <v>0.85217146758249995</v>
      </c>
      <c r="BJ15" s="69">
        <v>335.962457641014</v>
      </c>
      <c r="BK15" s="69">
        <v>206.14365902131399</v>
      </c>
      <c r="BL15" s="69">
        <v>25.5328068979134</v>
      </c>
      <c r="BM15" s="69">
        <v>448.64722326991699</v>
      </c>
      <c r="BN15" s="69">
        <v>109.13061287250299</v>
      </c>
      <c r="BO15" s="69">
        <v>1.64673151225293</v>
      </c>
      <c r="BP15" s="69">
        <v>37.806290948557901</v>
      </c>
      <c r="BQ15" s="70">
        <v>0</v>
      </c>
      <c r="BR15" s="71">
        <v>15014.801825849399</v>
      </c>
      <c r="BS15" s="72">
        <v>1.04521507425764E-2</v>
      </c>
      <c r="BT15" s="73">
        <v>16.419141946419799</v>
      </c>
      <c r="BU15" s="73">
        <v>0</v>
      </c>
      <c r="BV15" s="73">
        <v>9846.8353738661099</v>
      </c>
      <c r="BW15" s="73">
        <v>40.105721670995997</v>
      </c>
      <c r="BX15" s="74">
        <v>-20.576022701309199</v>
      </c>
      <c r="BY15" s="71">
        <v>9882.7946669329594</v>
      </c>
      <c r="BZ15" s="75">
        <v>24897.596492782301</v>
      </c>
    </row>
    <row r="16" spans="1:78" ht="15" customHeight="1" x14ac:dyDescent="0.3">
      <c r="A16" s="19" t="s">
        <v>34</v>
      </c>
      <c r="B16" s="11" t="s">
        <v>102</v>
      </c>
      <c r="C16" s="68">
        <v>7.1899714671300901</v>
      </c>
      <c r="D16" s="69">
        <v>1.2972351520421701</v>
      </c>
      <c r="E16" s="69">
        <v>5.5943967570355801E-2</v>
      </c>
      <c r="F16" s="69">
        <v>8.9690570461755197</v>
      </c>
      <c r="G16" s="69">
        <v>8.0837067282478792</v>
      </c>
      <c r="H16" s="69">
        <v>9.8592448596930709</v>
      </c>
      <c r="I16" s="69">
        <v>1.4686416315651001</v>
      </c>
      <c r="J16" s="69">
        <v>11.3883904690975</v>
      </c>
      <c r="K16" s="69">
        <v>0.395501257531855</v>
      </c>
      <c r="L16" s="69">
        <v>43.247538870870002</v>
      </c>
      <c r="M16" s="69">
        <v>909.67839735173197</v>
      </c>
      <c r="N16" s="69">
        <v>8.2218487722105396E-2</v>
      </c>
      <c r="O16" s="69">
        <v>0.75383936820602304</v>
      </c>
      <c r="P16" s="69">
        <v>0.245251481908521</v>
      </c>
      <c r="Q16" s="69">
        <v>0.51435470043491704</v>
      </c>
      <c r="R16" s="69">
        <v>4.5618382832401503</v>
      </c>
      <c r="S16" s="69">
        <v>3.4232827792432201</v>
      </c>
      <c r="T16" s="69">
        <v>0.86422132709454602</v>
      </c>
      <c r="U16" s="69">
        <v>2.46434010026399</v>
      </c>
      <c r="V16" s="69">
        <v>1.5597964911551301</v>
      </c>
      <c r="W16" s="69">
        <v>5.5094011766783098</v>
      </c>
      <c r="X16" s="69">
        <v>17.184631905831399</v>
      </c>
      <c r="Y16" s="69">
        <v>4.2258428985583398</v>
      </c>
      <c r="Z16" s="69">
        <v>4.0931599435573602</v>
      </c>
      <c r="AA16" s="69">
        <v>6.3867850695964901</v>
      </c>
      <c r="AB16" s="69">
        <v>2.3434124314859099</v>
      </c>
      <c r="AC16" s="69">
        <v>2.7696271585800099</v>
      </c>
      <c r="AD16" s="69">
        <v>0.564997446884832</v>
      </c>
      <c r="AE16" s="69">
        <v>6.95006014892002</v>
      </c>
      <c r="AF16" s="69">
        <v>0.76096062674270104</v>
      </c>
      <c r="AG16" s="69">
        <v>2.4489884851473098</v>
      </c>
      <c r="AH16" s="69">
        <v>27.2495728402072</v>
      </c>
      <c r="AI16" s="69">
        <v>4.1989074583438599</v>
      </c>
      <c r="AJ16" s="69">
        <v>1.20172514189132</v>
      </c>
      <c r="AK16" s="69">
        <v>1.1228153878573499</v>
      </c>
      <c r="AL16" s="69">
        <v>3.0592673259817902</v>
      </c>
      <c r="AM16" s="69">
        <v>12.290607445711499</v>
      </c>
      <c r="AN16" s="69">
        <v>1.3598789376375999</v>
      </c>
      <c r="AO16" s="69">
        <v>1.2305754576425101</v>
      </c>
      <c r="AP16" s="69">
        <v>10.994313936895001</v>
      </c>
      <c r="AQ16" s="69">
        <v>18.966954992197898</v>
      </c>
      <c r="AR16" s="69">
        <v>0.86935079674324001</v>
      </c>
      <c r="AS16" s="69">
        <v>0.19337345022800401</v>
      </c>
      <c r="AT16" s="69">
        <v>2.30158258072739</v>
      </c>
      <c r="AU16" s="69">
        <v>0.99305760736851201</v>
      </c>
      <c r="AV16" s="69">
        <v>96.235100937413804</v>
      </c>
      <c r="AW16" s="69">
        <v>6718.7591105729598</v>
      </c>
      <c r="AX16" s="69">
        <v>6.95900983714898E-2</v>
      </c>
      <c r="AY16" s="69">
        <v>0.172976267569424</v>
      </c>
      <c r="AZ16" s="69">
        <v>0.75488027410223202</v>
      </c>
      <c r="BA16" s="69">
        <v>1.1267472428613901</v>
      </c>
      <c r="BB16" s="69">
        <v>0.90414300116013901</v>
      </c>
      <c r="BC16" s="69">
        <v>2.3874862939225499</v>
      </c>
      <c r="BD16" s="69">
        <v>2.5821575429688801</v>
      </c>
      <c r="BE16" s="69">
        <v>0.97465183438471603</v>
      </c>
      <c r="BF16" s="69">
        <v>0.94018240668353303</v>
      </c>
      <c r="BG16" s="69">
        <v>1.9102329629018699</v>
      </c>
      <c r="BH16" s="69">
        <v>3.9299899793910602</v>
      </c>
      <c r="BI16" s="69">
        <v>0.108882719334516</v>
      </c>
      <c r="BJ16" s="69">
        <v>8.4966926190044791</v>
      </c>
      <c r="BK16" s="69">
        <v>3.5807512872181699</v>
      </c>
      <c r="BL16" s="69">
        <v>1.11823845204439</v>
      </c>
      <c r="BM16" s="69">
        <v>7.9983470975848796</v>
      </c>
      <c r="BN16" s="69">
        <v>2.8119903845072698</v>
      </c>
      <c r="BO16" s="69">
        <v>9.8318860862264295</v>
      </c>
      <c r="BP16" s="69">
        <v>1.29341905733022</v>
      </c>
      <c r="BQ16" s="70">
        <v>0</v>
      </c>
      <c r="BR16" s="71">
        <v>8021.3600795902803</v>
      </c>
      <c r="BS16" s="72">
        <v>0</v>
      </c>
      <c r="BT16" s="73">
        <v>4.6757391262674697E-2</v>
      </c>
      <c r="BU16" s="73">
        <v>0</v>
      </c>
      <c r="BV16" s="73">
        <v>3705.8908434711102</v>
      </c>
      <c r="BW16" s="73">
        <v>43.379915697995798</v>
      </c>
      <c r="BX16" s="74">
        <v>274.37486627949897</v>
      </c>
      <c r="BY16" s="71">
        <v>4023.6923828398699</v>
      </c>
      <c r="BZ16" s="75">
        <v>12045.0524624301</v>
      </c>
    </row>
    <row r="17" spans="1:78" ht="15" customHeight="1" x14ac:dyDescent="0.3">
      <c r="A17" s="19" t="s">
        <v>35</v>
      </c>
      <c r="B17" s="11" t="s">
        <v>103</v>
      </c>
      <c r="C17" s="68">
        <v>1.22558767358417</v>
      </c>
      <c r="D17" s="69">
        <v>0.12477652539466901</v>
      </c>
      <c r="E17" s="69">
        <v>8.8260070839752593E-3</v>
      </c>
      <c r="F17" s="69">
        <v>5.5626286245713903E-3</v>
      </c>
      <c r="G17" s="69">
        <v>0.62645392901436203</v>
      </c>
      <c r="H17" s="69">
        <v>0.68363708334483797</v>
      </c>
      <c r="I17" s="69">
        <v>7.1714577745220096E-2</v>
      </c>
      <c r="J17" s="69">
        <v>8.2064128918736406E-2</v>
      </c>
      <c r="K17" s="69">
        <v>9.3668505125025208E-3</v>
      </c>
      <c r="L17" s="69">
        <v>5.7484972110515203E-2</v>
      </c>
      <c r="M17" s="69">
        <v>5.8629088803670796E-3</v>
      </c>
      <c r="N17" s="69">
        <v>110.209764917757</v>
      </c>
      <c r="O17" s="69">
        <v>9.5473570957513004E-3</v>
      </c>
      <c r="P17" s="69">
        <v>8.5161968706054195E-3</v>
      </c>
      <c r="Q17" s="69">
        <v>8.1171944095649803E-3</v>
      </c>
      <c r="R17" s="69">
        <v>6.4913481783539298E-2</v>
      </c>
      <c r="S17" s="69">
        <v>0.41364281309345302</v>
      </c>
      <c r="T17" s="69">
        <v>4.4886059340229698E-2</v>
      </c>
      <c r="U17" s="69">
        <v>1.1466291851883E-2</v>
      </c>
      <c r="V17" s="69">
        <v>9.1740935895809703E-3</v>
      </c>
      <c r="W17" s="69">
        <v>5.1689495932878297E-2</v>
      </c>
      <c r="X17" s="69">
        <v>1.1796283402304601E-2</v>
      </c>
      <c r="Y17" s="69">
        <v>7.5975250390188003E-3</v>
      </c>
      <c r="Z17" s="69">
        <v>1.52420510657544E-2</v>
      </c>
      <c r="AA17" s="69">
        <v>9.3731438111244805E-2</v>
      </c>
      <c r="AB17" s="69">
        <v>3.55108250314543E-2</v>
      </c>
      <c r="AC17" s="69">
        <v>1.19361498145948E-2</v>
      </c>
      <c r="AD17" s="69">
        <v>4.7216350243288402E-3</v>
      </c>
      <c r="AE17" s="69">
        <v>2.8766289063013199E-2</v>
      </c>
      <c r="AF17" s="69">
        <v>2.0334039884286899E-2</v>
      </c>
      <c r="AG17" s="69">
        <v>5.6817139744792501E-2</v>
      </c>
      <c r="AH17" s="69">
        <v>2.3677592740210298</v>
      </c>
      <c r="AI17" s="69">
        <v>0.11726625559977701</v>
      </c>
      <c r="AJ17" s="69">
        <v>1.1877746543213E-2</v>
      </c>
      <c r="AK17" s="69">
        <v>3.6757267067003302E-2</v>
      </c>
      <c r="AL17" s="69">
        <v>2.8840234273939801E-2</v>
      </c>
      <c r="AM17" s="69">
        <v>0.95066711402170401</v>
      </c>
      <c r="AN17" s="69">
        <v>3.52660531688585E-3</v>
      </c>
      <c r="AO17" s="69">
        <v>1.0243871833244799E-2</v>
      </c>
      <c r="AP17" s="69">
        <v>0.19540985750482001</v>
      </c>
      <c r="AQ17" s="69">
        <v>0.27591279269944802</v>
      </c>
      <c r="AR17" s="69">
        <v>1.0992875492561701E-2</v>
      </c>
      <c r="AS17" s="69">
        <v>1.9839489675709199E-2</v>
      </c>
      <c r="AT17" s="69">
        <v>6.4655375701858902E-5</v>
      </c>
      <c r="AU17" s="69">
        <v>2.6112837265361101E-2</v>
      </c>
      <c r="AV17" s="69">
        <v>2.4876596365267E-3</v>
      </c>
      <c r="AW17" s="69">
        <v>2.6392210093026499E-2</v>
      </c>
      <c r="AX17" s="69">
        <v>3.2788288506024402E-2</v>
      </c>
      <c r="AY17" s="69">
        <v>9.0444289213057697E-3</v>
      </c>
      <c r="AZ17" s="69">
        <v>2.2275728255409001E-2</v>
      </c>
      <c r="BA17" s="69">
        <v>4.0895823490521899E-2</v>
      </c>
      <c r="BB17" s="69">
        <v>5.1894077695231002E-2</v>
      </c>
      <c r="BC17" s="69">
        <v>2.31015996736719E-2</v>
      </c>
      <c r="BD17" s="69">
        <v>5.8958762744883E-2</v>
      </c>
      <c r="BE17" s="69">
        <v>2.0526126803841398E-2</v>
      </c>
      <c r="BF17" s="69">
        <v>2.42033341543774E-2</v>
      </c>
      <c r="BG17" s="69">
        <v>3.17627065246169E-2</v>
      </c>
      <c r="BH17" s="69">
        <v>0.15013084759720799</v>
      </c>
      <c r="BI17" s="69">
        <v>1.2915862322023599E-3</v>
      </c>
      <c r="BJ17" s="69">
        <v>2.5030109073393599E-2</v>
      </c>
      <c r="BK17" s="69">
        <v>1.8292843303522599E-2</v>
      </c>
      <c r="BL17" s="69">
        <v>2.2621281235813001E-2</v>
      </c>
      <c r="BM17" s="69">
        <v>1.0458769722335601E-2</v>
      </c>
      <c r="BN17" s="69">
        <v>3.1360110448601403E-2</v>
      </c>
      <c r="BO17" s="69">
        <v>3.2452459424746199E-3</v>
      </c>
      <c r="BP17" s="69">
        <v>1.90403145103397E-2</v>
      </c>
      <c r="BQ17" s="70">
        <v>0</v>
      </c>
      <c r="BR17" s="71">
        <v>118.700581294375</v>
      </c>
      <c r="BS17" s="72">
        <v>0</v>
      </c>
      <c r="BT17" s="73">
        <v>0</v>
      </c>
      <c r="BU17" s="73">
        <v>0</v>
      </c>
      <c r="BV17" s="73">
        <v>11106.876368965201</v>
      </c>
      <c r="BW17" s="73">
        <v>4.0709915209284597</v>
      </c>
      <c r="BX17" s="74">
        <v>-6.1127209768721702</v>
      </c>
      <c r="BY17" s="71">
        <v>11104.834639509299</v>
      </c>
      <c r="BZ17" s="75">
        <v>11223.5352208037</v>
      </c>
    </row>
    <row r="18" spans="1:78" ht="15" customHeight="1" x14ac:dyDescent="0.3">
      <c r="A18" s="19" t="s">
        <v>36</v>
      </c>
      <c r="B18" s="11" t="s">
        <v>104</v>
      </c>
      <c r="C18" s="68">
        <v>419.07998495609701</v>
      </c>
      <c r="D18" s="69">
        <v>11.0282693323083</v>
      </c>
      <c r="E18" s="69">
        <v>7.6111781689470498E-2</v>
      </c>
      <c r="F18" s="69">
        <v>96.665637119810597</v>
      </c>
      <c r="G18" s="69">
        <v>78.688303615839104</v>
      </c>
      <c r="H18" s="69">
        <v>4.5591899103847098</v>
      </c>
      <c r="I18" s="69">
        <v>3.6130880658090598</v>
      </c>
      <c r="J18" s="69">
        <v>1.53732833524972</v>
      </c>
      <c r="K18" s="69">
        <v>99.458796879482804</v>
      </c>
      <c r="L18" s="69">
        <v>120.082233581034</v>
      </c>
      <c r="M18" s="69">
        <v>1.47826602065472</v>
      </c>
      <c r="N18" s="69">
        <v>0.14310614218291301</v>
      </c>
      <c r="O18" s="69">
        <v>3908.0468076184602</v>
      </c>
      <c r="P18" s="69">
        <v>4696.7509717200701</v>
      </c>
      <c r="Q18" s="69">
        <v>1062.6519791569101</v>
      </c>
      <c r="R18" s="69">
        <v>5.8647390583324297</v>
      </c>
      <c r="S18" s="69">
        <v>94.603452451943795</v>
      </c>
      <c r="T18" s="69">
        <v>0.77814779922245503</v>
      </c>
      <c r="U18" s="69">
        <v>0.155711751094708</v>
      </c>
      <c r="V18" s="69">
        <v>0.102113468323797</v>
      </c>
      <c r="W18" s="69">
        <v>16.092864849665201</v>
      </c>
      <c r="X18" s="69">
        <v>30.389997642699399</v>
      </c>
      <c r="Y18" s="69">
        <v>4.5994414215587103</v>
      </c>
      <c r="Z18" s="69">
        <v>41.9252188491716</v>
      </c>
      <c r="AA18" s="69">
        <v>447.84073189800102</v>
      </c>
      <c r="AB18" s="69">
        <v>25.730400464549401</v>
      </c>
      <c r="AC18" s="69">
        <v>1.9665442396169901</v>
      </c>
      <c r="AD18" s="69">
        <v>6.4808553307040704</v>
      </c>
      <c r="AE18" s="69">
        <v>22.257721901421299</v>
      </c>
      <c r="AF18" s="69">
        <v>6.4377541420078197</v>
      </c>
      <c r="AG18" s="69">
        <v>32.720676501734197</v>
      </c>
      <c r="AH18" s="69">
        <v>23.1024618650893</v>
      </c>
      <c r="AI18" s="69">
        <v>23.450103612396301</v>
      </c>
      <c r="AJ18" s="69">
        <v>482.81923288054202</v>
      </c>
      <c r="AK18" s="69">
        <v>25.647148474485299</v>
      </c>
      <c r="AL18" s="69">
        <v>600.23984167326103</v>
      </c>
      <c r="AM18" s="69">
        <v>8.4494673605092405</v>
      </c>
      <c r="AN18" s="69">
        <v>13.300593443526401</v>
      </c>
      <c r="AO18" s="69">
        <v>8.2179271589532998</v>
      </c>
      <c r="AP18" s="69">
        <v>248.355208967408</v>
      </c>
      <c r="AQ18" s="69">
        <v>72.371195264513702</v>
      </c>
      <c r="AR18" s="69">
        <v>34.139300856024803</v>
      </c>
      <c r="AS18" s="69">
        <v>10.883249570938901</v>
      </c>
      <c r="AT18" s="69">
        <v>0.42955283224590801</v>
      </c>
      <c r="AU18" s="69">
        <v>0.94756220821382597</v>
      </c>
      <c r="AV18" s="69">
        <v>13.175395516354699</v>
      </c>
      <c r="AW18" s="69">
        <v>5.1843199135643001</v>
      </c>
      <c r="AX18" s="69">
        <v>7.3236555396978903E-2</v>
      </c>
      <c r="AY18" s="69">
        <v>1.3826647825063401</v>
      </c>
      <c r="AZ18" s="69">
        <v>0.97854081905894996</v>
      </c>
      <c r="BA18" s="69">
        <v>0.71490927645580804</v>
      </c>
      <c r="BB18" s="69">
        <v>0.59305543587165199</v>
      </c>
      <c r="BC18" s="69">
        <v>1.61600346614778</v>
      </c>
      <c r="BD18" s="69">
        <v>2.3479048096718298</v>
      </c>
      <c r="BE18" s="69">
        <v>2.2865435094983799</v>
      </c>
      <c r="BF18" s="69">
        <v>1.21627405725523</v>
      </c>
      <c r="BG18" s="69">
        <v>2.3640132052705698</v>
      </c>
      <c r="BH18" s="69">
        <v>2.8374486001985999</v>
      </c>
      <c r="BI18" s="69">
        <v>0.116705142011531</v>
      </c>
      <c r="BJ18" s="69">
        <v>8.2891096773593809</v>
      </c>
      <c r="BK18" s="69">
        <v>6.8673709780182</v>
      </c>
      <c r="BL18" s="69">
        <v>0.35846716376047499</v>
      </c>
      <c r="BM18" s="69">
        <v>17.732543792545599</v>
      </c>
      <c r="BN18" s="69">
        <v>24.042512175083299</v>
      </c>
      <c r="BO18" s="69">
        <v>0.56987524738687301</v>
      </c>
      <c r="BP18" s="69">
        <v>112.48073542362199</v>
      </c>
      <c r="BQ18" s="70">
        <v>0</v>
      </c>
      <c r="BR18" s="71">
        <v>12999.3869217212</v>
      </c>
      <c r="BS18" s="72">
        <v>0</v>
      </c>
      <c r="BT18" s="73">
        <v>0.41422572259445301</v>
      </c>
      <c r="BU18" s="73">
        <v>0</v>
      </c>
      <c r="BV18" s="73">
        <v>5036.8634227539296</v>
      </c>
      <c r="BW18" s="73">
        <v>54.3744509394689</v>
      </c>
      <c r="BX18" s="74">
        <v>1591.07524807863</v>
      </c>
      <c r="BY18" s="71">
        <v>6682.7273474946296</v>
      </c>
      <c r="BZ18" s="75">
        <v>19682.114269215799</v>
      </c>
    </row>
    <row r="19" spans="1:78" ht="15" customHeight="1" x14ac:dyDescent="0.3">
      <c r="A19" s="19" t="s">
        <v>37</v>
      </c>
      <c r="B19" s="11" t="s">
        <v>105</v>
      </c>
      <c r="C19" s="68">
        <v>4.8335429740329801</v>
      </c>
      <c r="D19" s="69">
        <v>7.1111155365609899E-2</v>
      </c>
      <c r="E19" s="69">
        <v>1.8232670479760099E-2</v>
      </c>
      <c r="F19" s="69">
        <v>1.44488376831502</v>
      </c>
      <c r="G19" s="69">
        <v>5.2476766449150096</v>
      </c>
      <c r="H19" s="69">
        <v>1.95720908294434</v>
      </c>
      <c r="I19" s="69">
        <v>0.21032357758539</v>
      </c>
      <c r="J19" s="69">
        <v>0.216130459273945</v>
      </c>
      <c r="K19" s="69">
        <v>1.1074444219536399</v>
      </c>
      <c r="L19" s="69">
        <v>1.7463262971568401</v>
      </c>
      <c r="M19" s="69">
        <v>4.3199639560350903E-2</v>
      </c>
      <c r="N19" s="69">
        <v>1.4906108589852E-2</v>
      </c>
      <c r="O19" s="69">
        <v>37.426481233526502</v>
      </c>
      <c r="P19" s="69">
        <v>158.954868591653</v>
      </c>
      <c r="Q19" s="69">
        <v>24.2662924101889</v>
      </c>
      <c r="R19" s="69">
        <v>9.1614989592690294E-2</v>
      </c>
      <c r="S19" s="69">
        <v>1.0783888605695899</v>
      </c>
      <c r="T19" s="69">
        <v>5.9012498097380101E-2</v>
      </c>
      <c r="U19" s="69">
        <v>4.4055393818234999E-2</v>
      </c>
      <c r="V19" s="69">
        <v>2.17418597941046E-2</v>
      </c>
      <c r="W19" s="69">
        <v>0.338520128051567</v>
      </c>
      <c r="X19" s="69">
        <v>0.31552810634935002</v>
      </c>
      <c r="Y19" s="69">
        <v>2.64145641038161E-2</v>
      </c>
      <c r="Z19" s="69">
        <v>0.40052198376660397</v>
      </c>
      <c r="AA19" s="69">
        <v>3.0954509124431202</v>
      </c>
      <c r="AB19" s="69">
        <v>0.48120468778513198</v>
      </c>
      <c r="AC19" s="69">
        <v>9.2107137784717102E-2</v>
      </c>
      <c r="AD19" s="69">
        <v>1.3427430782083701E-2</v>
      </c>
      <c r="AE19" s="69">
        <v>2.1059562141408499</v>
      </c>
      <c r="AF19" s="69">
        <v>0.128383778940136</v>
      </c>
      <c r="AG19" s="69">
        <v>0.26750241433858002</v>
      </c>
      <c r="AH19" s="69">
        <v>6.9865989758025</v>
      </c>
      <c r="AI19" s="69">
        <v>1.3915201787568701</v>
      </c>
      <c r="AJ19" s="69">
        <v>14.676013000727901</v>
      </c>
      <c r="AK19" s="69">
        <v>0.53281802735317796</v>
      </c>
      <c r="AL19" s="69">
        <v>14.6594829386557</v>
      </c>
      <c r="AM19" s="69">
        <v>2.5862177542242701</v>
      </c>
      <c r="AN19" s="69">
        <v>1.24174675872963</v>
      </c>
      <c r="AO19" s="69">
        <v>4.8899885130963598</v>
      </c>
      <c r="AP19" s="69">
        <v>3.00129268812737</v>
      </c>
      <c r="AQ19" s="69">
        <v>7.8057383856313303</v>
      </c>
      <c r="AR19" s="69">
        <v>10.3162040448399</v>
      </c>
      <c r="AS19" s="69">
        <v>0.34285228067715601</v>
      </c>
      <c r="AT19" s="69">
        <v>3.8462139061124798</v>
      </c>
      <c r="AU19" s="69">
        <v>3.6478864691167501</v>
      </c>
      <c r="AV19" s="69">
        <v>2.3761247947172399</v>
      </c>
      <c r="AW19" s="69">
        <v>4.6627352803636199</v>
      </c>
      <c r="AX19" s="69">
        <v>3.2274274328130403E-2</v>
      </c>
      <c r="AY19" s="69">
        <v>3.4173719593490199</v>
      </c>
      <c r="AZ19" s="69">
        <v>1.12296357728242</v>
      </c>
      <c r="BA19" s="69">
        <v>0.32214113694952901</v>
      </c>
      <c r="BB19" s="69">
        <v>9.2139244165452094</v>
      </c>
      <c r="BC19" s="69">
        <v>1.88974026051613</v>
      </c>
      <c r="BD19" s="69">
        <v>0.70036004374154004</v>
      </c>
      <c r="BE19" s="69">
        <v>5.9649313456800002</v>
      </c>
      <c r="BF19" s="69">
        <v>3.2518483591460998</v>
      </c>
      <c r="BG19" s="69">
        <v>1.2495304256191799</v>
      </c>
      <c r="BH19" s="69">
        <v>7.0859622370573998</v>
      </c>
      <c r="BI19" s="69">
        <v>4.7188857367555697</v>
      </c>
      <c r="BJ19" s="69">
        <v>0.21618235657481799</v>
      </c>
      <c r="BK19" s="69">
        <v>12.048862192882201</v>
      </c>
      <c r="BL19" s="69">
        <v>0.124112645099672</v>
      </c>
      <c r="BM19" s="69">
        <v>9.3430342674872797</v>
      </c>
      <c r="BN19" s="69">
        <v>18.9780346954288</v>
      </c>
      <c r="BO19" s="69">
        <v>4.20062377294808</v>
      </c>
      <c r="BP19" s="69">
        <v>35.1368983774436</v>
      </c>
      <c r="BQ19" s="70">
        <v>0</v>
      </c>
      <c r="BR19" s="71">
        <v>448.09957607366601</v>
      </c>
      <c r="BS19" s="72">
        <v>0</v>
      </c>
      <c r="BT19" s="73">
        <v>2.7714871412620701</v>
      </c>
      <c r="BU19" s="73">
        <v>0</v>
      </c>
      <c r="BV19" s="73">
        <v>9864.1757437655306</v>
      </c>
      <c r="BW19" s="73">
        <v>23.657093117374799</v>
      </c>
      <c r="BX19" s="74">
        <v>-335.20302462903697</v>
      </c>
      <c r="BY19" s="71">
        <v>9555.4012993951292</v>
      </c>
      <c r="BZ19" s="75">
        <v>10003.500875468801</v>
      </c>
    </row>
    <row r="20" spans="1:78" ht="15" customHeight="1" x14ac:dyDescent="0.3">
      <c r="A20" s="19" t="s">
        <v>38</v>
      </c>
      <c r="B20" s="11" t="s">
        <v>106</v>
      </c>
      <c r="C20" s="68">
        <v>0.61491976262989101</v>
      </c>
      <c r="D20" s="69">
        <v>0.46253110149759702</v>
      </c>
      <c r="E20" s="69">
        <v>1.20073150787889E-2</v>
      </c>
      <c r="F20" s="69">
        <v>0.74339388859692901</v>
      </c>
      <c r="G20" s="69">
        <v>0.96598909554517498</v>
      </c>
      <c r="H20" s="69">
        <v>1.12579948887338</v>
      </c>
      <c r="I20" s="69">
        <v>0.12651886223912401</v>
      </c>
      <c r="J20" s="69">
        <v>1.66868756664752</v>
      </c>
      <c r="K20" s="69">
        <v>0.18561762727304901</v>
      </c>
      <c r="L20" s="69">
        <v>2.3232546446423901</v>
      </c>
      <c r="M20" s="69">
        <v>0.30210054548611698</v>
      </c>
      <c r="N20" s="69">
        <v>8.9248361316713695E-2</v>
      </c>
      <c r="O20" s="69">
        <v>4.2619088773959097</v>
      </c>
      <c r="P20" s="69">
        <v>0.87649303476926999</v>
      </c>
      <c r="Q20" s="69">
        <v>342.23646509669499</v>
      </c>
      <c r="R20" s="69">
        <v>0.63729774193608202</v>
      </c>
      <c r="S20" s="69">
        <v>36.614742961787599</v>
      </c>
      <c r="T20" s="69">
        <v>0.245915182783951</v>
      </c>
      <c r="U20" s="69">
        <v>0.155747438735686</v>
      </c>
      <c r="V20" s="69">
        <v>0.30552908952221802</v>
      </c>
      <c r="W20" s="69">
        <v>1.44196885615521</v>
      </c>
      <c r="X20" s="69">
        <v>1.65117956214207</v>
      </c>
      <c r="Y20" s="69">
        <v>1.2099188197785899</v>
      </c>
      <c r="Z20" s="69">
        <v>0.35755536511716801</v>
      </c>
      <c r="AA20" s="69">
        <v>12.585617043486099</v>
      </c>
      <c r="AB20" s="69">
        <v>1.35036675345103</v>
      </c>
      <c r="AC20" s="69">
        <v>0.37440221570855398</v>
      </c>
      <c r="AD20" s="69">
        <v>9.9469826319753304E-2</v>
      </c>
      <c r="AE20" s="69">
        <v>4.9333967855468801</v>
      </c>
      <c r="AF20" s="69">
        <v>0.38547522144024399</v>
      </c>
      <c r="AG20" s="69">
        <v>1.3774887096592601</v>
      </c>
      <c r="AH20" s="69">
        <v>2.6764176955767098</v>
      </c>
      <c r="AI20" s="69">
        <v>32.656014564467</v>
      </c>
      <c r="AJ20" s="69">
        <v>9.9501136542183701</v>
      </c>
      <c r="AK20" s="69">
        <v>0.33966767126833203</v>
      </c>
      <c r="AL20" s="69">
        <v>17.995022323588401</v>
      </c>
      <c r="AM20" s="69">
        <v>1.2545297019305599</v>
      </c>
      <c r="AN20" s="69">
        <v>6.6760229832586102</v>
      </c>
      <c r="AO20" s="69">
        <v>0.21970964353351799</v>
      </c>
      <c r="AP20" s="69">
        <v>7.3757319901106797</v>
      </c>
      <c r="AQ20" s="69">
        <v>14.5125599325988</v>
      </c>
      <c r="AR20" s="69">
        <v>9.8252893200420992</v>
      </c>
      <c r="AS20" s="69">
        <v>5.6261453147592899E-2</v>
      </c>
      <c r="AT20" s="69">
        <v>0.14237626652197499</v>
      </c>
      <c r="AU20" s="69">
        <v>0.10122750363765699</v>
      </c>
      <c r="AV20" s="69">
        <v>4.91008587820978E-2</v>
      </c>
      <c r="AW20" s="69">
        <v>0.68304812196704301</v>
      </c>
      <c r="AX20" s="69">
        <v>1.07029624511038E-2</v>
      </c>
      <c r="AY20" s="69">
        <v>2.2939344882428301E-2</v>
      </c>
      <c r="AZ20" s="69">
        <v>3.4846411928573101E-2</v>
      </c>
      <c r="BA20" s="69">
        <v>2.43893046073276</v>
      </c>
      <c r="BB20" s="69">
        <v>8.4197395199059402E-2</v>
      </c>
      <c r="BC20" s="69">
        <v>9.1220310795407503E-2</v>
      </c>
      <c r="BD20" s="69">
        <v>0.166674552640075</v>
      </c>
      <c r="BE20" s="69">
        <v>0.123824541996336</v>
      </c>
      <c r="BF20" s="69">
        <v>0.125313677110205</v>
      </c>
      <c r="BG20" s="69">
        <v>0.38024458617707302</v>
      </c>
      <c r="BH20" s="69">
        <v>0.31891439771247199</v>
      </c>
      <c r="BI20" s="69">
        <v>8.7426398254673696</v>
      </c>
      <c r="BJ20" s="69">
        <v>7.4251873368861201</v>
      </c>
      <c r="BK20" s="69">
        <v>0.44440951796755501</v>
      </c>
      <c r="BL20" s="69">
        <v>2.0774500541451298E-2</v>
      </c>
      <c r="BM20" s="69">
        <v>1.58918911492096</v>
      </c>
      <c r="BN20" s="69">
        <v>2.2671289456967498</v>
      </c>
      <c r="BO20" s="69">
        <v>5.1915764829110603E-2</v>
      </c>
      <c r="BP20" s="69">
        <v>0.346803831480547</v>
      </c>
      <c r="BQ20" s="70">
        <v>0</v>
      </c>
      <c r="BR20" s="71">
        <v>548.91995800632196</v>
      </c>
      <c r="BS20" s="72">
        <v>0</v>
      </c>
      <c r="BT20" s="73">
        <v>7.8306402643098707E-3</v>
      </c>
      <c r="BU20" s="73">
        <v>0</v>
      </c>
      <c r="BV20" s="73">
        <v>3860.39779680519</v>
      </c>
      <c r="BW20" s="73">
        <v>4.1627051208038797</v>
      </c>
      <c r="BX20" s="74">
        <v>-101.14774866237499</v>
      </c>
      <c r="BY20" s="71">
        <v>3763.42058390388</v>
      </c>
      <c r="BZ20" s="75">
        <v>4312.3405419102</v>
      </c>
    </row>
    <row r="21" spans="1:78" ht="15" customHeight="1" x14ac:dyDescent="0.3">
      <c r="A21" s="19" t="s">
        <v>39</v>
      </c>
      <c r="B21" s="11" t="s">
        <v>107</v>
      </c>
      <c r="C21" s="68">
        <v>4.21919196279313</v>
      </c>
      <c r="D21" s="69">
        <v>16.721548028453999</v>
      </c>
      <c r="E21" s="69">
        <v>1.71143396759129</v>
      </c>
      <c r="F21" s="69">
        <v>4.13976836498764E-2</v>
      </c>
      <c r="G21" s="69">
        <v>2.4135720283169202</v>
      </c>
      <c r="H21" s="69">
        <v>1.6190462843279601</v>
      </c>
      <c r="I21" s="69">
        <v>0.198194446203414</v>
      </c>
      <c r="J21" s="69">
        <v>0.568409908346165</v>
      </c>
      <c r="K21" s="69">
        <v>0.10650329760838501</v>
      </c>
      <c r="L21" s="69">
        <v>2.4049571512783099</v>
      </c>
      <c r="M21" s="69">
        <v>3.7936058573715998</v>
      </c>
      <c r="N21" s="69">
        <v>1.3141446214527E-2</v>
      </c>
      <c r="O21" s="69">
        <v>6.3371045342829196E-2</v>
      </c>
      <c r="P21" s="69">
        <v>0.19450330070088501</v>
      </c>
      <c r="Q21" s="69">
        <v>8.1270841817741399E-2</v>
      </c>
      <c r="R21" s="69">
        <v>146.54479860765599</v>
      </c>
      <c r="S21" s="69">
        <v>27.7677191665923</v>
      </c>
      <c r="T21" s="69">
        <v>6.7957751595940294E-2</v>
      </c>
      <c r="U21" s="69">
        <v>0.10900291271402</v>
      </c>
      <c r="V21" s="69">
        <v>0.115664854926029</v>
      </c>
      <c r="W21" s="69">
        <v>0.25064139603014901</v>
      </c>
      <c r="X21" s="69">
        <v>0.14662656534180701</v>
      </c>
      <c r="Y21" s="69">
        <v>0.108813612757634</v>
      </c>
      <c r="Z21" s="69">
        <v>8.8883383694434895E-2</v>
      </c>
      <c r="AA21" s="69">
        <v>1.4857722154336499</v>
      </c>
      <c r="AB21" s="69">
        <v>0.35396616177552298</v>
      </c>
      <c r="AC21" s="69">
        <v>0.91097501070086895</v>
      </c>
      <c r="AD21" s="69">
        <v>0.142818858376656</v>
      </c>
      <c r="AE21" s="69">
        <v>11.040103875527301</v>
      </c>
      <c r="AF21" s="69">
        <v>0.30698207153832302</v>
      </c>
      <c r="AG21" s="69">
        <v>0.91333717915181301</v>
      </c>
      <c r="AH21" s="69">
        <v>13.693693100949201</v>
      </c>
      <c r="AI21" s="69">
        <v>3.6755866240591</v>
      </c>
      <c r="AJ21" s="69">
        <v>1.57284142272198</v>
      </c>
      <c r="AK21" s="69">
        <v>3.1877012797341</v>
      </c>
      <c r="AL21" s="69">
        <v>182.617937464086</v>
      </c>
      <c r="AM21" s="69">
        <v>2.6125561506275998</v>
      </c>
      <c r="AN21" s="69">
        <v>9.7685573548565294</v>
      </c>
      <c r="AO21" s="69">
        <v>0.19253470510470699</v>
      </c>
      <c r="AP21" s="69">
        <v>190.777044829998</v>
      </c>
      <c r="AQ21" s="69">
        <v>59.203416727152103</v>
      </c>
      <c r="AR21" s="69">
        <v>0.57554778960392505</v>
      </c>
      <c r="AS21" s="69">
        <v>5.3768473007335699E-2</v>
      </c>
      <c r="AT21" s="69">
        <v>1.09234330038526E-2</v>
      </c>
      <c r="AU21" s="69">
        <v>0.66394241175992996</v>
      </c>
      <c r="AV21" s="69">
        <v>0.21056736874605</v>
      </c>
      <c r="AW21" s="69">
        <v>3.7099082245904502</v>
      </c>
      <c r="AX21" s="69">
        <v>2.3181973508598502E-2</v>
      </c>
      <c r="AY21" s="69">
        <v>4.1972011540040999</v>
      </c>
      <c r="AZ21" s="69">
        <v>0.281779913476358</v>
      </c>
      <c r="BA21" s="69">
        <v>0.84583867207776697</v>
      </c>
      <c r="BB21" s="69">
        <v>8.9681056047222305E-2</v>
      </c>
      <c r="BC21" s="69">
        <v>10.6215796217946</v>
      </c>
      <c r="BD21" s="69">
        <v>1.9954266980670201</v>
      </c>
      <c r="BE21" s="69">
        <v>0.72436887422581198</v>
      </c>
      <c r="BF21" s="69">
        <v>0.67316062515212505</v>
      </c>
      <c r="BG21" s="69">
        <v>1.5487555762834999</v>
      </c>
      <c r="BH21" s="69">
        <v>7.0756063734658499</v>
      </c>
      <c r="BI21" s="69">
        <v>6.1269718979728299E-2</v>
      </c>
      <c r="BJ21" s="69">
        <v>0.46699723198206999</v>
      </c>
      <c r="BK21" s="69">
        <v>0.20593532490870001</v>
      </c>
      <c r="BL21" s="69">
        <v>0.58117144502346696</v>
      </c>
      <c r="BM21" s="69">
        <v>0.53766230118686698</v>
      </c>
      <c r="BN21" s="69">
        <v>1.64027937878559</v>
      </c>
      <c r="BO21" s="69">
        <v>0.46387606877217902</v>
      </c>
      <c r="BP21" s="69">
        <v>16.041207556602799</v>
      </c>
      <c r="BQ21" s="70">
        <v>0</v>
      </c>
      <c r="BR21" s="71">
        <v>745.10571779817496</v>
      </c>
      <c r="BS21" s="72">
        <v>0</v>
      </c>
      <c r="BT21" s="73">
        <v>4.6724113855934398E-4</v>
      </c>
      <c r="BU21" s="73">
        <v>0</v>
      </c>
      <c r="BV21" s="73">
        <v>135.88562730839701</v>
      </c>
      <c r="BW21" s="73">
        <v>10.2006714635333</v>
      </c>
      <c r="BX21" s="74">
        <v>36.918354863800602</v>
      </c>
      <c r="BY21" s="71">
        <v>183.00512087687</v>
      </c>
      <c r="BZ21" s="75">
        <v>928.11083867504396</v>
      </c>
    </row>
    <row r="22" spans="1:78" ht="15" customHeight="1" x14ac:dyDescent="0.3">
      <c r="A22" s="19" t="s">
        <v>40</v>
      </c>
      <c r="B22" s="11" t="s">
        <v>108</v>
      </c>
      <c r="C22" s="68">
        <v>16.855739553078202</v>
      </c>
      <c r="D22" s="69">
        <v>5.5376168475048804</v>
      </c>
      <c r="E22" s="69">
        <v>0.14333273346188</v>
      </c>
      <c r="F22" s="69">
        <v>1.1611435680164099</v>
      </c>
      <c r="G22" s="69">
        <v>80.102261874995406</v>
      </c>
      <c r="H22" s="69">
        <v>104.340766768409</v>
      </c>
      <c r="I22" s="69">
        <v>11.2222799693763</v>
      </c>
      <c r="J22" s="69">
        <v>102.26298858631201</v>
      </c>
      <c r="K22" s="69">
        <v>2.1141255027129899</v>
      </c>
      <c r="L22" s="69">
        <v>100.297019821733</v>
      </c>
      <c r="M22" s="69">
        <v>19.020272070595698</v>
      </c>
      <c r="N22" s="69">
        <v>51.0144634145678</v>
      </c>
      <c r="O22" s="69">
        <v>22.780284558721199</v>
      </c>
      <c r="P22" s="69">
        <v>15.061548476136601</v>
      </c>
      <c r="Q22" s="69">
        <v>12.5344460929626</v>
      </c>
      <c r="R22" s="69">
        <v>207.69770700450599</v>
      </c>
      <c r="S22" s="69">
        <v>2974.0049386696401</v>
      </c>
      <c r="T22" s="69">
        <v>175.03364176261701</v>
      </c>
      <c r="U22" s="69">
        <v>27.299812344429899</v>
      </c>
      <c r="V22" s="69">
        <v>12.4130383003678</v>
      </c>
      <c r="W22" s="69">
        <v>21.591195703008001</v>
      </c>
      <c r="X22" s="69">
        <v>13.248949394266999</v>
      </c>
      <c r="Y22" s="69">
        <v>33.524898679517598</v>
      </c>
      <c r="Z22" s="69">
        <v>28.570077668993299</v>
      </c>
      <c r="AA22" s="69">
        <v>316.29252089376899</v>
      </c>
      <c r="AB22" s="69">
        <v>107.60945618028499</v>
      </c>
      <c r="AC22" s="69">
        <v>5.6083862564366997</v>
      </c>
      <c r="AD22" s="69">
        <v>5.7607058065733403</v>
      </c>
      <c r="AE22" s="69">
        <v>47.261085947480503</v>
      </c>
      <c r="AF22" s="69">
        <v>70.452941856226204</v>
      </c>
      <c r="AG22" s="69">
        <v>52.307930233172797</v>
      </c>
      <c r="AH22" s="69">
        <v>292.03588586499899</v>
      </c>
      <c r="AI22" s="69">
        <v>62.7325590207804</v>
      </c>
      <c r="AJ22" s="69">
        <v>34.028689797880602</v>
      </c>
      <c r="AK22" s="69">
        <v>7.4904395852549399</v>
      </c>
      <c r="AL22" s="69">
        <v>97.377815244054702</v>
      </c>
      <c r="AM22" s="69">
        <v>114.13854828403601</v>
      </c>
      <c r="AN22" s="69">
        <v>3.2915410791060702</v>
      </c>
      <c r="AO22" s="69">
        <v>8.4958026399134798</v>
      </c>
      <c r="AP22" s="69">
        <v>67.046868244655101</v>
      </c>
      <c r="AQ22" s="69">
        <v>570.76949685846603</v>
      </c>
      <c r="AR22" s="69">
        <v>21.320154333249299</v>
      </c>
      <c r="AS22" s="69">
        <v>3.96370521775252</v>
      </c>
      <c r="AT22" s="69">
        <v>0.15255231785279</v>
      </c>
      <c r="AU22" s="69">
        <v>15.597661888263699</v>
      </c>
      <c r="AV22" s="69">
        <v>5.2265889534987497</v>
      </c>
      <c r="AW22" s="69">
        <v>44.429708602097698</v>
      </c>
      <c r="AX22" s="69">
        <v>120.511857850986</v>
      </c>
      <c r="AY22" s="69">
        <v>22.117365672891701</v>
      </c>
      <c r="AZ22" s="69">
        <v>4.0326633133229004</v>
      </c>
      <c r="BA22" s="69">
        <v>134.019202895826</v>
      </c>
      <c r="BB22" s="69">
        <v>200.12158310903499</v>
      </c>
      <c r="BC22" s="69">
        <v>50.407740095674001</v>
      </c>
      <c r="BD22" s="69">
        <v>176.26862209825001</v>
      </c>
      <c r="BE22" s="69">
        <v>62.553559825428302</v>
      </c>
      <c r="BF22" s="69">
        <v>74.032090791151901</v>
      </c>
      <c r="BG22" s="69">
        <v>89.737032448283202</v>
      </c>
      <c r="BH22" s="69">
        <v>309.23221142799702</v>
      </c>
      <c r="BI22" s="69">
        <v>2.6145364653479102</v>
      </c>
      <c r="BJ22" s="69">
        <v>85.296456727172597</v>
      </c>
      <c r="BK22" s="69">
        <v>71.757579243412593</v>
      </c>
      <c r="BL22" s="69">
        <v>74.732641735666803</v>
      </c>
      <c r="BM22" s="69">
        <v>25.928970390656399</v>
      </c>
      <c r="BN22" s="69">
        <v>114.783782183081</v>
      </c>
      <c r="BO22" s="69">
        <v>2.5447392699736699</v>
      </c>
      <c r="BP22" s="69">
        <v>58.689204804260001</v>
      </c>
      <c r="BQ22" s="70">
        <v>0</v>
      </c>
      <c r="BR22" s="71">
        <v>7670.6054348201496</v>
      </c>
      <c r="BS22" s="72">
        <v>0</v>
      </c>
      <c r="BT22" s="73">
        <v>2.2987633831205199</v>
      </c>
      <c r="BU22" s="73">
        <v>0</v>
      </c>
      <c r="BV22" s="73">
        <v>453.11362039548101</v>
      </c>
      <c r="BW22" s="73">
        <v>481.35057753093503</v>
      </c>
      <c r="BX22" s="74">
        <v>-504.89921870021499</v>
      </c>
      <c r="BY22" s="71">
        <v>431.86374260932098</v>
      </c>
      <c r="BZ22" s="75">
        <v>8102.4691774294697</v>
      </c>
    </row>
    <row r="23" spans="1:78" ht="15" customHeight="1" x14ac:dyDescent="0.3">
      <c r="A23" s="19" t="s">
        <v>41</v>
      </c>
      <c r="B23" s="11" t="s">
        <v>109</v>
      </c>
      <c r="C23" s="68">
        <v>0.41289738711794499</v>
      </c>
      <c r="D23" s="69">
        <v>0.13426833413118899</v>
      </c>
      <c r="E23" s="69">
        <v>4.8800971935344203E-2</v>
      </c>
      <c r="F23" s="69">
        <v>0.43115287405728497</v>
      </c>
      <c r="G23" s="69">
        <v>3.91575735917622</v>
      </c>
      <c r="H23" s="69">
        <v>4.3018399622417096</v>
      </c>
      <c r="I23" s="69">
        <v>0.46531686945745998</v>
      </c>
      <c r="J23" s="69">
        <v>3.4083937773982602</v>
      </c>
      <c r="K23" s="69">
        <v>0.18359353491852501</v>
      </c>
      <c r="L23" s="69">
        <v>4.5865684929367099</v>
      </c>
      <c r="M23" s="69">
        <v>5.7307325785887002</v>
      </c>
      <c r="N23" s="69">
        <v>0.27203628383369</v>
      </c>
      <c r="O23" s="69">
        <v>1.0264476261672699</v>
      </c>
      <c r="P23" s="69">
        <v>3.0294659697000501</v>
      </c>
      <c r="Q23" s="69">
        <v>1.0567841744400499</v>
      </c>
      <c r="R23" s="69">
        <v>1.7280528283083001</v>
      </c>
      <c r="S23" s="69">
        <v>11.3493947864514</v>
      </c>
      <c r="T23" s="69">
        <v>15.481022383526399</v>
      </c>
      <c r="U23" s="69">
        <v>0.35385398181319</v>
      </c>
      <c r="V23" s="69">
        <v>0.21210104059448501</v>
      </c>
      <c r="W23" s="69">
        <v>1.04159936621484</v>
      </c>
      <c r="X23" s="69">
        <v>1.0437263574712701</v>
      </c>
      <c r="Y23" s="69">
        <v>0.74328593322445102</v>
      </c>
      <c r="Z23" s="69">
        <v>0.60781613568068205</v>
      </c>
      <c r="AA23" s="69">
        <v>17.962608650421899</v>
      </c>
      <c r="AB23" s="69">
        <v>3.5662090210759199</v>
      </c>
      <c r="AC23" s="69">
        <v>0.49881604676408198</v>
      </c>
      <c r="AD23" s="69">
        <v>2.1585944981646499E-2</v>
      </c>
      <c r="AE23" s="69">
        <v>1.2495988813980099</v>
      </c>
      <c r="AF23" s="69">
        <v>3.0870031328873102</v>
      </c>
      <c r="AG23" s="69">
        <v>1.95163991671696</v>
      </c>
      <c r="AH23" s="69">
        <v>16.210100951888599</v>
      </c>
      <c r="AI23" s="69">
        <v>3.3307088651762302</v>
      </c>
      <c r="AJ23" s="69">
        <v>2.88317912804462</v>
      </c>
      <c r="AK23" s="69">
        <v>0.43661121111171802</v>
      </c>
      <c r="AL23" s="69">
        <v>4.9244342304473498</v>
      </c>
      <c r="AM23" s="69">
        <v>7.1151598898890196</v>
      </c>
      <c r="AN23" s="69">
        <v>0.305287009490668</v>
      </c>
      <c r="AO23" s="69">
        <v>0.54602365134373299</v>
      </c>
      <c r="AP23" s="69">
        <v>13.663023884417001</v>
      </c>
      <c r="AQ23" s="69">
        <v>124.738178757414</v>
      </c>
      <c r="AR23" s="69">
        <v>1.29032790071184</v>
      </c>
      <c r="AS23" s="69">
        <v>0.38788174321397501</v>
      </c>
      <c r="AT23" s="69">
        <v>0.63272697931587496</v>
      </c>
      <c r="AU23" s="69">
        <v>1.2216939220160199</v>
      </c>
      <c r="AV23" s="69">
        <v>0.197882195635318</v>
      </c>
      <c r="AW23" s="69">
        <v>4.7380829031278902</v>
      </c>
      <c r="AX23" s="69">
        <v>19.264496969317801</v>
      </c>
      <c r="AY23" s="69">
        <v>3.54892489426055</v>
      </c>
      <c r="AZ23" s="69">
        <v>8.4862826912761502</v>
      </c>
      <c r="BA23" s="69">
        <v>26.093518539104</v>
      </c>
      <c r="BB23" s="69">
        <v>28.6678463124417</v>
      </c>
      <c r="BC23" s="69">
        <v>15.7906670841943</v>
      </c>
      <c r="BD23" s="69">
        <v>20.6343032165626</v>
      </c>
      <c r="BE23" s="69">
        <v>8.09458645786634</v>
      </c>
      <c r="BF23" s="69">
        <v>74.724308258612396</v>
      </c>
      <c r="BG23" s="69">
        <v>4.7790105227038504</v>
      </c>
      <c r="BH23" s="69">
        <v>38.394572035479499</v>
      </c>
      <c r="BI23" s="69">
        <v>0.10907212680148801</v>
      </c>
      <c r="BJ23" s="69">
        <v>16.345946014684699</v>
      </c>
      <c r="BK23" s="69">
        <v>4.2527192111251297</v>
      </c>
      <c r="BL23" s="69">
        <v>1.20890993003436</v>
      </c>
      <c r="BM23" s="69">
        <v>11.074940636049099</v>
      </c>
      <c r="BN23" s="69">
        <v>21.747790774321999</v>
      </c>
      <c r="BO23" s="69">
        <v>11.907833734349801</v>
      </c>
      <c r="BP23" s="69">
        <v>8.6785291683754302</v>
      </c>
      <c r="BQ23" s="70">
        <v>0</v>
      </c>
      <c r="BR23" s="71">
        <v>596.32793240443698</v>
      </c>
      <c r="BS23" s="72">
        <v>0</v>
      </c>
      <c r="BT23" s="73">
        <v>0</v>
      </c>
      <c r="BU23" s="73">
        <v>0</v>
      </c>
      <c r="BV23" s="73">
        <v>75.855828332013601</v>
      </c>
      <c r="BW23" s="73">
        <v>38.904129321660903</v>
      </c>
      <c r="BX23" s="74">
        <v>4.8447360741206396</v>
      </c>
      <c r="BY23" s="71">
        <v>119.604693727795</v>
      </c>
      <c r="BZ23" s="75">
        <v>715.93262613223203</v>
      </c>
    </row>
    <row r="24" spans="1:78" ht="15" customHeight="1" x14ac:dyDescent="0.3">
      <c r="A24" s="19" t="s">
        <v>42</v>
      </c>
      <c r="B24" s="11" t="s">
        <v>110</v>
      </c>
      <c r="C24" s="68">
        <v>1017.39622676975</v>
      </c>
      <c r="D24" s="69">
        <v>559.52008621906498</v>
      </c>
      <c r="E24" s="69">
        <v>49.448516220936703</v>
      </c>
      <c r="F24" s="69">
        <v>71.100228680074196</v>
      </c>
      <c r="G24" s="69">
        <v>1656.29158863506</v>
      </c>
      <c r="H24" s="69">
        <v>611.60135832292201</v>
      </c>
      <c r="I24" s="69">
        <v>91.397393677435005</v>
      </c>
      <c r="J24" s="69">
        <v>116.707202193442</v>
      </c>
      <c r="K24" s="69">
        <v>0.71442554196797303</v>
      </c>
      <c r="L24" s="69">
        <v>383.77618542051698</v>
      </c>
      <c r="M24" s="69">
        <v>38.8147736165322</v>
      </c>
      <c r="N24" s="69">
        <v>3.3259156958286198E-2</v>
      </c>
      <c r="O24" s="69">
        <v>37.424409311951997</v>
      </c>
      <c r="P24" s="69">
        <v>0.17316491119067901</v>
      </c>
      <c r="Q24" s="69">
        <v>48.0579782813397</v>
      </c>
      <c r="R24" s="69">
        <v>10.203438470287701</v>
      </c>
      <c r="S24" s="69">
        <v>541.86273325440197</v>
      </c>
      <c r="T24" s="69">
        <v>1.0749332331646799</v>
      </c>
      <c r="U24" s="69">
        <v>41919.1433181506</v>
      </c>
      <c r="V24" s="69">
        <v>1.87191321393542</v>
      </c>
      <c r="W24" s="69">
        <v>17605.480933667299</v>
      </c>
      <c r="X24" s="69">
        <v>529.58376417511499</v>
      </c>
      <c r="Y24" s="69">
        <v>165.34095272918199</v>
      </c>
      <c r="Z24" s="69">
        <v>12.4852595205355</v>
      </c>
      <c r="AA24" s="69">
        <v>864.48519121617096</v>
      </c>
      <c r="AB24" s="69">
        <v>1647.1996024150601</v>
      </c>
      <c r="AC24" s="69">
        <v>1491.1625283236499</v>
      </c>
      <c r="AD24" s="69">
        <v>337.13577976493701</v>
      </c>
      <c r="AE24" s="69">
        <v>95.753406025303306</v>
      </c>
      <c r="AF24" s="69">
        <v>2.82851273082712E-2</v>
      </c>
      <c r="AG24" s="69">
        <v>361.09475016483702</v>
      </c>
      <c r="AH24" s="69">
        <v>124.177865947901</v>
      </c>
      <c r="AI24" s="69">
        <v>47.414186477182596</v>
      </c>
      <c r="AJ24" s="69">
        <v>136.91224078468699</v>
      </c>
      <c r="AK24" s="69">
        <v>3.4920907504102199</v>
      </c>
      <c r="AL24" s="69">
        <v>42.666418626726298</v>
      </c>
      <c r="AM24" s="69">
        <v>114.278005268475</v>
      </c>
      <c r="AN24" s="69">
        <v>258.94668691428501</v>
      </c>
      <c r="AO24" s="69">
        <v>85.024984881284894</v>
      </c>
      <c r="AP24" s="69">
        <v>771.90560807901295</v>
      </c>
      <c r="AQ24" s="69">
        <v>2581.4043936368498</v>
      </c>
      <c r="AR24" s="69">
        <v>1872.36957657311</v>
      </c>
      <c r="AS24" s="69">
        <v>448.31806205093898</v>
      </c>
      <c r="AT24" s="69">
        <v>3914.3019172071299</v>
      </c>
      <c r="AU24" s="69">
        <v>110.823590734779</v>
      </c>
      <c r="AV24" s="69">
        <v>4.7797180871867804</v>
      </c>
      <c r="AW24" s="69">
        <v>572.75113952752497</v>
      </c>
      <c r="AX24" s="69">
        <v>1.15163399709275E-2</v>
      </c>
      <c r="AY24" s="69">
        <v>2.6235850829317102</v>
      </c>
      <c r="AZ24" s="69">
        <v>8.5296583358786093E-2</v>
      </c>
      <c r="BA24" s="69">
        <v>0.26103551426954402</v>
      </c>
      <c r="BB24" s="69">
        <v>0.15972749136025599</v>
      </c>
      <c r="BC24" s="69">
        <v>0.65683799577301405</v>
      </c>
      <c r="BD24" s="69">
        <v>0.62717238465368996</v>
      </c>
      <c r="BE24" s="69">
        <v>75.547331307215302</v>
      </c>
      <c r="BF24" s="69">
        <v>7.0102528565404301</v>
      </c>
      <c r="BG24" s="69">
        <v>61.562730673555102</v>
      </c>
      <c r="BH24" s="69">
        <v>1.1226830617564401</v>
      </c>
      <c r="BI24" s="69">
        <v>1.35632078753692E-2</v>
      </c>
      <c r="BJ24" s="69">
        <v>399.76267043156599</v>
      </c>
      <c r="BK24" s="69">
        <v>42.125928841334201</v>
      </c>
      <c r="BL24" s="69">
        <v>0.185146030021243</v>
      </c>
      <c r="BM24" s="69">
        <v>17.062977156228499</v>
      </c>
      <c r="BN24" s="69">
        <v>10.9048122087382</v>
      </c>
      <c r="BO24" s="69">
        <v>2.39105879970705</v>
      </c>
      <c r="BP24" s="69">
        <v>73.331283431605499</v>
      </c>
      <c r="BQ24" s="70">
        <v>0</v>
      </c>
      <c r="BR24" s="71">
        <v>82051.375681356905</v>
      </c>
      <c r="BS24" s="72">
        <v>304.68035743217501</v>
      </c>
      <c r="BT24" s="73">
        <v>0</v>
      </c>
      <c r="BU24" s="73">
        <v>0</v>
      </c>
      <c r="BV24" s="73">
        <v>6652.3075452970397</v>
      </c>
      <c r="BW24" s="73">
        <v>1.5657659695878701</v>
      </c>
      <c r="BX24" s="74">
        <v>657.13321131046803</v>
      </c>
      <c r="BY24" s="71">
        <v>7615.6868800092698</v>
      </c>
      <c r="BZ24" s="75">
        <v>89667.062561366096</v>
      </c>
    </row>
    <row r="25" spans="1:78" ht="15" customHeight="1" x14ac:dyDescent="0.3">
      <c r="A25" s="19" t="s">
        <v>43</v>
      </c>
      <c r="B25" s="11" t="s">
        <v>111</v>
      </c>
      <c r="C25" s="68">
        <v>3.9262799336185901</v>
      </c>
      <c r="D25" s="69">
        <v>4.2831266283515896</v>
      </c>
      <c r="E25" s="69">
        <v>9.5085744250532293E-3</v>
      </c>
      <c r="F25" s="69">
        <v>0.12768642464537899</v>
      </c>
      <c r="G25" s="69">
        <v>21.665601508510498</v>
      </c>
      <c r="H25" s="69">
        <v>7.1233120299132304</v>
      </c>
      <c r="I25" s="69">
        <v>0.84724453855433501</v>
      </c>
      <c r="J25" s="69">
        <v>25.742415454736399</v>
      </c>
      <c r="K25" s="69">
        <v>2.3585591264850998</v>
      </c>
      <c r="L25" s="69">
        <v>137.692505083822</v>
      </c>
      <c r="M25" s="69">
        <v>6.5198347531952798</v>
      </c>
      <c r="N25" s="69">
        <v>4.6493604564539302E-3</v>
      </c>
      <c r="O25" s="69">
        <v>1.76271758880517</v>
      </c>
      <c r="P25" s="69">
        <v>0.35733246587444001</v>
      </c>
      <c r="Q25" s="69">
        <v>0.73246050679847796</v>
      </c>
      <c r="R25" s="69">
        <v>0.212962227229512</v>
      </c>
      <c r="S25" s="69">
        <v>4.4303949068097799</v>
      </c>
      <c r="T25" s="69">
        <v>7.0875460136687204E-2</v>
      </c>
      <c r="U25" s="69">
        <v>383.54911709119199</v>
      </c>
      <c r="V25" s="69">
        <v>29.851004352860699</v>
      </c>
      <c r="W25" s="69">
        <v>95.232652028538496</v>
      </c>
      <c r="X25" s="69">
        <v>20.900360754955599</v>
      </c>
      <c r="Y25" s="69">
        <v>45.499426325903997</v>
      </c>
      <c r="Z25" s="69">
        <v>18.021823209018098</v>
      </c>
      <c r="AA25" s="69">
        <v>2.95689179244556</v>
      </c>
      <c r="AB25" s="69">
        <v>0.362342547609522</v>
      </c>
      <c r="AC25" s="69">
        <v>1.5462212665178201</v>
      </c>
      <c r="AD25" s="69">
        <v>0.83684902092959801</v>
      </c>
      <c r="AE25" s="69">
        <v>2.1288088408403998</v>
      </c>
      <c r="AF25" s="69">
        <v>0.129108162860572</v>
      </c>
      <c r="AG25" s="69">
        <v>0.533068597295142</v>
      </c>
      <c r="AH25" s="69">
        <v>19.443814858129301</v>
      </c>
      <c r="AI25" s="69">
        <v>0.90199414105690401</v>
      </c>
      <c r="AJ25" s="69">
        <v>0.13387432021040499</v>
      </c>
      <c r="AK25" s="69">
        <v>0.30897804542130303</v>
      </c>
      <c r="AL25" s="69">
        <v>0.46135258950560998</v>
      </c>
      <c r="AM25" s="69">
        <v>7.89348339357635</v>
      </c>
      <c r="AN25" s="69">
        <v>7.1758377808396098E-2</v>
      </c>
      <c r="AO25" s="69">
        <v>0.54885132251761204</v>
      </c>
      <c r="AP25" s="69">
        <v>20.953006879074302</v>
      </c>
      <c r="AQ25" s="69">
        <v>26.635982621665601</v>
      </c>
      <c r="AR25" s="69">
        <v>19.437872034108</v>
      </c>
      <c r="AS25" s="69">
        <v>0.39216553017220201</v>
      </c>
      <c r="AT25" s="69">
        <v>1.0018775701591201E-2</v>
      </c>
      <c r="AU25" s="69">
        <v>0.65953650771774297</v>
      </c>
      <c r="AV25" s="69">
        <v>0.79555006010051099</v>
      </c>
      <c r="AW25" s="69">
        <v>60.925237033237003</v>
      </c>
      <c r="AX25" s="69">
        <v>0.18476979423671999</v>
      </c>
      <c r="AY25" s="69">
        <v>0.12645235676160599</v>
      </c>
      <c r="AZ25" s="69">
        <v>0.30135085279492102</v>
      </c>
      <c r="BA25" s="69">
        <v>0.27532604523138099</v>
      </c>
      <c r="BB25" s="69">
        <v>8.3407984771763601</v>
      </c>
      <c r="BC25" s="69">
        <v>0.62896506417222697</v>
      </c>
      <c r="BD25" s="69">
        <v>10.078177172208701</v>
      </c>
      <c r="BE25" s="69">
        <v>8.0102593322800093</v>
      </c>
      <c r="BF25" s="69">
        <v>3.3494181934256999</v>
      </c>
      <c r="BG25" s="69">
        <v>14.186289100499</v>
      </c>
      <c r="BH25" s="69">
        <v>12.5415972405458</v>
      </c>
      <c r="BI25" s="69">
        <v>4.7543443265374101</v>
      </c>
      <c r="BJ25" s="69">
        <v>9.3610862168352398</v>
      </c>
      <c r="BK25" s="69">
        <v>1.3376466377560601</v>
      </c>
      <c r="BL25" s="69">
        <v>0.36762297882039902</v>
      </c>
      <c r="BM25" s="69">
        <v>0.68197020668462205</v>
      </c>
      <c r="BN25" s="69">
        <v>5.5158511920984701</v>
      </c>
      <c r="BO25" s="69">
        <v>0.85855925722181903</v>
      </c>
      <c r="BP25" s="69">
        <v>16.460567372547999</v>
      </c>
      <c r="BQ25" s="70">
        <v>0</v>
      </c>
      <c r="BR25" s="71">
        <v>1076.34966887117</v>
      </c>
      <c r="BS25" s="72">
        <v>0</v>
      </c>
      <c r="BT25" s="73">
        <v>1.13681827054703E-3</v>
      </c>
      <c r="BU25" s="73">
        <v>0</v>
      </c>
      <c r="BV25" s="73">
        <v>386.47821565212797</v>
      </c>
      <c r="BW25" s="73">
        <v>33.5073917491804</v>
      </c>
      <c r="BX25" s="74">
        <v>-80.065907610285294</v>
      </c>
      <c r="BY25" s="71">
        <v>339.92083660929399</v>
      </c>
      <c r="BZ25" s="75">
        <v>1416.2705054804701</v>
      </c>
    </row>
    <row r="26" spans="1:78" ht="15" customHeight="1" x14ac:dyDescent="0.3">
      <c r="A26" s="19" t="s">
        <v>44</v>
      </c>
      <c r="B26" s="32" t="s">
        <v>112</v>
      </c>
      <c r="C26" s="68">
        <v>26481.726244819602</v>
      </c>
      <c r="D26" s="69">
        <v>3792.4233329481499</v>
      </c>
      <c r="E26" s="69">
        <v>229.15204361235001</v>
      </c>
      <c r="F26" s="69">
        <v>204.053380587731</v>
      </c>
      <c r="G26" s="69">
        <v>5095.2814394356501</v>
      </c>
      <c r="H26" s="69">
        <v>1022.76503195305</v>
      </c>
      <c r="I26" s="69">
        <v>230.13827145103201</v>
      </c>
      <c r="J26" s="69">
        <v>637.10941660472201</v>
      </c>
      <c r="K26" s="69">
        <v>358.64279965043301</v>
      </c>
      <c r="L26" s="69">
        <v>1422.79971669113</v>
      </c>
      <c r="M26" s="69">
        <v>48.697832156781899</v>
      </c>
      <c r="N26" s="69">
        <v>25.273490295212699</v>
      </c>
      <c r="O26" s="69">
        <v>4607.5835782869099</v>
      </c>
      <c r="P26" s="69">
        <v>244.12711588220199</v>
      </c>
      <c r="Q26" s="69">
        <v>1542.7039273172099</v>
      </c>
      <c r="R26" s="69">
        <v>1228.8069682356199</v>
      </c>
      <c r="S26" s="69">
        <v>7973.4924152638096</v>
      </c>
      <c r="T26" s="69">
        <v>45.801477389318698</v>
      </c>
      <c r="U26" s="69">
        <v>709.50395095496197</v>
      </c>
      <c r="V26" s="69">
        <v>472.63236659522897</v>
      </c>
      <c r="W26" s="69">
        <v>71283.072448859704</v>
      </c>
      <c r="X26" s="69">
        <v>20640.792928857099</v>
      </c>
      <c r="Y26" s="69">
        <v>6859.4124301795</v>
      </c>
      <c r="Z26" s="69">
        <v>3178.66824882739</v>
      </c>
      <c r="AA26" s="69">
        <v>23322.000721338802</v>
      </c>
      <c r="AB26" s="69">
        <v>3248.3384179463001</v>
      </c>
      <c r="AC26" s="69">
        <v>1284.4487374595101</v>
      </c>
      <c r="AD26" s="69">
        <v>1404.8300205352</v>
      </c>
      <c r="AE26" s="69">
        <v>1552.6785381867301</v>
      </c>
      <c r="AF26" s="69">
        <v>165.376652241112</v>
      </c>
      <c r="AG26" s="69">
        <v>2853.2524837030801</v>
      </c>
      <c r="AH26" s="69">
        <v>216.10295103210399</v>
      </c>
      <c r="AI26" s="69">
        <v>104.82933326341499</v>
      </c>
      <c r="AJ26" s="69">
        <v>1201.4720722105201</v>
      </c>
      <c r="AK26" s="69">
        <v>202.92597863141799</v>
      </c>
      <c r="AL26" s="69">
        <v>2180.7376921980699</v>
      </c>
      <c r="AM26" s="69">
        <v>34.396684069121498</v>
      </c>
      <c r="AN26" s="69">
        <v>138.77981557414901</v>
      </c>
      <c r="AO26" s="69">
        <v>783.98610706401303</v>
      </c>
      <c r="AP26" s="69">
        <v>87.052439177375305</v>
      </c>
      <c r="AQ26" s="69">
        <v>1089.0227170093899</v>
      </c>
      <c r="AR26" s="69">
        <v>55.6614182142837</v>
      </c>
      <c r="AS26" s="69">
        <v>1.3944899744108601</v>
      </c>
      <c r="AT26" s="69">
        <v>1.5243494092154899</v>
      </c>
      <c r="AU26" s="69">
        <v>7.0703519085088002</v>
      </c>
      <c r="AV26" s="69">
        <v>1.56483900948643</v>
      </c>
      <c r="AW26" s="69">
        <v>20.467404323225299</v>
      </c>
      <c r="AX26" s="69">
        <v>0.62751801774654703</v>
      </c>
      <c r="AY26" s="69">
        <v>0.83544925539410797</v>
      </c>
      <c r="AZ26" s="69">
        <v>1.7887853612641</v>
      </c>
      <c r="BA26" s="69">
        <v>3.5059387060388798</v>
      </c>
      <c r="BB26" s="69">
        <v>2.8768389432349202</v>
      </c>
      <c r="BC26" s="69">
        <v>8.3304541747758591</v>
      </c>
      <c r="BD26" s="69">
        <v>9.6283695061773091</v>
      </c>
      <c r="BE26" s="69">
        <v>37.6341567220271</v>
      </c>
      <c r="BF26" s="69">
        <v>12.514382368290899</v>
      </c>
      <c r="BG26" s="69">
        <v>9.92158570281671</v>
      </c>
      <c r="BH26" s="69">
        <v>77.078285397251904</v>
      </c>
      <c r="BI26" s="69">
        <v>0.24738433603320201</v>
      </c>
      <c r="BJ26" s="69">
        <v>20.673159261805299</v>
      </c>
      <c r="BK26" s="69">
        <v>58.909834957080399</v>
      </c>
      <c r="BL26" s="69">
        <v>3.2128852935148799</v>
      </c>
      <c r="BM26" s="69">
        <v>320.912063189783</v>
      </c>
      <c r="BN26" s="69">
        <v>161.18792961801199</v>
      </c>
      <c r="BO26" s="69">
        <v>3.8555841319892799</v>
      </c>
      <c r="BP26" s="69">
        <v>279.55016660144099</v>
      </c>
      <c r="BQ26" s="70">
        <v>0</v>
      </c>
      <c r="BR26" s="71">
        <v>199305.86584287899</v>
      </c>
      <c r="BS26" s="72">
        <v>3.4404580308010899E-2</v>
      </c>
      <c r="BT26" s="73">
        <v>6.1699004778037896</v>
      </c>
      <c r="BU26" s="73">
        <v>0</v>
      </c>
      <c r="BV26" s="73">
        <v>768.97280587396097</v>
      </c>
      <c r="BW26" s="73">
        <v>42.986435960999003</v>
      </c>
      <c r="BX26" s="74">
        <v>3285.4192948353402</v>
      </c>
      <c r="BY26" s="71">
        <v>4103.5828417284201</v>
      </c>
      <c r="BZ26" s="75">
        <v>203409.44868460699</v>
      </c>
    </row>
    <row r="27" spans="1:78" ht="15" customHeight="1" x14ac:dyDescent="0.3">
      <c r="A27" s="19" t="s">
        <v>45</v>
      </c>
      <c r="B27" s="11" t="s">
        <v>113</v>
      </c>
      <c r="C27" s="68">
        <v>18444.454385532801</v>
      </c>
      <c r="D27" s="69">
        <v>1984.1395239389201</v>
      </c>
      <c r="E27" s="69">
        <v>62.828121989965801</v>
      </c>
      <c r="F27" s="69">
        <v>1191.1874264979101</v>
      </c>
      <c r="G27" s="69">
        <v>376.16828760418701</v>
      </c>
      <c r="H27" s="69">
        <v>359.00256010138298</v>
      </c>
      <c r="I27" s="69">
        <v>93.290165729997</v>
      </c>
      <c r="J27" s="69">
        <v>642.69029039331497</v>
      </c>
      <c r="K27" s="69">
        <v>59.486916131340003</v>
      </c>
      <c r="L27" s="69">
        <v>1597.5200227005</v>
      </c>
      <c r="M27" s="69">
        <v>78.613447009972504</v>
      </c>
      <c r="N27" s="69">
        <v>4.1167129957687898</v>
      </c>
      <c r="O27" s="69">
        <v>245.501408408933</v>
      </c>
      <c r="P27" s="69">
        <v>20.0837958798285</v>
      </c>
      <c r="Q27" s="69">
        <v>109.75391232072801</v>
      </c>
      <c r="R27" s="69">
        <v>542.43890531895397</v>
      </c>
      <c r="S27" s="69">
        <v>893.07494710329604</v>
      </c>
      <c r="T27" s="69">
        <v>225.689466736155</v>
      </c>
      <c r="U27" s="69">
        <v>308.47275660216798</v>
      </c>
      <c r="V27" s="69">
        <v>183.163632134137</v>
      </c>
      <c r="W27" s="69">
        <v>2871.9705377535902</v>
      </c>
      <c r="X27" s="69">
        <v>12048.2345950984</v>
      </c>
      <c r="Y27" s="69">
        <v>1197.88483408463</v>
      </c>
      <c r="Z27" s="69">
        <v>654.28175529169005</v>
      </c>
      <c r="AA27" s="69">
        <v>1752.10363283693</v>
      </c>
      <c r="AB27" s="69">
        <v>506.35736129916103</v>
      </c>
      <c r="AC27" s="69">
        <v>304.90495644305298</v>
      </c>
      <c r="AD27" s="69">
        <v>78.818241029094693</v>
      </c>
      <c r="AE27" s="69">
        <v>281.93622905951202</v>
      </c>
      <c r="AF27" s="69">
        <v>46.320423987677898</v>
      </c>
      <c r="AG27" s="69">
        <v>158.36942711860701</v>
      </c>
      <c r="AH27" s="69">
        <v>108.92924914365101</v>
      </c>
      <c r="AI27" s="69">
        <v>154.151754366928</v>
      </c>
      <c r="AJ27" s="69">
        <v>92.904228714141198</v>
      </c>
      <c r="AK27" s="69">
        <v>31.5904198302518</v>
      </c>
      <c r="AL27" s="69">
        <v>278.48568944242402</v>
      </c>
      <c r="AM27" s="69">
        <v>243.65219980554201</v>
      </c>
      <c r="AN27" s="69">
        <v>11.227363864260001</v>
      </c>
      <c r="AO27" s="69">
        <v>140.124243331267</v>
      </c>
      <c r="AP27" s="69">
        <v>1134.69870951802</v>
      </c>
      <c r="AQ27" s="69">
        <v>1194.4277608022301</v>
      </c>
      <c r="AR27" s="69">
        <v>67.402206791082506</v>
      </c>
      <c r="AS27" s="69">
        <v>0.89407551603268898</v>
      </c>
      <c r="AT27" s="69">
        <v>0.77105423330726897</v>
      </c>
      <c r="AU27" s="69">
        <v>25.206000692132299</v>
      </c>
      <c r="AV27" s="69">
        <v>4.5827499094314499</v>
      </c>
      <c r="AW27" s="69">
        <v>8.21779986105315</v>
      </c>
      <c r="AX27" s="69">
        <v>20.508533273188799</v>
      </c>
      <c r="AY27" s="69">
        <v>1.0152349779802201</v>
      </c>
      <c r="AZ27" s="69">
        <v>2.40281200050079</v>
      </c>
      <c r="BA27" s="69">
        <v>4.0066267005930802</v>
      </c>
      <c r="BB27" s="69">
        <v>16.141513091006701</v>
      </c>
      <c r="BC27" s="69">
        <v>60.426522180639999</v>
      </c>
      <c r="BD27" s="69">
        <v>4.4120743300982497</v>
      </c>
      <c r="BE27" s="69">
        <v>14.2170201431445</v>
      </c>
      <c r="BF27" s="69">
        <v>18.0051506022029</v>
      </c>
      <c r="BG27" s="69">
        <v>6.9007461009168898</v>
      </c>
      <c r="BH27" s="69">
        <v>832.41093402728495</v>
      </c>
      <c r="BI27" s="69">
        <v>0.21720093141247199</v>
      </c>
      <c r="BJ27" s="69">
        <v>12.171573498881299</v>
      </c>
      <c r="BK27" s="69">
        <v>122.682191040503</v>
      </c>
      <c r="BL27" s="69">
        <v>2.8127585431244202</v>
      </c>
      <c r="BM27" s="69">
        <v>616.16516466331495</v>
      </c>
      <c r="BN27" s="69">
        <v>33.015307814876898</v>
      </c>
      <c r="BO27" s="69">
        <v>10.788447320046901</v>
      </c>
      <c r="BP27" s="69">
        <v>34.585187354909202</v>
      </c>
      <c r="BQ27" s="70">
        <v>0</v>
      </c>
      <c r="BR27" s="71">
        <v>52633.0091835489</v>
      </c>
      <c r="BS27" s="72">
        <v>0</v>
      </c>
      <c r="BT27" s="73">
        <v>9.4591682983158201</v>
      </c>
      <c r="BU27" s="73">
        <v>0</v>
      </c>
      <c r="BV27" s="73">
        <v>924.39327661078698</v>
      </c>
      <c r="BW27" s="73">
        <v>28.779807583822599</v>
      </c>
      <c r="BX27" s="74">
        <v>1987.3162984385799</v>
      </c>
      <c r="BY27" s="71">
        <v>2949.9485509315</v>
      </c>
      <c r="BZ27" s="75">
        <v>55582.957734480398</v>
      </c>
    </row>
    <row r="28" spans="1:78" ht="15" customHeight="1" x14ac:dyDescent="0.3">
      <c r="A28" s="33" t="s">
        <v>46</v>
      </c>
      <c r="B28" s="11" t="s">
        <v>114</v>
      </c>
      <c r="C28" s="68">
        <v>508.35971080859798</v>
      </c>
      <c r="D28" s="69">
        <v>68.425328471836195</v>
      </c>
      <c r="E28" s="69">
        <v>2.4965533480818398</v>
      </c>
      <c r="F28" s="69">
        <v>32.710865818537499</v>
      </c>
      <c r="G28" s="69">
        <v>112.444860000395</v>
      </c>
      <c r="H28" s="69">
        <v>80.308144290577701</v>
      </c>
      <c r="I28" s="69">
        <v>11.0254000303729</v>
      </c>
      <c r="J28" s="69">
        <v>52.298175683090101</v>
      </c>
      <c r="K28" s="69">
        <v>12.6621239514702</v>
      </c>
      <c r="L28" s="69">
        <v>102.305876725039</v>
      </c>
      <c r="M28" s="69">
        <v>12.5025370649584</v>
      </c>
      <c r="N28" s="69">
        <v>0.48500373382205603</v>
      </c>
      <c r="O28" s="69">
        <v>71.980763089513502</v>
      </c>
      <c r="P28" s="69">
        <v>20.2767385205618</v>
      </c>
      <c r="Q28" s="69">
        <v>23.8436808799093</v>
      </c>
      <c r="R28" s="69">
        <v>32.072953151818297</v>
      </c>
      <c r="S28" s="69">
        <v>137.08068942764399</v>
      </c>
      <c r="T28" s="69">
        <v>5.9632562134840503</v>
      </c>
      <c r="U28" s="69">
        <v>38.972884146607299</v>
      </c>
      <c r="V28" s="69">
        <v>14.485693358527101</v>
      </c>
      <c r="W28" s="69">
        <v>856.63007129788798</v>
      </c>
      <c r="X28" s="69">
        <v>649.30833242681797</v>
      </c>
      <c r="Y28" s="69">
        <v>687.53023033370198</v>
      </c>
      <c r="Z28" s="69">
        <v>98.733448969987506</v>
      </c>
      <c r="AA28" s="69">
        <v>220.28457515143299</v>
      </c>
      <c r="AB28" s="69">
        <v>56.526693303188097</v>
      </c>
      <c r="AC28" s="69">
        <v>35.881116106423399</v>
      </c>
      <c r="AD28" s="69">
        <v>35.858493217397601</v>
      </c>
      <c r="AE28" s="69">
        <v>147.53218318302899</v>
      </c>
      <c r="AF28" s="69">
        <v>10.627359758550501</v>
      </c>
      <c r="AG28" s="69">
        <v>25.233667667109799</v>
      </c>
      <c r="AH28" s="69">
        <v>18.878602696544501</v>
      </c>
      <c r="AI28" s="69">
        <v>7.7624470334718199</v>
      </c>
      <c r="AJ28" s="69">
        <v>17.532678717816601</v>
      </c>
      <c r="AK28" s="69">
        <v>2.3990719578611901</v>
      </c>
      <c r="AL28" s="69">
        <v>29.910854651935701</v>
      </c>
      <c r="AM28" s="69">
        <v>9.9130969110286795</v>
      </c>
      <c r="AN28" s="69">
        <v>5.3067330348013702</v>
      </c>
      <c r="AO28" s="69">
        <v>31.6951463808822</v>
      </c>
      <c r="AP28" s="69">
        <v>51.517607693487101</v>
      </c>
      <c r="AQ28" s="69">
        <v>569.11041545030105</v>
      </c>
      <c r="AR28" s="69">
        <v>89.800261171231099</v>
      </c>
      <c r="AS28" s="69">
        <v>3.5367365531502402</v>
      </c>
      <c r="AT28" s="69">
        <v>1.0013802251169801E-2</v>
      </c>
      <c r="AU28" s="69">
        <v>33.980955457949896</v>
      </c>
      <c r="AV28" s="69">
        <v>23.641791768034601</v>
      </c>
      <c r="AW28" s="69">
        <v>24.325458171309698</v>
      </c>
      <c r="AX28" s="69">
        <v>5.1807304412469701</v>
      </c>
      <c r="AY28" s="69">
        <v>13.9904729176129</v>
      </c>
      <c r="AZ28" s="69">
        <v>24.481250969460302</v>
      </c>
      <c r="BA28" s="69">
        <v>12.8696003934655</v>
      </c>
      <c r="BB28" s="69">
        <v>14.993563881661</v>
      </c>
      <c r="BC28" s="69">
        <v>1.8932051852015199</v>
      </c>
      <c r="BD28" s="69">
        <v>68.776201928099297</v>
      </c>
      <c r="BE28" s="69">
        <v>31.244099016641801</v>
      </c>
      <c r="BF28" s="69">
        <v>171.33757088551599</v>
      </c>
      <c r="BG28" s="69">
        <v>33.239580039049301</v>
      </c>
      <c r="BH28" s="69">
        <v>372.99821859157902</v>
      </c>
      <c r="BI28" s="69">
        <v>0.13277461055418199</v>
      </c>
      <c r="BJ28" s="69">
        <v>19.186305577926099</v>
      </c>
      <c r="BK28" s="69">
        <v>36.808533341603102</v>
      </c>
      <c r="BL28" s="69">
        <v>28.209712778001499</v>
      </c>
      <c r="BM28" s="69">
        <v>67.595440594141706</v>
      </c>
      <c r="BN28" s="69">
        <v>121.625579178905</v>
      </c>
      <c r="BO28" s="69">
        <v>37.505664283080499</v>
      </c>
      <c r="BP28" s="69">
        <v>392.41168270834203</v>
      </c>
      <c r="BQ28" s="70">
        <v>0</v>
      </c>
      <c r="BR28" s="71">
        <v>6538.6494689045103</v>
      </c>
      <c r="BS28" s="72">
        <v>0</v>
      </c>
      <c r="BT28" s="73">
        <v>4.8553493056364196</v>
      </c>
      <c r="BU28" s="73">
        <v>0</v>
      </c>
      <c r="BV28" s="73">
        <v>14301.386913107501</v>
      </c>
      <c r="BW28" s="73">
        <v>36.260738842852</v>
      </c>
      <c r="BX28" s="74">
        <v>-6483.8154373260404</v>
      </c>
      <c r="BY28" s="71">
        <v>7858.6875639299897</v>
      </c>
      <c r="BZ28" s="75">
        <v>14397.337032834501</v>
      </c>
    </row>
    <row r="29" spans="1:78" ht="15" customHeight="1" x14ac:dyDescent="0.3">
      <c r="A29" s="33" t="s">
        <v>47</v>
      </c>
      <c r="B29" s="11" t="s">
        <v>115</v>
      </c>
      <c r="C29" s="68">
        <v>192.05293056150401</v>
      </c>
      <c r="D29" s="69">
        <v>756.37176783765096</v>
      </c>
      <c r="E29" s="69">
        <v>5.9116369030840898</v>
      </c>
      <c r="F29" s="69">
        <v>3.9442689786741001</v>
      </c>
      <c r="G29" s="69">
        <v>613.13981284924</v>
      </c>
      <c r="H29" s="69">
        <v>7.9843294862776997</v>
      </c>
      <c r="I29" s="69">
        <v>1.35628841732895</v>
      </c>
      <c r="J29" s="69">
        <v>11.9711081450957</v>
      </c>
      <c r="K29" s="69">
        <v>0.71730143023234505</v>
      </c>
      <c r="L29" s="69">
        <v>381.23067992280198</v>
      </c>
      <c r="M29" s="69">
        <v>1.1356731079295701</v>
      </c>
      <c r="N29" s="69">
        <v>3.2187617022300601E-2</v>
      </c>
      <c r="O29" s="69">
        <v>11.004098568636399</v>
      </c>
      <c r="P29" s="69">
        <v>2.8196047871424499</v>
      </c>
      <c r="Q29" s="69">
        <v>4.8274226999931198</v>
      </c>
      <c r="R29" s="69">
        <v>2.1139400675109599</v>
      </c>
      <c r="S29" s="69">
        <v>21.5514860814637</v>
      </c>
      <c r="T29" s="69">
        <v>0.87514205707736503</v>
      </c>
      <c r="U29" s="69">
        <v>1.0611348109952501</v>
      </c>
      <c r="V29" s="69">
        <v>3.2000166698849002</v>
      </c>
      <c r="W29" s="69">
        <v>158.77429949948001</v>
      </c>
      <c r="X29" s="69">
        <v>705.47922517975906</v>
      </c>
      <c r="Y29" s="69">
        <v>45.531654496889097</v>
      </c>
      <c r="Z29" s="69">
        <v>7616.12472303501</v>
      </c>
      <c r="AA29" s="69">
        <v>27.958064337436198</v>
      </c>
      <c r="AB29" s="69">
        <v>3.46204821665992</v>
      </c>
      <c r="AC29" s="69">
        <v>6.4037149665913304</v>
      </c>
      <c r="AD29" s="69">
        <v>4.0682468348633796</v>
      </c>
      <c r="AE29" s="69">
        <v>5.8798792709735004</v>
      </c>
      <c r="AF29" s="69">
        <v>4.6942710619204897</v>
      </c>
      <c r="AG29" s="69">
        <v>2.5475069569745301</v>
      </c>
      <c r="AH29" s="69">
        <v>3.3449791586471598</v>
      </c>
      <c r="AI29" s="69">
        <v>1.3542233122551</v>
      </c>
      <c r="AJ29" s="69">
        <v>1.04126230369444</v>
      </c>
      <c r="AK29" s="69">
        <v>0.24936183003148699</v>
      </c>
      <c r="AL29" s="69">
        <v>4.61648099518208</v>
      </c>
      <c r="AM29" s="69">
        <v>1.5095429069008499</v>
      </c>
      <c r="AN29" s="69">
        <v>0.35383537183418701</v>
      </c>
      <c r="AO29" s="69">
        <v>2.7026574235553902</v>
      </c>
      <c r="AP29" s="69">
        <v>3.1616830577741202</v>
      </c>
      <c r="AQ29" s="69">
        <v>570.84490557606705</v>
      </c>
      <c r="AR29" s="69">
        <v>2.4483686202513701</v>
      </c>
      <c r="AS29" s="69">
        <v>0.17584566827360201</v>
      </c>
      <c r="AT29" s="69">
        <v>4.40165983263359E-2</v>
      </c>
      <c r="AU29" s="69">
        <v>1.16535151203972</v>
      </c>
      <c r="AV29" s="69">
        <v>0.59562529039106904</v>
      </c>
      <c r="AW29" s="69">
        <v>4.5172652230470502</v>
      </c>
      <c r="AX29" s="69">
        <v>9.8979615342866603E-2</v>
      </c>
      <c r="AY29" s="69">
        <v>0.39079691788278897</v>
      </c>
      <c r="AZ29" s="69">
        <v>0.69543961852429104</v>
      </c>
      <c r="BA29" s="69">
        <v>0.80354075827371296</v>
      </c>
      <c r="BB29" s="69">
        <v>0.45604675447133802</v>
      </c>
      <c r="BC29" s="69">
        <v>0.90791104094348396</v>
      </c>
      <c r="BD29" s="69">
        <v>2.4322342388481801</v>
      </c>
      <c r="BE29" s="69">
        <v>14.553795455703799</v>
      </c>
      <c r="BF29" s="69">
        <v>38.522783709028602</v>
      </c>
      <c r="BG29" s="69">
        <v>1.80023955997264</v>
      </c>
      <c r="BH29" s="69">
        <v>12.254323997449101</v>
      </c>
      <c r="BI29" s="69">
        <v>3.8416740807669901E-2</v>
      </c>
      <c r="BJ29" s="69">
        <v>1783.46270025588</v>
      </c>
      <c r="BK29" s="69">
        <v>418.73368653601301</v>
      </c>
      <c r="BL29" s="69">
        <v>190.27658992415101</v>
      </c>
      <c r="BM29" s="69">
        <v>9755.1482520727495</v>
      </c>
      <c r="BN29" s="69">
        <v>7283.0266089945899</v>
      </c>
      <c r="BO29" s="69">
        <v>1.04993438795284</v>
      </c>
      <c r="BP29" s="69">
        <v>398.780613782133</v>
      </c>
      <c r="BQ29" s="70">
        <v>0</v>
      </c>
      <c r="BR29" s="71">
        <v>31105.782764065101</v>
      </c>
      <c r="BS29" s="72">
        <v>0</v>
      </c>
      <c r="BT29" s="73">
        <v>3397.5451939826899</v>
      </c>
      <c r="BU29" s="73">
        <v>0</v>
      </c>
      <c r="BV29" s="73">
        <v>30358.2874791865</v>
      </c>
      <c r="BW29" s="73">
        <v>30.704997982638702</v>
      </c>
      <c r="BX29" s="74">
        <v>1732.0537112253</v>
      </c>
      <c r="BY29" s="71">
        <v>35518.591382377097</v>
      </c>
      <c r="BZ29" s="75">
        <v>66624.374146442206</v>
      </c>
    </row>
    <row r="30" spans="1:78" ht="15" customHeight="1" x14ac:dyDescent="0.3">
      <c r="A30" s="33" t="s">
        <v>48</v>
      </c>
      <c r="B30" s="11" t="s">
        <v>116</v>
      </c>
      <c r="C30" s="68">
        <v>105.736273346158</v>
      </c>
      <c r="D30" s="69">
        <v>39.224102394319999</v>
      </c>
      <c r="E30" s="69">
        <v>8.8429285926825099</v>
      </c>
      <c r="F30" s="69">
        <v>27.463353124479301</v>
      </c>
      <c r="G30" s="69">
        <v>179.25297534345401</v>
      </c>
      <c r="H30" s="69">
        <v>975.22437255055604</v>
      </c>
      <c r="I30" s="69">
        <v>60.1064434555948</v>
      </c>
      <c r="J30" s="69">
        <v>342.25465953192997</v>
      </c>
      <c r="K30" s="69">
        <v>26.7359953334939</v>
      </c>
      <c r="L30" s="69">
        <v>815.93199949818404</v>
      </c>
      <c r="M30" s="69">
        <v>237.38334004016801</v>
      </c>
      <c r="N30" s="69">
        <v>1.6386876734526701</v>
      </c>
      <c r="O30" s="69">
        <v>234.20785405368699</v>
      </c>
      <c r="P30" s="69">
        <v>48.944654858873498</v>
      </c>
      <c r="Q30" s="69">
        <v>336.78572156808798</v>
      </c>
      <c r="R30" s="69">
        <v>87.435184796414504</v>
      </c>
      <c r="S30" s="69">
        <v>253.41407587082</v>
      </c>
      <c r="T30" s="69">
        <v>176.970510088585</v>
      </c>
      <c r="U30" s="69">
        <v>21.3902512903157</v>
      </c>
      <c r="V30" s="69">
        <v>7.9371363257990302</v>
      </c>
      <c r="W30" s="69">
        <v>373.45430430479502</v>
      </c>
      <c r="X30" s="69">
        <v>214.86062172646299</v>
      </c>
      <c r="Y30" s="69">
        <v>191.96106177536899</v>
      </c>
      <c r="Z30" s="69">
        <v>57.887235781645401</v>
      </c>
      <c r="AA30" s="69">
        <v>7216.9837083730499</v>
      </c>
      <c r="AB30" s="69">
        <v>779.30848637849101</v>
      </c>
      <c r="AC30" s="69">
        <v>288.73240791443499</v>
      </c>
      <c r="AD30" s="69">
        <v>75.025100591392899</v>
      </c>
      <c r="AE30" s="69">
        <v>253.21425926528599</v>
      </c>
      <c r="AF30" s="69">
        <v>349.61847562694197</v>
      </c>
      <c r="AG30" s="69">
        <v>750.53226927478704</v>
      </c>
      <c r="AH30" s="69">
        <v>1596.8774386002301</v>
      </c>
      <c r="AI30" s="69">
        <v>3717.6974590510099</v>
      </c>
      <c r="AJ30" s="69">
        <v>1742.9518913739701</v>
      </c>
      <c r="AK30" s="69">
        <v>345.29060158797802</v>
      </c>
      <c r="AL30" s="69">
        <v>656.98758008007599</v>
      </c>
      <c r="AM30" s="69">
        <v>802.606702691956</v>
      </c>
      <c r="AN30" s="69">
        <v>37.116963442272301</v>
      </c>
      <c r="AO30" s="69">
        <v>113.820177469603</v>
      </c>
      <c r="AP30" s="69">
        <v>2216.8500143624101</v>
      </c>
      <c r="AQ30" s="69">
        <v>1490.5994725816599</v>
      </c>
      <c r="AR30" s="69">
        <v>2451.76358925778</v>
      </c>
      <c r="AS30" s="69">
        <v>2.5698008747296099</v>
      </c>
      <c r="AT30" s="69">
        <v>223.49592409613999</v>
      </c>
      <c r="AU30" s="69">
        <v>17.2917280528345</v>
      </c>
      <c r="AV30" s="69">
        <v>1.3308418912564599</v>
      </c>
      <c r="AW30" s="69">
        <v>64.983536535244099</v>
      </c>
      <c r="AX30" s="69">
        <v>1.4026571591116099</v>
      </c>
      <c r="AY30" s="69">
        <v>0.80313605295033097</v>
      </c>
      <c r="AZ30" s="69">
        <v>2.2782797891154298</v>
      </c>
      <c r="BA30" s="69">
        <v>10.138992340422901</v>
      </c>
      <c r="BB30" s="69">
        <v>13.395730189923</v>
      </c>
      <c r="BC30" s="69">
        <v>21.318152121200502</v>
      </c>
      <c r="BD30" s="69">
        <v>76.533801337871793</v>
      </c>
      <c r="BE30" s="69">
        <v>9.0464158044560108</v>
      </c>
      <c r="BF30" s="69">
        <v>4.5873260455661802</v>
      </c>
      <c r="BG30" s="69">
        <v>168.037130508389</v>
      </c>
      <c r="BH30" s="69">
        <v>176.78546064644999</v>
      </c>
      <c r="BI30" s="69">
        <v>0.36574960047496002</v>
      </c>
      <c r="BJ30" s="69">
        <v>23.832443261790701</v>
      </c>
      <c r="BK30" s="69">
        <v>59.7997831530528</v>
      </c>
      <c r="BL30" s="69">
        <v>2.3310486476822501</v>
      </c>
      <c r="BM30" s="69">
        <v>286.94378235833102</v>
      </c>
      <c r="BN30" s="69">
        <v>173.12279015379201</v>
      </c>
      <c r="BO30" s="69">
        <v>1.97170021134134</v>
      </c>
      <c r="BP30" s="69">
        <v>49.7915581887329</v>
      </c>
      <c r="BQ30" s="70">
        <v>0</v>
      </c>
      <c r="BR30" s="71">
        <v>31103.178110269499</v>
      </c>
      <c r="BS30" s="72">
        <v>17.6329999819744</v>
      </c>
      <c r="BT30" s="73">
        <v>0.62124094179120404</v>
      </c>
      <c r="BU30" s="73">
        <v>0</v>
      </c>
      <c r="BV30" s="73">
        <v>2524.84785914653</v>
      </c>
      <c r="BW30" s="73">
        <v>532.48070293854005</v>
      </c>
      <c r="BX30" s="74">
        <v>4193.8771241839804</v>
      </c>
      <c r="BY30" s="71">
        <v>7269.45992719282</v>
      </c>
      <c r="BZ30" s="75">
        <v>38372.638037462297</v>
      </c>
    </row>
    <row r="31" spans="1:78" ht="15" customHeight="1" x14ac:dyDescent="0.3">
      <c r="A31" s="33" t="s">
        <v>49</v>
      </c>
      <c r="B31" s="11" t="s">
        <v>117</v>
      </c>
      <c r="C31" s="68">
        <v>1326.7519929856501</v>
      </c>
      <c r="D31" s="69">
        <v>679.79739176485703</v>
      </c>
      <c r="E31" s="69">
        <v>16.927214909922199</v>
      </c>
      <c r="F31" s="69">
        <v>19.4086441476712</v>
      </c>
      <c r="G31" s="69">
        <v>22.261858363386299</v>
      </c>
      <c r="H31" s="69">
        <v>19.9650094244878</v>
      </c>
      <c r="I31" s="69">
        <v>5.6791218737508498</v>
      </c>
      <c r="J31" s="69">
        <v>9.2118982235041802</v>
      </c>
      <c r="K31" s="69">
        <v>87.195156061278396</v>
      </c>
      <c r="L31" s="69">
        <v>504.86550176417097</v>
      </c>
      <c r="M31" s="69">
        <v>570.90451819147597</v>
      </c>
      <c r="N31" s="69">
        <v>0.12764882952481499</v>
      </c>
      <c r="O31" s="69">
        <v>13.861587987143199</v>
      </c>
      <c r="P31" s="69">
        <v>28.3797547486861</v>
      </c>
      <c r="Q31" s="69">
        <v>7.8814869673352002</v>
      </c>
      <c r="R31" s="69">
        <v>7.6292626758413196</v>
      </c>
      <c r="S31" s="69">
        <v>150.74262529556199</v>
      </c>
      <c r="T31" s="69">
        <v>4.1215535346176901</v>
      </c>
      <c r="U31" s="69">
        <v>4.9443720341321296</v>
      </c>
      <c r="V31" s="69">
        <v>6.3712056084997801</v>
      </c>
      <c r="W31" s="69">
        <v>550.65978699854202</v>
      </c>
      <c r="X31" s="69">
        <v>104.614234455401</v>
      </c>
      <c r="Y31" s="69">
        <v>96.087869718665701</v>
      </c>
      <c r="Z31" s="69">
        <v>36.049305027126302</v>
      </c>
      <c r="AA31" s="69">
        <v>245.95020040630899</v>
      </c>
      <c r="AB31" s="69">
        <v>1412.4601892113999</v>
      </c>
      <c r="AC31" s="69">
        <v>159.45975402582599</v>
      </c>
      <c r="AD31" s="69">
        <v>16.508261295557698</v>
      </c>
      <c r="AE31" s="69">
        <v>82.123089788280893</v>
      </c>
      <c r="AF31" s="69">
        <v>8.7195592478513309</v>
      </c>
      <c r="AG31" s="69">
        <v>108.66310500281701</v>
      </c>
      <c r="AH31" s="69">
        <v>145.26451489420401</v>
      </c>
      <c r="AI31" s="69">
        <v>564.66008443855299</v>
      </c>
      <c r="AJ31" s="69">
        <v>64.185051964358905</v>
      </c>
      <c r="AK31" s="69">
        <v>36.028444931431899</v>
      </c>
      <c r="AL31" s="69">
        <v>157.93580820207401</v>
      </c>
      <c r="AM31" s="69">
        <v>79.697054958364603</v>
      </c>
      <c r="AN31" s="69">
        <v>12.732734668910201</v>
      </c>
      <c r="AO31" s="69">
        <v>17.793799841325502</v>
      </c>
      <c r="AP31" s="69">
        <v>4365.2115045200499</v>
      </c>
      <c r="AQ31" s="69">
        <v>114.715676377157</v>
      </c>
      <c r="AR31" s="69">
        <v>24.0953719982395</v>
      </c>
      <c r="AS31" s="69">
        <v>0.54366538854959601</v>
      </c>
      <c r="AT31" s="69">
        <v>2.3621343934549999E-2</v>
      </c>
      <c r="AU31" s="69">
        <v>1.8317062493312699</v>
      </c>
      <c r="AV31" s="69">
        <v>31.070951360046902</v>
      </c>
      <c r="AW31" s="69">
        <v>105.532260058527</v>
      </c>
      <c r="AX31" s="69">
        <v>0.43638614969648798</v>
      </c>
      <c r="AY31" s="69">
        <v>0.29100569599585702</v>
      </c>
      <c r="AZ31" s="69">
        <v>0.94215183184519502</v>
      </c>
      <c r="BA31" s="69">
        <v>1.70205157869209</v>
      </c>
      <c r="BB31" s="69">
        <v>0.71664524857435397</v>
      </c>
      <c r="BC31" s="69">
        <v>98.305608806854707</v>
      </c>
      <c r="BD31" s="69">
        <v>4.0190892925769699</v>
      </c>
      <c r="BE31" s="69">
        <v>4.4236118235641904</v>
      </c>
      <c r="BF31" s="69">
        <v>1.7719424189286099</v>
      </c>
      <c r="BG31" s="69">
        <v>3.5663103116731198</v>
      </c>
      <c r="BH31" s="69">
        <v>20.406501394587799</v>
      </c>
      <c r="BI31" s="69">
        <v>0.12913263280037501</v>
      </c>
      <c r="BJ31" s="69">
        <v>49.263551556349903</v>
      </c>
      <c r="BK31" s="69">
        <v>28.414189945714298</v>
      </c>
      <c r="BL31" s="69">
        <v>1.35773867192549</v>
      </c>
      <c r="BM31" s="69">
        <v>74.992749829531206</v>
      </c>
      <c r="BN31" s="69">
        <v>46.893447275180797</v>
      </c>
      <c r="BO31" s="69">
        <v>0.93851483701732896</v>
      </c>
      <c r="BP31" s="69">
        <v>20.036038349654401</v>
      </c>
      <c r="BQ31" s="70">
        <v>0</v>
      </c>
      <c r="BR31" s="71">
        <v>12388.252079415501</v>
      </c>
      <c r="BS31" s="72">
        <v>0</v>
      </c>
      <c r="BT31" s="73">
        <v>6.7868252263558304</v>
      </c>
      <c r="BU31" s="73">
        <v>0</v>
      </c>
      <c r="BV31" s="73">
        <v>786.98458928954096</v>
      </c>
      <c r="BW31" s="73">
        <v>118.575822262656</v>
      </c>
      <c r="BX31" s="74">
        <v>562.74055760375597</v>
      </c>
      <c r="BY31" s="71">
        <v>1475.08779438231</v>
      </c>
      <c r="BZ31" s="75">
        <v>13863.3398737978</v>
      </c>
    </row>
    <row r="32" spans="1:78" ht="15" customHeight="1" x14ac:dyDescent="0.3">
      <c r="A32" s="33" t="s">
        <v>50</v>
      </c>
      <c r="B32" s="11" t="s">
        <v>118</v>
      </c>
      <c r="C32" s="68">
        <v>135.67941288297399</v>
      </c>
      <c r="D32" s="69">
        <v>129.35248131666501</v>
      </c>
      <c r="E32" s="69">
        <v>8.4130309525484392</v>
      </c>
      <c r="F32" s="69">
        <v>43.541621468256899</v>
      </c>
      <c r="G32" s="69">
        <v>6722.8964120117998</v>
      </c>
      <c r="H32" s="69">
        <v>57.117420320046598</v>
      </c>
      <c r="I32" s="69">
        <v>47.434168532559603</v>
      </c>
      <c r="J32" s="69">
        <v>108.410630091345</v>
      </c>
      <c r="K32" s="69">
        <v>4.8678591558287101</v>
      </c>
      <c r="L32" s="69">
        <v>60.813820959281699</v>
      </c>
      <c r="M32" s="69">
        <v>15.2200910108683</v>
      </c>
      <c r="N32" s="69">
        <v>0.610454297254306</v>
      </c>
      <c r="O32" s="69">
        <v>23.960726583803499</v>
      </c>
      <c r="P32" s="69">
        <v>2.0995927768570599</v>
      </c>
      <c r="Q32" s="69">
        <v>8.4533026433635303</v>
      </c>
      <c r="R32" s="69">
        <v>43.896682536152802</v>
      </c>
      <c r="S32" s="69">
        <v>130.93128849783301</v>
      </c>
      <c r="T32" s="69">
        <v>4.6903702638712303</v>
      </c>
      <c r="U32" s="69">
        <v>20.313809742736101</v>
      </c>
      <c r="V32" s="69">
        <v>5.5070553958525403</v>
      </c>
      <c r="W32" s="69">
        <v>253.29988397841501</v>
      </c>
      <c r="X32" s="69">
        <v>73.084774322114697</v>
      </c>
      <c r="Y32" s="69">
        <v>26.218364897954899</v>
      </c>
      <c r="Z32" s="69">
        <v>12.443704882993501</v>
      </c>
      <c r="AA32" s="69">
        <v>565.34722202375497</v>
      </c>
      <c r="AB32" s="69">
        <v>334.311112361563</v>
      </c>
      <c r="AC32" s="69">
        <v>4847.4367052596199</v>
      </c>
      <c r="AD32" s="69">
        <v>365.51649978207701</v>
      </c>
      <c r="AE32" s="69">
        <v>8032.5174949933898</v>
      </c>
      <c r="AF32" s="69">
        <v>44.481513735903597</v>
      </c>
      <c r="AG32" s="69">
        <v>1264.2744552444599</v>
      </c>
      <c r="AH32" s="69">
        <v>4497.4952976103004</v>
      </c>
      <c r="AI32" s="69">
        <v>2058.8154715734399</v>
      </c>
      <c r="AJ32" s="69">
        <v>3038.0550899322202</v>
      </c>
      <c r="AK32" s="69">
        <v>311.37210488554803</v>
      </c>
      <c r="AL32" s="69">
        <v>572.18395012844496</v>
      </c>
      <c r="AM32" s="69">
        <v>547.63393205972397</v>
      </c>
      <c r="AN32" s="69">
        <v>97.745222774509898</v>
      </c>
      <c r="AO32" s="69">
        <v>61.703314912923503</v>
      </c>
      <c r="AP32" s="69">
        <v>4870.5470964639499</v>
      </c>
      <c r="AQ32" s="69">
        <v>628.69757808758095</v>
      </c>
      <c r="AR32" s="69">
        <v>35.7120972973986</v>
      </c>
      <c r="AS32" s="69">
        <v>0.51363224818956099</v>
      </c>
      <c r="AT32" s="69">
        <v>0.10443498818560699</v>
      </c>
      <c r="AU32" s="69">
        <v>4.9395638939944497</v>
      </c>
      <c r="AV32" s="69">
        <v>7.0115976134234996</v>
      </c>
      <c r="AW32" s="69">
        <v>90.345568478678402</v>
      </c>
      <c r="AX32" s="69">
        <v>5.2242923705960398E-2</v>
      </c>
      <c r="AY32" s="69">
        <v>0.51941095607159204</v>
      </c>
      <c r="AZ32" s="69">
        <v>1.4334206441334201</v>
      </c>
      <c r="BA32" s="69">
        <v>25.774769697992699</v>
      </c>
      <c r="BB32" s="69">
        <v>0.47960833318068202</v>
      </c>
      <c r="BC32" s="69">
        <v>9.4372585496100605</v>
      </c>
      <c r="BD32" s="69">
        <v>6.5424935538054498</v>
      </c>
      <c r="BE32" s="69">
        <v>8.5184855244352704</v>
      </c>
      <c r="BF32" s="69">
        <v>1.9455183484942</v>
      </c>
      <c r="BG32" s="69">
        <v>129.79180908833899</v>
      </c>
      <c r="BH32" s="69">
        <v>9.6998281755766094</v>
      </c>
      <c r="BI32" s="69">
        <v>1.20111756204597</v>
      </c>
      <c r="BJ32" s="69">
        <v>42.111556709790797</v>
      </c>
      <c r="BK32" s="69">
        <v>10.4190447511135</v>
      </c>
      <c r="BL32" s="69">
        <v>1.62081450595423</v>
      </c>
      <c r="BM32" s="69">
        <v>11.7550259360097</v>
      </c>
      <c r="BN32" s="69">
        <v>3.8507002150321101</v>
      </c>
      <c r="BO32" s="69">
        <v>1.3089232810957601</v>
      </c>
      <c r="BP32" s="69">
        <v>4.3465906681322899</v>
      </c>
      <c r="BQ32" s="70">
        <v>0</v>
      </c>
      <c r="BR32" s="71">
        <v>40486.8265352952</v>
      </c>
      <c r="BS32" s="72">
        <v>21.664827368630501</v>
      </c>
      <c r="BT32" s="73">
        <v>0</v>
      </c>
      <c r="BU32" s="73">
        <v>0</v>
      </c>
      <c r="BV32" s="73">
        <v>109.64376215904301</v>
      </c>
      <c r="BW32" s="73">
        <v>483.44833806542402</v>
      </c>
      <c r="BX32" s="74">
        <v>998.58099769933403</v>
      </c>
      <c r="BY32" s="71">
        <v>1613.3379252924301</v>
      </c>
      <c r="BZ32" s="75">
        <v>42100.164460587599</v>
      </c>
    </row>
    <row r="33" spans="1:78" ht="15" customHeight="1" x14ac:dyDescent="0.3">
      <c r="A33" s="33" t="s">
        <v>51</v>
      </c>
      <c r="B33" s="11" t="s">
        <v>119</v>
      </c>
      <c r="C33" s="68">
        <v>681.13667629941904</v>
      </c>
      <c r="D33" s="69">
        <v>136.09491225160301</v>
      </c>
      <c r="E33" s="69">
        <v>7.8588073802302301</v>
      </c>
      <c r="F33" s="69">
        <v>4.37082319193805</v>
      </c>
      <c r="G33" s="69">
        <v>111.856005535081</v>
      </c>
      <c r="H33" s="69">
        <v>32.157876014037001</v>
      </c>
      <c r="I33" s="69">
        <v>26.880878036570198</v>
      </c>
      <c r="J33" s="69">
        <v>240.40589197524201</v>
      </c>
      <c r="K33" s="69">
        <v>18.0636659594153</v>
      </c>
      <c r="L33" s="69">
        <v>431.66770350507301</v>
      </c>
      <c r="M33" s="69">
        <v>3.8418779340891098</v>
      </c>
      <c r="N33" s="69">
        <v>0.16179127945459501</v>
      </c>
      <c r="O33" s="69">
        <v>7.5988556095397701</v>
      </c>
      <c r="P33" s="69">
        <v>0.84966900349625696</v>
      </c>
      <c r="Q33" s="69">
        <v>6.8151334421532104</v>
      </c>
      <c r="R33" s="69">
        <v>9.5515525942156003</v>
      </c>
      <c r="S33" s="69">
        <v>420.30251281242698</v>
      </c>
      <c r="T33" s="69">
        <v>162.60606175395901</v>
      </c>
      <c r="U33" s="69">
        <v>1.1696025718143299</v>
      </c>
      <c r="V33" s="69">
        <v>1.83454823074789</v>
      </c>
      <c r="W33" s="69">
        <v>2884.0698379928299</v>
      </c>
      <c r="X33" s="69">
        <v>378.98460868123698</v>
      </c>
      <c r="Y33" s="69">
        <v>45.324739409462801</v>
      </c>
      <c r="Z33" s="69">
        <v>17.125485151876799</v>
      </c>
      <c r="AA33" s="69">
        <v>98.249868576514999</v>
      </c>
      <c r="AB33" s="69">
        <v>216.66741502098901</v>
      </c>
      <c r="AC33" s="69">
        <v>1766.86706104225</v>
      </c>
      <c r="AD33" s="69">
        <v>11988.8089303042</v>
      </c>
      <c r="AE33" s="69">
        <v>2608.4309746081399</v>
      </c>
      <c r="AF33" s="69">
        <v>201.51144444055299</v>
      </c>
      <c r="AG33" s="69">
        <v>8182.6081012700897</v>
      </c>
      <c r="AH33" s="69">
        <v>1553.95090862341</v>
      </c>
      <c r="AI33" s="69">
        <v>581.01876912419004</v>
      </c>
      <c r="AJ33" s="69">
        <v>2600.95464716886</v>
      </c>
      <c r="AK33" s="69">
        <v>588.88112522777703</v>
      </c>
      <c r="AL33" s="69">
        <v>2647.3145690788501</v>
      </c>
      <c r="AM33" s="69">
        <v>587.32368123408901</v>
      </c>
      <c r="AN33" s="69">
        <v>27.333852884789199</v>
      </c>
      <c r="AO33" s="69">
        <v>124.58219201749201</v>
      </c>
      <c r="AP33" s="69">
        <v>2384.0596023042699</v>
      </c>
      <c r="AQ33" s="69">
        <v>187.37064266938401</v>
      </c>
      <c r="AR33" s="69">
        <v>38.7672902898532</v>
      </c>
      <c r="AS33" s="69">
        <v>0.66171004731500405</v>
      </c>
      <c r="AT33" s="69">
        <v>3.3116327601672699E-2</v>
      </c>
      <c r="AU33" s="69">
        <v>2.3503313500037102</v>
      </c>
      <c r="AV33" s="69">
        <v>2.31012063618939</v>
      </c>
      <c r="AW33" s="69">
        <v>31.733369297143099</v>
      </c>
      <c r="AX33" s="69">
        <v>0.107475046667224</v>
      </c>
      <c r="AY33" s="69">
        <v>0.36534930790030301</v>
      </c>
      <c r="AZ33" s="69">
        <v>1.5599782523094801</v>
      </c>
      <c r="BA33" s="69">
        <v>2.8144761305149801</v>
      </c>
      <c r="BB33" s="69">
        <v>0.38121684562674502</v>
      </c>
      <c r="BC33" s="69">
        <v>42.238861505537002</v>
      </c>
      <c r="BD33" s="69">
        <v>6.9470878163800203</v>
      </c>
      <c r="BE33" s="69">
        <v>2.75312941671022</v>
      </c>
      <c r="BF33" s="69">
        <v>2.3975807493435801</v>
      </c>
      <c r="BG33" s="69">
        <v>5.60594913436596</v>
      </c>
      <c r="BH33" s="69">
        <v>9.2467017383716197</v>
      </c>
      <c r="BI33" s="69">
        <v>0.45363586143667101</v>
      </c>
      <c r="BJ33" s="69">
        <v>14.3405791094803</v>
      </c>
      <c r="BK33" s="69">
        <v>3.2680235248390499</v>
      </c>
      <c r="BL33" s="69">
        <v>1.9233722280156</v>
      </c>
      <c r="BM33" s="69">
        <v>5.93591466525824</v>
      </c>
      <c r="BN33" s="69">
        <v>6.9765570755449504</v>
      </c>
      <c r="BO33" s="69">
        <v>1.4921937607520499</v>
      </c>
      <c r="BP33" s="69">
        <v>18.512849501227901</v>
      </c>
      <c r="BQ33" s="70">
        <v>0</v>
      </c>
      <c r="BR33" s="71">
        <v>42179.840171830103</v>
      </c>
      <c r="BS33" s="72">
        <v>8.9442753531753993</v>
      </c>
      <c r="BT33" s="73">
        <v>0</v>
      </c>
      <c r="BU33" s="73">
        <v>0</v>
      </c>
      <c r="BV33" s="73">
        <v>38.440494644325199</v>
      </c>
      <c r="BW33" s="73">
        <v>255.239861638224</v>
      </c>
      <c r="BX33" s="74">
        <v>96.046805770868005</v>
      </c>
      <c r="BY33" s="71">
        <v>398.67143740659299</v>
      </c>
      <c r="BZ33" s="75">
        <v>42578.511609236702</v>
      </c>
    </row>
    <row r="34" spans="1:78" ht="15" customHeight="1" x14ac:dyDescent="0.3">
      <c r="A34" s="33" t="s">
        <v>52</v>
      </c>
      <c r="B34" s="11" t="s">
        <v>120</v>
      </c>
      <c r="C34" s="68">
        <v>146.627091641498</v>
      </c>
      <c r="D34" s="69">
        <v>153.090151434517</v>
      </c>
      <c r="E34" s="69">
        <v>12.8420012487486</v>
      </c>
      <c r="F34" s="69">
        <v>15.7067263957346</v>
      </c>
      <c r="G34" s="69">
        <v>591.44401573719699</v>
      </c>
      <c r="H34" s="69">
        <v>587.60136370941302</v>
      </c>
      <c r="I34" s="69">
        <v>82.294446294195893</v>
      </c>
      <c r="J34" s="69">
        <v>312.73545362920902</v>
      </c>
      <c r="K34" s="69">
        <v>54.961746513653402</v>
      </c>
      <c r="L34" s="69">
        <v>297.62710322975101</v>
      </c>
      <c r="M34" s="69">
        <v>204.57518871531499</v>
      </c>
      <c r="N34" s="69">
        <v>6.81750528807477</v>
      </c>
      <c r="O34" s="69">
        <v>36.246249969848797</v>
      </c>
      <c r="P34" s="69">
        <v>28.5009247944155</v>
      </c>
      <c r="Q34" s="69">
        <v>20.9038524937022</v>
      </c>
      <c r="R34" s="69">
        <v>541.17468988663904</v>
      </c>
      <c r="S34" s="69">
        <v>75.077223417263298</v>
      </c>
      <c r="T34" s="69">
        <v>12.7448955102982</v>
      </c>
      <c r="U34" s="69">
        <v>63.329287831113902</v>
      </c>
      <c r="V34" s="69">
        <v>51.741931735652898</v>
      </c>
      <c r="W34" s="69">
        <v>195.046554161356</v>
      </c>
      <c r="X34" s="69">
        <v>105.909113987423</v>
      </c>
      <c r="Y34" s="69">
        <v>62.379981288275197</v>
      </c>
      <c r="Z34" s="69">
        <v>30.687004331846101</v>
      </c>
      <c r="AA34" s="69">
        <v>186.49520636415201</v>
      </c>
      <c r="AB34" s="69">
        <v>117.379425663475</v>
      </c>
      <c r="AC34" s="69">
        <v>338.14364849101099</v>
      </c>
      <c r="AD34" s="69">
        <v>287.612009161635</v>
      </c>
      <c r="AE34" s="69">
        <v>2800.2199369401001</v>
      </c>
      <c r="AF34" s="69">
        <v>325.69845672636097</v>
      </c>
      <c r="AG34" s="69">
        <v>829.08150636524601</v>
      </c>
      <c r="AH34" s="69">
        <v>2213.9303520434601</v>
      </c>
      <c r="AI34" s="69">
        <v>1568.2169693620301</v>
      </c>
      <c r="AJ34" s="69">
        <v>622.96653018177699</v>
      </c>
      <c r="AK34" s="69">
        <v>492.16091261735102</v>
      </c>
      <c r="AL34" s="69">
        <v>737.40082817513201</v>
      </c>
      <c r="AM34" s="69">
        <v>1214.0818415177</v>
      </c>
      <c r="AN34" s="69">
        <v>559.43420633505104</v>
      </c>
      <c r="AO34" s="69">
        <v>115.143755248315</v>
      </c>
      <c r="AP34" s="69">
        <v>2926.0252411607999</v>
      </c>
      <c r="AQ34" s="69">
        <v>715.53495301945998</v>
      </c>
      <c r="AR34" s="69">
        <v>137.943951219204</v>
      </c>
      <c r="AS34" s="69">
        <v>3.19389475321515</v>
      </c>
      <c r="AT34" s="69">
        <v>0.79606770378875003</v>
      </c>
      <c r="AU34" s="69">
        <v>8.0365005706269699</v>
      </c>
      <c r="AV34" s="69">
        <v>111.74418218093101</v>
      </c>
      <c r="AW34" s="69">
        <v>1385.3561726793</v>
      </c>
      <c r="AX34" s="69">
        <v>0.200749973787053</v>
      </c>
      <c r="AY34" s="69">
        <v>5.3736136723150398</v>
      </c>
      <c r="AZ34" s="69">
        <v>8.3950240161059302</v>
      </c>
      <c r="BA34" s="69">
        <v>6.75335743034542</v>
      </c>
      <c r="BB34" s="69">
        <v>1.13220941923177</v>
      </c>
      <c r="BC34" s="69">
        <v>73.836870763774201</v>
      </c>
      <c r="BD34" s="69">
        <v>9.5678967589531503</v>
      </c>
      <c r="BE34" s="69">
        <v>11.5796284382553</v>
      </c>
      <c r="BF34" s="69">
        <v>3.1979779370409398</v>
      </c>
      <c r="BG34" s="69">
        <v>9.7293773430936206</v>
      </c>
      <c r="BH34" s="69">
        <v>21.100846722623899</v>
      </c>
      <c r="BI34" s="69">
        <v>18.335908140955699</v>
      </c>
      <c r="BJ34" s="69">
        <v>278.22837237075203</v>
      </c>
      <c r="BK34" s="69">
        <v>9.8744329011041696</v>
      </c>
      <c r="BL34" s="69">
        <v>1.4592642334208801</v>
      </c>
      <c r="BM34" s="69">
        <v>22.1384441689281</v>
      </c>
      <c r="BN34" s="69">
        <v>27.090811550893701</v>
      </c>
      <c r="BO34" s="69">
        <v>1.9999253928599201</v>
      </c>
      <c r="BP34" s="69">
        <v>14.243425731304299</v>
      </c>
      <c r="BQ34" s="70">
        <v>0</v>
      </c>
      <c r="BR34" s="71">
        <v>21910.899188691001</v>
      </c>
      <c r="BS34" s="72">
        <v>120.61994190567999</v>
      </c>
      <c r="BT34" s="73">
        <v>0</v>
      </c>
      <c r="BU34" s="73">
        <v>0</v>
      </c>
      <c r="BV34" s="73">
        <v>1721.11058972706</v>
      </c>
      <c r="BW34" s="73">
        <v>3678.0004598670798</v>
      </c>
      <c r="BX34" s="74">
        <v>1489.3304998869401</v>
      </c>
      <c r="BY34" s="71">
        <v>7009.0614913867603</v>
      </c>
      <c r="BZ34" s="75">
        <v>28919.960680077798</v>
      </c>
    </row>
    <row r="35" spans="1:78" ht="15" customHeight="1" x14ac:dyDescent="0.3">
      <c r="A35" s="33" t="s">
        <v>53</v>
      </c>
      <c r="B35" s="11" t="s">
        <v>121</v>
      </c>
      <c r="C35" s="68">
        <v>3.28714821231919</v>
      </c>
      <c r="D35" s="69">
        <v>3.1715250165678199</v>
      </c>
      <c r="E35" s="69">
        <v>0.374144813058092</v>
      </c>
      <c r="F35" s="69">
        <v>8.2917227622581002</v>
      </c>
      <c r="G35" s="69">
        <v>823.51202578531297</v>
      </c>
      <c r="H35" s="69">
        <v>318.71962709983399</v>
      </c>
      <c r="I35" s="69">
        <v>33.8827464424634</v>
      </c>
      <c r="J35" s="69">
        <v>44.708572113697102</v>
      </c>
      <c r="K35" s="69">
        <v>1.5024980906540699</v>
      </c>
      <c r="L35" s="69">
        <v>10.7899220722867</v>
      </c>
      <c r="M35" s="69">
        <v>1.48172444831001</v>
      </c>
      <c r="N35" s="69">
        <v>0.19800983923361301</v>
      </c>
      <c r="O35" s="69">
        <v>4.0486384576588996</v>
      </c>
      <c r="P35" s="69">
        <v>4.24770104070274</v>
      </c>
      <c r="Q35" s="69">
        <v>2.1725453348931398</v>
      </c>
      <c r="R35" s="69">
        <v>8.7033656676678497</v>
      </c>
      <c r="S35" s="69">
        <v>7.9617355193046802</v>
      </c>
      <c r="T35" s="69">
        <v>1044.5774300154301</v>
      </c>
      <c r="U35" s="69">
        <v>1.6012105984565199</v>
      </c>
      <c r="V35" s="69">
        <v>1.6607991634355701</v>
      </c>
      <c r="W35" s="69">
        <v>18.259867688489301</v>
      </c>
      <c r="X35" s="69">
        <v>10.7920447702486</v>
      </c>
      <c r="Y35" s="69">
        <v>3.9171384644799598</v>
      </c>
      <c r="Z35" s="69">
        <v>3.08879937207915</v>
      </c>
      <c r="AA35" s="69">
        <v>35.841672822478401</v>
      </c>
      <c r="AB35" s="69">
        <v>8.6032886461173703</v>
      </c>
      <c r="AC35" s="69">
        <v>6.7256637433686999</v>
      </c>
      <c r="AD35" s="69">
        <v>7.0522702658633696</v>
      </c>
      <c r="AE35" s="69">
        <v>9.3921856104605794</v>
      </c>
      <c r="AF35" s="69">
        <v>63517.7523161965</v>
      </c>
      <c r="AG35" s="69">
        <v>2220.3454155209802</v>
      </c>
      <c r="AH35" s="69">
        <v>2500.3448391127199</v>
      </c>
      <c r="AI35" s="69">
        <v>546.56943492360301</v>
      </c>
      <c r="AJ35" s="69">
        <v>1180.1427933709499</v>
      </c>
      <c r="AK35" s="69">
        <v>143.771492543422</v>
      </c>
      <c r="AL35" s="69">
        <v>264.45088427130997</v>
      </c>
      <c r="AM35" s="69">
        <v>2893.2976976577302</v>
      </c>
      <c r="AN35" s="69">
        <v>563.80504748990495</v>
      </c>
      <c r="AO35" s="69">
        <v>34.615219514798</v>
      </c>
      <c r="AP35" s="69">
        <v>630.58898166311997</v>
      </c>
      <c r="AQ35" s="69">
        <v>638.82770744834897</v>
      </c>
      <c r="AR35" s="69">
        <v>39.034276651053098</v>
      </c>
      <c r="AS35" s="69">
        <v>9.9653686031469793</v>
      </c>
      <c r="AT35" s="69">
        <v>12.258418375872299</v>
      </c>
      <c r="AU35" s="69">
        <v>1264.86745480575</v>
      </c>
      <c r="AV35" s="69">
        <v>0.92658443981280902</v>
      </c>
      <c r="AW35" s="69">
        <v>2.1208340010531801</v>
      </c>
      <c r="AX35" s="69">
        <v>0.31660612099511198</v>
      </c>
      <c r="AY35" s="69">
        <v>528.22049480016199</v>
      </c>
      <c r="AZ35" s="69">
        <v>286.94965012242398</v>
      </c>
      <c r="BA35" s="69">
        <v>7573.7880264752803</v>
      </c>
      <c r="BB35" s="69">
        <v>557.39400768257406</v>
      </c>
      <c r="BC35" s="69">
        <v>6.6580159897239204</v>
      </c>
      <c r="BD35" s="69">
        <v>695.10546397827102</v>
      </c>
      <c r="BE35" s="69">
        <v>1818.3450249123</v>
      </c>
      <c r="BF35" s="69">
        <v>374.17312716857202</v>
      </c>
      <c r="BG35" s="69">
        <v>90.035490611615899</v>
      </c>
      <c r="BH35" s="69">
        <v>1499.7069283609301</v>
      </c>
      <c r="BI35" s="69">
        <v>176.45747201567701</v>
      </c>
      <c r="BJ35" s="69">
        <v>159.86816862868099</v>
      </c>
      <c r="BK35" s="69">
        <v>1018.21404709032</v>
      </c>
      <c r="BL35" s="69">
        <v>240.68903968991501</v>
      </c>
      <c r="BM35" s="69">
        <v>878.53434776465497</v>
      </c>
      <c r="BN35" s="69">
        <v>333.86432037001401</v>
      </c>
      <c r="BO35" s="69">
        <v>129.16134923061199</v>
      </c>
      <c r="BP35" s="69">
        <v>1927.3207769374401</v>
      </c>
      <c r="BQ35" s="70">
        <v>0</v>
      </c>
      <c r="BR35" s="71">
        <v>97187.053148417399</v>
      </c>
      <c r="BS35" s="72">
        <v>3.5777101412701602</v>
      </c>
      <c r="BT35" s="73">
        <v>0</v>
      </c>
      <c r="BU35" s="73">
        <v>0</v>
      </c>
      <c r="BV35" s="73">
        <v>13463.4729535925</v>
      </c>
      <c r="BW35" s="73">
        <v>33626.498264469999</v>
      </c>
      <c r="BX35" s="74">
        <v>4622.9027666893699</v>
      </c>
      <c r="BY35" s="71">
        <v>51716.451694893098</v>
      </c>
      <c r="BZ35" s="75">
        <v>148903.50484331101</v>
      </c>
    </row>
    <row r="36" spans="1:78" ht="15" customHeight="1" x14ac:dyDescent="0.3">
      <c r="A36" s="33" t="s">
        <v>54</v>
      </c>
      <c r="B36" s="11" t="s">
        <v>122</v>
      </c>
      <c r="C36" s="68">
        <v>33.458160104335903</v>
      </c>
      <c r="D36" s="69">
        <v>60.1036239636761</v>
      </c>
      <c r="E36" s="69">
        <v>3.2437179666961802</v>
      </c>
      <c r="F36" s="69">
        <v>26.0315257284762</v>
      </c>
      <c r="G36" s="69">
        <v>336.74227707179801</v>
      </c>
      <c r="H36" s="69">
        <v>174.63706461164699</v>
      </c>
      <c r="I36" s="69">
        <v>26.487121175954499</v>
      </c>
      <c r="J36" s="69">
        <v>64.537127736573197</v>
      </c>
      <c r="K36" s="69">
        <v>33.489795388216102</v>
      </c>
      <c r="L36" s="69">
        <v>87.955244000886793</v>
      </c>
      <c r="M36" s="69">
        <v>19.992866106017299</v>
      </c>
      <c r="N36" s="69">
        <v>4.2445786322307404</v>
      </c>
      <c r="O36" s="69">
        <v>40.771578784838901</v>
      </c>
      <c r="P36" s="69">
        <v>4.1288172789022601</v>
      </c>
      <c r="Q36" s="69">
        <v>8.2170299134076092</v>
      </c>
      <c r="R36" s="69">
        <v>41.580297562857602</v>
      </c>
      <c r="S36" s="69">
        <v>78.323785558254301</v>
      </c>
      <c r="T36" s="69">
        <v>20.336532936159401</v>
      </c>
      <c r="U36" s="69">
        <v>10.4973734879982</v>
      </c>
      <c r="V36" s="69">
        <v>18.100604329027199</v>
      </c>
      <c r="W36" s="69">
        <v>164.93423075350299</v>
      </c>
      <c r="X36" s="69">
        <v>25.7708816191263</v>
      </c>
      <c r="Y36" s="69">
        <v>17.211902378813299</v>
      </c>
      <c r="Z36" s="69">
        <v>9.7797029871904098</v>
      </c>
      <c r="AA36" s="69">
        <v>119.218040299401</v>
      </c>
      <c r="AB36" s="69">
        <v>138.462998483506</v>
      </c>
      <c r="AC36" s="69">
        <v>65.001381139351196</v>
      </c>
      <c r="AD36" s="69">
        <v>193.512907467709</v>
      </c>
      <c r="AE36" s="69">
        <v>107.924882419493</v>
      </c>
      <c r="AF36" s="69">
        <v>2101.8812117518401</v>
      </c>
      <c r="AG36" s="69">
        <v>6722.4263349808298</v>
      </c>
      <c r="AH36" s="69">
        <v>2615.1981627201699</v>
      </c>
      <c r="AI36" s="69">
        <v>611.82971185842803</v>
      </c>
      <c r="AJ36" s="69">
        <v>891.64344935562201</v>
      </c>
      <c r="AK36" s="69">
        <v>217.14455303929799</v>
      </c>
      <c r="AL36" s="69">
        <v>203.989580254353</v>
      </c>
      <c r="AM36" s="69">
        <v>1739.61069042645</v>
      </c>
      <c r="AN36" s="69">
        <v>2853.8539968197601</v>
      </c>
      <c r="AO36" s="69">
        <v>170.55907646636001</v>
      </c>
      <c r="AP36" s="69">
        <v>5232.3623883240798</v>
      </c>
      <c r="AQ36" s="69">
        <v>1037.3530405097099</v>
      </c>
      <c r="AR36" s="69">
        <v>1040.32227251162</v>
      </c>
      <c r="AS36" s="69">
        <v>21.555072099749498</v>
      </c>
      <c r="AT36" s="69">
        <v>0.156029916714544</v>
      </c>
      <c r="AU36" s="69">
        <v>91.155874775624994</v>
      </c>
      <c r="AV36" s="69">
        <v>21.192800821113401</v>
      </c>
      <c r="AW36" s="69">
        <v>25.464897050632501</v>
      </c>
      <c r="AX36" s="69">
        <v>2.5809651288375002</v>
      </c>
      <c r="AY36" s="69">
        <v>36.326889223987997</v>
      </c>
      <c r="AZ36" s="69">
        <v>473.82812677794402</v>
      </c>
      <c r="BA36" s="69">
        <v>65.346864668023201</v>
      </c>
      <c r="BB36" s="69">
        <v>38.670232679911202</v>
      </c>
      <c r="BC36" s="69">
        <v>231.68153991699299</v>
      </c>
      <c r="BD36" s="69">
        <v>392.44302161498001</v>
      </c>
      <c r="BE36" s="69">
        <v>62.307701798548401</v>
      </c>
      <c r="BF36" s="69">
        <v>41.336186494323201</v>
      </c>
      <c r="BG36" s="69">
        <v>25.090703978521599</v>
      </c>
      <c r="BH36" s="69">
        <v>422.68879821946803</v>
      </c>
      <c r="BI36" s="69">
        <v>2.8539551311156699</v>
      </c>
      <c r="BJ36" s="69">
        <v>19.2280022247711</v>
      </c>
      <c r="BK36" s="69">
        <v>34.046236730632899</v>
      </c>
      <c r="BL36" s="69">
        <v>1.5201808821207801</v>
      </c>
      <c r="BM36" s="69">
        <v>25.526849954324</v>
      </c>
      <c r="BN36" s="69">
        <v>6.2403759740668097</v>
      </c>
      <c r="BO36" s="69">
        <v>39.7120833318927</v>
      </c>
      <c r="BP36" s="69">
        <v>648.13623082660604</v>
      </c>
      <c r="BQ36" s="70">
        <v>0</v>
      </c>
      <c r="BR36" s="71">
        <v>30101.960139125498</v>
      </c>
      <c r="BS36" s="72">
        <v>30.9216376495493</v>
      </c>
      <c r="BT36" s="73">
        <v>0</v>
      </c>
      <c r="BU36" s="73">
        <v>0</v>
      </c>
      <c r="BV36" s="73">
        <v>5464.2941602414403</v>
      </c>
      <c r="BW36" s="73">
        <v>13029.1274181138</v>
      </c>
      <c r="BX36" s="74">
        <v>7602.6553618437101</v>
      </c>
      <c r="BY36" s="71">
        <v>26126.998577848499</v>
      </c>
      <c r="BZ36" s="75">
        <v>56228.958716973997</v>
      </c>
    </row>
    <row r="37" spans="1:78" ht="15" customHeight="1" x14ac:dyDescent="0.3">
      <c r="A37" s="33" t="s">
        <v>55</v>
      </c>
      <c r="B37" s="11" t="s">
        <v>123</v>
      </c>
      <c r="C37" s="68">
        <v>22.600389961390501</v>
      </c>
      <c r="D37" s="69">
        <v>29.118514279950901</v>
      </c>
      <c r="E37" s="69">
        <v>4.3192885320883301</v>
      </c>
      <c r="F37" s="69">
        <v>102.178386209755</v>
      </c>
      <c r="G37" s="69">
        <v>6032.5796571544897</v>
      </c>
      <c r="H37" s="69">
        <v>7069.6103818940401</v>
      </c>
      <c r="I37" s="69">
        <v>791.83576005609495</v>
      </c>
      <c r="J37" s="69">
        <v>16.501882838431602</v>
      </c>
      <c r="K37" s="69">
        <v>5.9551873806352198</v>
      </c>
      <c r="L37" s="69">
        <v>19.431541146375402</v>
      </c>
      <c r="M37" s="69">
        <v>9.1107423137210208</v>
      </c>
      <c r="N37" s="69">
        <v>0.34120852546770303</v>
      </c>
      <c r="O37" s="69">
        <v>15.388880159034599</v>
      </c>
      <c r="P37" s="69">
        <v>4.6707339406384296</v>
      </c>
      <c r="Q37" s="69">
        <v>5.9241415884116</v>
      </c>
      <c r="R37" s="69">
        <v>91.436346345829904</v>
      </c>
      <c r="S37" s="69">
        <v>18.1768903348887</v>
      </c>
      <c r="T37" s="69">
        <v>13.8727318979239</v>
      </c>
      <c r="U37" s="69">
        <v>3.3463688148268602</v>
      </c>
      <c r="V37" s="69">
        <v>4.7155468316737696</v>
      </c>
      <c r="W37" s="69">
        <v>14.8490256643561</v>
      </c>
      <c r="X37" s="69">
        <v>10.1571355885103</v>
      </c>
      <c r="Y37" s="69">
        <v>3.7897489639806299</v>
      </c>
      <c r="Z37" s="69">
        <v>4.0110103182119596</v>
      </c>
      <c r="AA37" s="69">
        <v>118.51239772560901</v>
      </c>
      <c r="AB37" s="69">
        <v>22.833069705167802</v>
      </c>
      <c r="AC37" s="69">
        <v>45.114909122265999</v>
      </c>
      <c r="AD37" s="69">
        <v>57.968821967615497</v>
      </c>
      <c r="AE37" s="69">
        <v>138.20693128830601</v>
      </c>
      <c r="AF37" s="69">
        <v>279.43479064162602</v>
      </c>
      <c r="AG37" s="69">
        <v>595.15688310380199</v>
      </c>
      <c r="AH37" s="69">
        <v>23917.104975793802</v>
      </c>
      <c r="AI37" s="69">
        <v>1325.3574081925799</v>
      </c>
      <c r="AJ37" s="69">
        <v>188.477962255119</v>
      </c>
      <c r="AK37" s="69">
        <v>384.25806910825003</v>
      </c>
      <c r="AL37" s="69">
        <v>50.431951714814304</v>
      </c>
      <c r="AM37" s="69">
        <v>9495.4902933297108</v>
      </c>
      <c r="AN37" s="69">
        <v>115.964007496295</v>
      </c>
      <c r="AO37" s="69">
        <v>85.361114307835507</v>
      </c>
      <c r="AP37" s="69">
        <v>1873.1446199377499</v>
      </c>
      <c r="AQ37" s="69">
        <v>647.96286089294404</v>
      </c>
      <c r="AR37" s="69">
        <v>168.26541434761199</v>
      </c>
      <c r="AS37" s="69">
        <v>174.01568189848501</v>
      </c>
      <c r="AT37" s="69">
        <v>1.6949010743384201</v>
      </c>
      <c r="AU37" s="69">
        <v>196.37089425091301</v>
      </c>
      <c r="AV37" s="69">
        <v>7.7389280140371204</v>
      </c>
      <c r="AW37" s="69">
        <v>28.996746772228601</v>
      </c>
      <c r="AX37" s="69">
        <v>1.2954347638898001</v>
      </c>
      <c r="AY37" s="69">
        <v>4.6574800879750802</v>
      </c>
      <c r="AZ37" s="69">
        <v>50.223405099285998</v>
      </c>
      <c r="BA37" s="69">
        <v>44.874230166521897</v>
      </c>
      <c r="BB37" s="69">
        <v>7.5959391322160901</v>
      </c>
      <c r="BC37" s="69">
        <v>9.5007492790343804</v>
      </c>
      <c r="BD37" s="69">
        <v>18.247493667152799</v>
      </c>
      <c r="BE37" s="69">
        <v>43.771032158454403</v>
      </c>
      <c r="BF37" s="69">
        <v>7.6645524401894898</v>
      </c>
      <c r="BG37" s="69">
        <v>8.6525419001039907</v>
      </c>
      <c r="BH37" s="69">
        <v>541.99441341525403</v>
      </c>
      <c r="BI37" s="69">
        <v>1.40403361565996</v>
      </c>
      <c r="BJ37" s="69">
        <v>37.403947020274998</v>
      </c>
      <c r="BK37" s="69">
        <v>16.833230859971</v>
      </c>
      <c r="BL37" s="69">
        <v>1.6841634970188499</v>
      </c>
      <c r="BM37" s="69">
        <v>88.279882817389094</v>
      </c>
      <c r="BN37" s="69">
        <v>18.6099583079565</v>
      </c>
      <c r="BO37" s="69">
        <v>2.9994237759860201</v>
      </c>
      <c r="BP37" s="69">
        <v>33.951128247018197</v>
      </c>
      <c r="BQ37" s="70">
        <v>0</v>
      </c>
      <c r="BR37" s="71">
        <v>55151.4281739332</v>
      </c>
      <c r="BS37" s="72">
        <v>39.3548115539718</v>
      </c>
      <c r="BT37" s="73">
        <v>0</v>
      </c>
      <c r="BU37" s="73">
        <v>0</v>
      </c>
      <c r="BV37" s="73">
        <v>1383.0488057053799</v>
      </c>
      <c r="BW37" s="73">
        <v>48856.139283593599</v>
      </c>
      <c r="BX37" s="74">
        <v>1077.8885105511099</v>
      </c>
      <c r="BY37" s="71">
        <v>51356.431411404097</v>
      </c>
      <c r="BZ37" s="75">
        <v>106507.85958533701</v>
      </c>
    </row>
    <row r="38" spans="1:78" ht="15" customHeight="1" x14ac:dyDescent="0.3">
      <c r="A38" s="33" t="s">
        <v>56</v>
      </c>
      <c r="B38" s="11" t="s">
        <v>124</v>
      </c>
      <c r="C38" s="68">
        <v>1.2258599104598999</v>
      </c>
      <c r="D38" s="69">
        <v>1.3149042632504699</v>
      </c>
      <c r="E38" s="69">
        <v>9.5691870452587494E-2</v>
      </c>
      <c r="F38" s="69">
        <v>0.97956635606625297</v>
      </c>
      <c r="G38" s="69">
        <v>50.933863561919601</v>
      </c>
      <c r="H38" s="69">
        <v>50.913745044957203</v>
      </c>
      <c r="I38" s="69">
        <v>5.4911545836577504</v>
      </c>
      <c r="J38" s="69">
        <v>1.7925791773609301</v>
      </c>
      <c r="K38" s="69">
        <v>9.1135357943718809</v>
      </c>
      <c r="L38" s="69">
        <v>2.5291497091052699</v>
      </c>
      <c r="M38" s="69">
        <v>0.57922034129743105</v>
      </c>
      <c r="N38" s="69">
        <v>8.6740585203957096E-2</v>
      </c>
      <c r="O38" s="69">
        <v>4.4895197010447303</v>
      </c>
      <c r="P38" s="69">
        <v>0.617689879277038</v>
      </c>
      <c r="Q38" s="69">
        <v>1.03014854638833</v>
      </c>
      <c r="R38" s="69">
        <v>1.5009337527615401</v>
      </c>
      <c r="S38" s="69">
        <v>1.7407686692053601</v>
      </c>
      <c r="T38" s="69">
        <v>0.208976900136918</v>
      </c>
      <c r="U38" s="69">
        <v>0.24799541789553001</v>
      </c>
      <c r="V38" s="69">
        <v>0.385004094376171</v>
      </c>
      <c r="W38" s="69">
        <v>2.8622744661135902</v>
      </c>
      <c r="X38" s="69">
        <v>2.7230098811047601</v>
      </c>
      <c r="Y38" s="69">
        <v>0.28833834070533398</v>
      </c>
      <c r="Z38" s="69">
        <v>0.274527467785809</v>
      </c>
      <c r="AA38" s="69">
        <v>6.9325316086215096</v>
      </c>
      <c r="AB38" s="69">
        <v>3.0126756926309501</v>
      </c>
      <c r="AC38" s="69">
        <v>1.6264733787618699</v>
      </c>
      <c r="AD38" s="69">
        <v>1.8637900751693901</v>
      </c>
      <c r="AE38" s="69">
        <v>3.9565517153016101</v>
      </c>
      <c r="AF38" s="69">
        <v>27.4789925579875</v>
      </c>
      <c r="AG38" s="69">
        <v>109.39557999853901</v>
      </c>
      <c r="AH38" s="69">
        <v>217.57973269732099</v>
      </c>
      <c r="AI38" s="69">
        <v>3040.3930804512902</v>
      </c>
      <c r="AJ38" s="69">
        <v>166.20395350211001</v>
      </c>
      <c r="AK38" s="69">
        <v>578.87890280171496</v>
      </c>
      <c r="AL38" s="69">
        <v>4.1494528519027796</v>
      </c>
      <c r="AM38" s="69">
        <v>251.38852884622199</v>
      </c>
      <c r="AN38" s="69">
        <v>51.357520002410901</v>
      </c>
      <c r="AO38" s="69">
        <v>3.7452938224742698</v>
      </c>
      <c r="AP38" s="69">
        <v>109.27373820172799</v>
      </c>
      <c r="AQ38" s="69">
        <v>379.62406158777401</v>
      </c>
      <c r="AR38" s="69">
        <v>489.49856123893397</v>
      </c>
      <c r="AS38" s="69">
        <v>1.7724772859826401</v>
      </c>
      <c r="AT38" s="69">
        <v>4.0035871255043503E-3</v>
      </c>
      <c r="AU38" s="69">
        <v>2.88536347493541</v>
      </c>
      <c r="AV38" s="69">
        <v>0.45797957464186601</v>
      </c>
      <c r="AW38" s="69">
        <v>1.11863546551462</v>
      </c>
      <c r="AX38" s="69">
        <v>6.11244196508672E-2</v>
      </c>
      <c r="AY38" s="69">
        <v>0.63674920907747301</v>
      </c>
      <c r="AZ38" s="69">
        <v>8.8666642730790208</v>
      </c>
      <c r="BA38" s="69">
        <v>0.50591409905013296</v>
      </c>
      <c r="BB38" s="69">
        <v>0.69921229963300802</v>
      </c>
      <c r="BC38" s="69">
        <v>4.3602576146625402</v>
      </c>
      <c r="BD38" s="69">
        <v>7.2728328145926699</v>
      </c>
      <c r="BE38" s="69">
        <v>12.6295356195072</v>
      </c>
      <c r="BF38" s="69">
        <v>0.82468064178799305</v>
      </c>
      <c r="BG38" s="69">
        <v>3.0903904361059702</v>
      </c>
      <c r="BH38" s="69">
        <v>11.9536109078831</v>
      </c>
      <c r="BI38" s="69">
        <v>4.9285132121856201E-2</v>
      </c>
      <c r="BJ38" s="69">
        <v>3.0365283123193199</v>
      </c>
      <c r="BK38" s="69">
        <v>2.24403075667359</v>
      </c>
      <c r="BL38" s="69">
        <v>8.0571726375628094E-2</v>
      </c>
      <c r="BM38" s="69">
        <v>3.1942362371866699</v>
      </c>
      <c r="BN38" s="69">
        <v>0.20134818480060701</v>
      </c>
      <c r="BO38" s="69">
        <v>0.74691960911122501</v>
      </c>
      <c r="BP38" s="69">
        <v>8.9001454673914999</v>
      </c>
      <c r="BQ38" s="70">
        <v>0</v>
      </c>
      <c r="BR38" s="71">
        <v>5663.3771164950003</v>
      </c>
      <c r="BS38" s="72">
        <v>403.25904306602303</v>
      </c>
      <c r="BT38" s="73">
        <v>0</v>
      </c>
      <c r="BU38" s="73">
        <v>0</v>
      </c>
      <c r="BV38" s="73">
        <v>23143.903524892801</v>
      </c>
      <c r="BW38" s="73">
        <v>14205.0303564034</v>
      </c>
      <c r="BX38" s="74">
        <v>130.519531576752</v>
      </c>
      <c r="BY38" s="71">
        <v>37882.712455938898</v>
      </c>
      <c r="BZ38" s="75">
        <v>43546.089572433899</v>
      </c>
    </row>
    <row r="39" spans="1:78" ht="15" customHeight="1" x14ac:dyDescent="0.3">
      <c r="A39" s="33" t="s">
        <v>57</v>
      </c>
      <c r="B39" s="11" t="s">
        <v>125</v>
      </c>
      <c r="C39" s="68">
        <v>8.3834987173891093</v>
      </c>
      <c r="D39" s="69">
        <v>5.4851519240920901</v>
      </c>
      <c r="E39" s="69">
        <v>0.32107581795295598</v>
      </c>
      <c r="F39" s="69">
        <v>5.9380909383282301</v>
      </c>
      <c r="G39" s="69">
        <v>153.63176523747299</v>
      </c>
      <c r="H39" s="69">
        <v>157.46102029389101</v>
      </c>
      <c r="I39" s="69">
        <v>17.476935038902699</v>
      </c>
      <c r="J39" s="69">
        <v>7.6752025369944601</v>
      </c>
      <c r="K39" s="69">
        <v>1.5196354965738901</v>
      </c>
      <c r="L39" s="69">
        <v>13.9973182596468</v>
      </c>
      <c r="M39" s="69">
        <v>5.4237361899961902</v>
      </c>
      <c r="N39" s="69">
        <v>0.11379703945155301</v>
      </c>
      <c r="O39" s="69">
        <v>5.3616634955252698</v>
      </c>
      <c r="P39" s="69">
        <v>0.90747157897302599</v>
      </c>
      <c r="Q39" s="69">
        <v>2.5425915518772402</v>
      </c>
      <c r="R39" s="69">
        <v>7.88008401875339</v>
      </c>
      <c r="S39" s="69">
        <v>4.7069355853474004</v>
      </c>
      <c r="T39" s="69">
        <v>9.4111342872569104</v>
      </c>
      <c r="U39" s="69">
        <v>3.7026706950172001</v>
      </c>
      <c r="V39" s="69">
        <v>1.19296111737619</v>
      </c>
      <c r="W39" s="69">
        <v>6.5611727909720603</v>
      </c>
      <c r="X39" s="69">
        <v>7.8826015557983498</v>
      </c>
      <c r="Y39" s="69">
        <v>3.2228595547639198</v>
      </c>
      <c r="Z39" s="69">
        <v>2.2730059985486002</v>
      </c>
      <c r="AA39" s="69">
        <v>33.0952531673328</v>
      </c>
      <c r="AB39" s="69">
        <v>11.9832927347717</v>
      </c>
      <c r="AC39" s="69">
        <v>13.105928066681001</v>
      </c>
      <c r="AD39" s="69">
        <v>22.779224481917598</v>
      </c>
      <c r="AE39" s="69">
        <v>38.785072744875798</v>
      </c>
      <c r="AF39" s="69">
        <v>261.80249796812598</v>
      </c>
      <c r="AG39" s="69">
        <v>86.555020420847995</v>
      </c>
      <c r="AH39" s="69">
        <v>568.48309908414899</v>
      </c>
      <c r="AI39" s="69">
        <v>29696.428014279201</v>
      </c>
      <c r="AJ39" s="69">
        <v>8200.1893725258305</v>
      </c>
      <c r="AK39" s="69">
        <v>258.59885979505299</v>
      </c>
      <c r="AL39" s="69">
        <v>17.191197478011599</v>
      </c>
      <c r="AM39" s="69">
        <v>305.46114097828502</v>
      </c>
      <c r="AN39" s="69">
        <v>27.2931302195149</v>
      </c>
      <c r="AO39" s="69">
        <v>4.90584828192745</v>
      </c>
      <c r="AP39" s="69">
        <v>139.91377887257801</v>
      </c>
      <c r="AQ39" s="69">
        <v>12337.1132488774</v>
      </c>
      <c r="AR39" s="69">
        <v>8345.2495628384695</v>
      </c>
      <c r="AS39" s="69">
        <v>4.1586064904495599</v>
      </c>
      <c r="AT39" s="69">
        <v>0.84742684412440294</v>
      </c>
      <c r="AU39" s="69">
        <v>11.392253565739599</v>
      </c>
      <c r="AV39" s="69">
        <v>1.39405191078197</v>
      </c>
      <c r="AW39" s="69">
        <v>14.0533636934291</v>
      </c>
      <c r="AX39" s="69">
        <v>8.2469885388482198E-2</v>
      </c>
      <c r="AY39" s="69">
        <v>0.84738605402437905</v>
      </c>
      <c r="AZ39" s="69">
        <v>4.6571275723252699</v>
      </c>
      <c r="BA39" s="69">
        <v>14.341458791546099</v>
      </c>
      <c r="BB39" s="69">
        <v>0.57573279166568403</v>
      </c>
      <c r="BC39" s="69">
        <v>4.4770558570925196</v>
      </c>
      <c r="BD39" s="69">
        <v>5.1359833678431199</v>
      </c>
      <c r="BE39" s="69">
        <v>35.912381585047001</v>
      </c>
      <c r="BF39" s="69">
        <v>1.2095217515624099</v>
      </c>
      <c r="BG39" s="69">
        <v>140.292490769333</v>
      </c>
      <c r="BH39" s="69">
        <v>18.349298737094401</v>
      </c>
      <c r="BI39" s="69">
        <v>0.27024341941325503</v>
      </c>
      <c r="BJ39" s="69">
        <v>86.372161381096404</v>
      </c>
      <c r="BK39" s="69">
        <v>96.469603199647807</v>
      </c>
      <c r="BL39" s="69">
        <v>0.605462205653723</v>
      </c>
      <c r="BM39" s="69">
        <v>145.18022224964199</v>
      </c>
      <c r="BN39" s="69">
        <v>4.3580296243142298</v>
      </c>
      <c r="BO39" s="69">
        <v>0.98893069517445198</v>
      </c>
      <c r="BP39" s="69">
        <v>8.7267838980982901</v>
      </c>
      <c r="BQ39" s="70">
        <v>0</v>
      </c>
      <c r="BR39" s="71">
        <v>61402.703968876303</v>
      </c>
      <c r="BS39" s="72">
        <v>162.27470997903899</v>
      </c>
      <c r="BT39" s="73">
        <v>0</v>
      </c>
      <c r="BU39" s="73">
        <v>0</v>
      </c>
      <c r="BV39" s="73">
        <v>281.51117532439298</v>
      </c>
      <c r="BW39" s="73">
        <v>2217.3834598111998</v>
      </c>
      <c r="BX39" s="74">
        <v>-41.6603485752468</v>
      </c>
      <c r="BY39" s="71">
        <v>2619.50899653938</v>
      </c>
      <c r="BZ39" s="75">
        <v>64022.212965415703</v>
      </c>
    </row>
    <row r="40" spans="1:78" ht="15" customHeight="1" x14ac:dyDescent="0.3">
      <c r="A40" s="33" t="s">
        <v>58</v>
      </c>
      <c r="B40" s="11" t="s">
        <v>126</v>
      </c>
      <c r="C40" s="68">
        <v>0.42260085296852901</v>
      </c>
      <c r="D40" s="69">
        <v>0.37733360229860302</v>
      </c>
      <c r="E40" s="69">
        <v>0.154295949016133</v>
      </c>
      <c r="F40" s="69">
        <v>1.3591253705223301</v>
      </c>
      <c r="G40" s="69">
        <v>33.644313337409798</v>
      </c>
      <c r="H40" s="69">
        <v>38.915125879435301</v>
      </c>
      <c r="I40" s="69">
        <v>4.6875857897009299</v>
      </c>
      <c r="J40" s="69">
        <v>1.9223519403907301</v>
      </c>
      <c r="K40" s="69">
        <v>1.0024794196984801</v>
      </c>
      <c r="L40" s="69">
        <v>1.54047706679846</v>
      </c>
      <c r="M40" s="69">
        <v>0.758229348021774</v>
      </c>
      <c r="N40" s="69">
        <v>2.69278507763233E-2</v>
      </c>
      <c r="O40" s="69">
        <v>0.40534164333162598</v>
      </c>
      <c r="P40" s="69">
        <v>3.6049746533248501</v>
      </c>
      <c r="Q40" s="69">
        <v>0.86860403594799596</v>
      </c>
      <c r="R40" s="69">
        <v>1.8829656498488501</v>
      </c>
      <c r="S40" s="69">
        <v>3.6446624865482602</v>
      </c>
      <c r="T40" s="69">
        <v>1.1957584950550499</v>
      </c>
      <c r="U40" s="69">
        <v>0.55512228411618403</v>
      </c>
      <c r="V40" s="69">
        <v>0.96467144139657901</v>
      </c>
      <c r="W40" s="69">
        <v>1.9827577930846301</v>
      </c>
      <c r="X40" s="69">
        <v>0.75889783191150595</v>
      </c>
      <c r="Y40" s="69">
        <v>0.26457140071669599</v>
      </c>
      <c r="Z40" s="69">
        <v>0.81964872271357103</v>
      </c>
      <c r="AA40" s="69">
        <v>4.2150822400848398</v>
      </c>
      <c r="AB40" s="69">
        <v>3.0933685458401001</v>
      </c>
      <c r="AC40" s="69">
        <v>9.4379683876167704</v>
      </c>
      <c r="AD40" s="69">
        <v>2.5074630894407002</v>
      </c>
      <c r="AE40" s="69">
        <v>5.19371438850981</v>
      </c>
      <c r="AF40" s="69">
        <v>1.52242826822067</v>
      </c>
      <c r="AG40" s="69">
        <v>9.5251444701149097</v>
      </c>
      <c r="AH40" s="69">
        <v>118.65127400824301</v>
      </c>
      <c r="AI40" s="69">
        <v>38.738520865885597</v>
      </c>
      <c r="AJ40" s="69">
        <v>11.323875891373399</v>
      </c>
      <c r="AK40" s="69">
        <v>16993.227851662399</v>
      </c>
      <c r="AL40" s="69">
        <v>4.9116763271417501</v>
      </c>
      <c r="AM40" s="69">
        <v>4561.6838043347097</v>
      </c>
      <c r="AN40" s="69">
        <v>2.2677087455992999</v>
      </c>
      <c r="AO40" s="69">
        <v>1.98063632533768</v>
      </c>
      <c r="AP40" s="69">
        <v>18.0694107509884</v>
      </c>
      <c r="AQ40" s="69">
        <v>168.978186437397</v>
      </c>
      <c r="AR40" s="69">
        <v>1269.8641398043501</v>
      </c>
      <c r="AS40" s="69">
        <v>1.41603748910362</v>
      </c>
      <c r="AT40" s="69">
        <v>6.6453270702715797E-2</v>
      </c>
      <c r="AU40" s="69">
        <v>4.4518796561978302</v>
      </c>
      <c r="AV40" s="69">
        <v>0.19006650778460599</v>
      </c>
      <c r="AW40" s="69">
        <v>1.964657210925</v>
      </c>
      <c r="AX40" s="69">
        <v>0.359175716459253</v>
      </c>
      <c r="AY40" s="69">
        <v>0.21285807302131299</v>
      </c>
      <c r="AZ40" s="69">
        <v>0.80922560386833797</v>
      </c>
      <c r="BA40" s="69">
        <v>1.9984747822725699</v>
      </c>
      <c r="BB40" s="69">
        <v>0.42779908774532199</v>
      </c>
      <c r="BC40" s="69">
        <v>0.70983716219968296</v>
      </c>
      <c r="BD40" s="69">
        <v>1.6788459665515001</v>
      </c>
      <c r="BE40" s="69">
        <v>0.92115157945989601</v>
      </c>
      <c r="BF40" s="69">
        <v>0.86008967588032004</v>
      </c>
      <c r="BG40" s="69">
        <v>2.5099064762163401</v>
      </c>
      <c r="BH40" s="69">
        <v>4.55689615836374</v>
      </c>
      <c r="BI40" s="69">
        <v>0.24200012034281099</v>
      </c>
      <c r="BJ40" s="69">
        <v>28.267636876906</v>
      </c>
      <c r="BK40" s="69">
        <v>1.72212881864791</v>
      </c>
      <c r="BL40" s="69">
        <v>9.6754452031254504E-2</v>
      </c>
      <c r="BM40" s="69">
        <v>8.5791991750259893</v>
      </c>
      <c r="BN40" s="69">
        <v>18.466540629496901</v>
      </c>
      <c r="BO40" s="69">
        <v>0.71406298523210798</v>
      </c>
      <c r="BP40" s="69">
        <v>89.889456789758299</v>
      </c>
      <c r="BQ40" s="70">
        <v>0</v>
      </c>
      <c r="BR40" s="71">
        <v>23498.062211652501</v>
      </c>
      <c r="BS40" s="72">
        <v>11957.7294950224</v>
      </c>
      <c r="BT40" s="73">
        <v>0</v>
      </c>
      <c r="BU40" s="73">
        <v>0</v>
      </c>
      <c r="BV40" s="73">
        <v>3647.5595997086298</v>
      </c>
      <c r="BW40" s="73">
        <v>65240.026903302802</v>
      </c>
      <c r="BX40" s="74">
        <v>591.04667277853196</v>
      </c>
      <c r="BY40" s="71">
        <v>81436.362670812305</v>
      </c>
      <c r="BZ40" s="75">
        <v>104934.424882465</v>
      </c>
    </row>
    <row r="41" spans="1:78" ht="15" customHeight="1" x14ac:dyDescent="0.3">
      <c r="A41" s="33" t="s">
        <v>59</v>
      </c>
      <c r="B41" s="11" t="s">
        <v>127</v>
      </c>
      <c r="C41" s="68">
        <v>16.978024648125601</v>
      </c>
      <c r="D41" s="69">
        <v>10.2727323855908</v>
      </c>
      <c r="E41" s="69">
        <v>3.7743995811764801</v>
      </c>
      <c r="F41" s="69">
        <v>3.4214410402855702</v>
      </c>
      <c r="G41" s="69">
        <v>85.253211074872496</v>
      </c>
      <c r="H41" s="69">
        <v>68.948289063909002</v>
      </c>
      <c r="I41" s="69">
        <v>6.5581266371580504</v>
      </c>
      <c r="J41" s="69">
        <v>12.919030281063799</v>
      </c>
      <c r="K41" s="69">
        <v>5.45980916728442</v>
      </c>
      <c r="L41" s="69">
        <v>24.057667639781101</v>
      </c>
      <c r="M41" s="69">
        <v>8.0028949445189905</v>
      </c>
      <c r="N41" s="69">
        <v>0.19482251448941701</v>
      </c>
      <c r="O41" s="69">
        <v>48.865001404194103</v>
      </c>
      <c r="P41" s="69">
        <v>537.59792604456595</v>
      </c>
      <c r="Q41" s="69">
        <v>117.354095665203</v>
      </c>
      <c r="R41" s="69">
        <v>12.739258526343599</v>
      </c>
      <c r="S41" s="69">
        <v>12.583874510052899</v>
      </c>
      <c r="T41" s="69">
        <v>13.3413157686571</v>
      </c>
      <c r="U41" s="69">
        <v>8.2620156069431907</v>
      </c>
      <c r="V41" s="69">
        <v>0.92026451938564702</v>
      </c>
      <c r="W41" s="69">
        <v>87.953604993472396</v>
      </c>
      <c r="X41" s="69">
        <v>37.835106235651097</v>
      </c>
      <c r="Y41" s="69">
        <v>8.8316913492866291</v>
      </c>
      <c r="Z41" s="69">
        <v>82.425138194090195</v>
      </c>
      <c r="AA41" s="69">
        <v>110.932329417326</v>
      </c>
      <c r="AB41" s="69">
        <v>67.098894247646001</v>
      </c>
      <c r="AC41" s="69">
        <v>9.0974576550608397</v>
      </c>
      <c r="AD41" s="69">
        <v>8.9226132356819097</v>
      </c>
      <c r="AE41" s="69">
        <v>26.1978009187876</v>
      </c>
      <c r="AF41" s="69">
        <v>132.223414572146</v>
      </c>
      <c r="AG41" s="69">
        <v>33.107219054929999</v>
      </c>
      <c r="AH41" s="69">
        <v>410.98298870975998</v>
      </c>
      <c r="AI41" s="69">
        <v>129.88477366274799</v>
      </c>
      <c r="AJ41" s="69">
        <v>234.94580784698999</v>
      </c>
      <c r="AK41" s="69">
        <v>81.615796195820494</v>
      </c>
      <c r="AL41" s="69">
        <v>1823.8377403570601</v>
      </c>
      <c r="AM41" s="69">
        <v>140.670209121883</v>
      </c>
      <c r="AN41" s="69">
        <v>23.366617054543401</v>
      </c>
      <c r="AO41" s="69">
        <v>21.047658555737399</v>
      </c>
      <c r="AP41" s="69">
        <v>269.35405413443101</v>
      </c>
      <c r="AQ41" s="69">
        <v>273.39299134281498</v>
      </c>
      <c r="AR41" s="69">
        <v>53.651631508392001</v>
      </c>
      <c r="AS41" s="69">
        <v>50.085019462377304</v>
      </c>
      <c r="AT41" s="69">
        <v>0.253613019239465</v>
      </c>
      <c r="AU41" s="69">
        <v>103.17410667404501</v>
      </c>
      <c r="AV41" s="69">
        <v>3.1081328011134</v>
      </c>
      <c r="AW41" s="69">
        <v>14.006275549828301</v>
      </c>
      <c r="AX41" s="69">
        <v>0.178937798791243</v>
      </c>
      <c r="AY41" s="69">
        <v>14.133766595995199</v>
      </c>
      <c r="AZ41" s="69">
        <v>0.92387308537866097</v>
      </c>
      <c r="BA41" s="69">
        <v>42.918384046957399</v>
      </c>
      <c r="BB41" s="69">
        <v>54.709045098895601</v>
      </c>
      <c r="BC41" s="69">
        <v>47.761820987939402</v>
      </c>
      <c r="BD41" s="69">
        <v>94.919351137221597</v>
      </c>
      <c r="BE41" s="69">
        <v>185.42921933565501</v>
      </c>
      <c r="BF41" s="69">
        <v>127.549416690556</v>
      </c>
      <c r="BG41" s="69">
        <v>220.52576433400401</v>
      </c>
      <c r="BH41" s="69">
        <v>52.828101274742203</v>
      </c>
      <c r="BI41" s="69">
        <v>7.6333338310344399</v>
      </c>
      <c r="BJ41" s="69">
        <v>52.513612410938599</v>
      </c>
      <c r="BK41" s="69">
        <v>362.63283587591599</v>
      </c>
      <c r="BL41" s="69">
        <v>11.2478772892138</v>
      </c>
      <c r="BM41" s="69">
        <v>1659.19768420333</v>
      </c>
      <c r="BN41" s="69">
        <v>3881.9620793347299</v>
      </c>
      <c r="BO41" s="69">
        <v>49.611565621931199</v>
      </c>
      <c r="BP41" s="69">
        <v>48.374899999322402</v>
      </c>
      <c r="BQ41" s="70">
        <v>0</v>
      </c>
      <c r="BR41" s="71">
        <v>12150.558455847</v>
      </c>
      <c r="BS41" s="72">
        <v>50.854594150911602</v>
      </c>
      <c r="BT41" s="73">
        <v>22.561374001884602</v>
      </c>
      <c r="BU41" s="73">
        <v>0</v>
      </c>
      <c r="BV41" s="73">
        <v>11429.430993861501</v>
      </c>
      <c r="BW41" s="73">
        <v>4409.4796845602004</v>
      </c>
      <c r="BX41" s="74">
        <v>151.216758275796</v>
      </c>
      <c r="BY41" s="71">
        <v>16063.543404850299</v>
      </c>
      <c r="BZ41" s="75">
        <v>28214.101860697301</v>
      </c>
    </row>
    <row r="42" spans="1:78" ht="15" customHeight="1" x14ac:dyDescent="0.3">
      <c r="A42" s="33" t="s">
        <v>60</v>
      </c>
      <c r="B42" s="11" t="s">
        <v>128</v>
      </c>
      <c r="C42" s="68">
        <v>23.1509939771083</v>
      </c>
      <c r="D42" s="69">
        <v>8.8655530769607402</v>
      </c>
      <c r="E42" s="69">
        <v>15.1797459257787</v>
      </c>
      <c r="F42" s="69">
        <v>130.30060468406401</v>
      </c>
      <c r="G42" s="69">
        <v>307.57843876898897</v>
      </c>
      <c r="H42" s="69">
        <v>440.72143614373903</v>
      </c>
      <c r="I42" s="69">
        <v>100.530070821479</v>
      </c>
      <c r="J42" s="69">
        <v>191.391080714644</v>
      </c>
      <c r="K42" s="69">
        <v>136.38440749357099</v>
      </c>
      <c r="L42" s="69">
        <v>98.336812576497707</v>
      </c>
      <c r="M42" s="69">
        <v>58.825411868858502</v>
      </c>
      <c r="N42" s="69">
        <v>2.3395638647754899</v>
      </c>
      <c r="O42" s="69">
        <v>20.635970888781099</v>
      </c>
      <c r="P42" s="69">
        <v>33.941104179382997</v>
      </c>
      <c r="Q42" s="69">
        <v>21.084817630105899</v>
      </c>
      <c r="R42" s="69">
        <v>129.07189234930101</v>
      </c>
      <c r="S42" s="69">
        <v>525.07433319118002</v>
      </c>
      <c r="T42" s="69">
        <v>170.810361012154</v>
      </c>
      <c r="U42" s="69">
        <v>68.144516638775201</v>
      </c>
      <c r="V42" s="69">
        <v>135.59957884956501</v>
      </c>
      <c r="W42" s="69">
        <v>205.57982602368301</v>
      </c>
      <c r="X42" s="69">
        <v>75.105207597650306</v>
      </c>
      <c r="Y42" s="69">
        <v>11.9314455703466</v>
      </c>
      <c r="Z42" s="69">
        <v>91.756930478257701</v>
      </c>
      <c r="AA42" s="69">
        <v>89.861457736397199</v>
      </c>
      <c r="AB42" s="69">
        <v>352.479931108068</v>
      </c>
      <c r="AC42" s="69">
        <v>1320.4710791734501</v>
      </c>
      <c r="AD42" s="69">
        <v>347.53457473933599</v>
      </c>
      <c r="AE42" s="69">
        <v>121.281689030656</v>
      </c>
      <c r="AF42" s="69">
        <v>99.026711970948298</v>
      </c>
      <c r="AG42" s="69">
        <v>136.405783378509</v>
      </c>
      <c r="AH42" s="69">
        <v>393.188790294081</v>
      </c>
      <c r="AI42" s="69">
        <v>42.248991473752596</v>
      </c>
      <c r="AJ42" s="69">
        <v>94.141537405265794</v>
      </c>
      <c r="AK42" s="69">
        <v>36.460102601398603</v>
      </c>
      <c r="AL42" s="69">
        <v>114.03807338497499</v>
      </c>
      <c r="AM42" s="69">
        <v>156.87513514639701</v>
      </c>
      <c r="AN42" s="69">
        <v>56.594928687778498</v>
      </c>
      <c r="AO42" s="69">
        <v>194.45366799735899</v>
      </c>
      <c r="AP42" s="69">
        <v>341.67408780497402</v>
      </c>
      <c r="AQ42" s="69">
        <v>778.137170266667</v>
      </c>
      <c r="AR42" s="69">
        <v>50.947685081431104</v>
      </c>
      <c r="AS42" s="69">
        <v>45.968408834984501</v>
      </c>
      <c r="AT42" s="69">
        <v>9.9371832803150504</v>
      </c>
      <c r="AU42" s="69">
        <v>481.79929329527602</v>
      </c>
      <c r="AV42" s="69">
        <v>1.3867890704364301</v>
      </c>
      <c r="AW42" s="69">
        <v>22.838446997010202</v>
      </c>
      <c r="AX42" s="69">
        <v>54.292091152173697</v>
      </c>
      <c r="AY42" s="69">
        <v>19.548150034530099</v>
      </c>
      <c r="AZ42" s="69">
        <v>62.208508306848302</v>
      </c>
      <c r="BA42" s="69">
        <v>268.10479000769601</v>
      </c>
      <c r="BB42" s="69">
        <v>19.501609583336801</v>
      </c>
      <c r="BC42" s="69">
        <v>26.679725174320001</v>
      </c>
      <c r="BD42" s="69">
        <v>134.161716931114</v>
      </c>
      <c r="BE42" s="69">
        <v>47.955592353090097</v>
      </c>
      <c r="BF42" s="69">
        <v>26.0135813439251</v>
      </c>
      <c r="BG42" s="69">
        <v>177.88488165707599</v>
      </c>
      <c r="BH42" s="69">
        <v>194.69363474283301</v>
      </c>
      <c r="BI42" s="69">
        <v>27.893620838275499</v>
      </c>
      <c r="BJ42" s="69">
        <v>22.352271666825299</v>
      </c>
      <c r="BK42" s="69">
        <v>3.7199487771566102</v>
      </c>
      <c r="BL42" s="69">
        <v>0.148777999870569</v>
      </c>
      <c r="BM42" s="69">
        <v>11.2929575566612</v>
      </c>
      <c r="BN42" s="69">
        <v>5.1041060342011804</v>
      </c>
      <c r="BO42" s="69">
        <v>68.844713137406202</v>
      </c>
      <c r="BP42" s="69">
        <v>72.020117329799803</v>
      </c>
      <c r="BQ42" s="70">
        <v>0</v>
      </c>
      <c r="BR42" s="71">
        <v>9532.5124177122507</v>
      </c>
      <c r="BS42" s="72">
        <v>14.0552898407042</v>
      </c>
      <c r="BT42" s="73">
        <v>0</v>
      </c>
      <c r="BU42" s="73">
        <v>0</v>
      </c>
      <c r="BV42" s="73">
        <v>60.200430389125003</v>
      </c>
      <c r="BW42" s="73">
        <v>765.11423024310795</v>
      </c>
      <c r="BX42" s="74">
        <v>99.947617692317607</v>
      </c>
      <c r="BY42" s="71">
        <v>939.31756816525501</v>
      </c>
      <c r="BZ42" s="75">
        <v>10471.829985877501</v>
      </c>
    </row>
    <row r="43" spans="1:78" ht="15" customHeight="1" x14ac:dyDescent="0.3">
      <c r="A43" s="33" t="s">
        <v>61</v>
      </c>
      <c r="B43" s="11" t="s">
        <v>129</v>
      </c>
      <c r="C43" s="68">
        <v>0</v>
      </c>
      <c r="D43" s="69">
        <v>0</v>
      </c>
      <c r="E43" s="69">
        <v>0</v>
      </c>
      <c r="F43" s="69">
        <v>7.4314096024260506E-2</v>
      </c>
      <c r="G43" s="69">
        <v>0.60459180153894798</v>
      </c>
      <c r="H43" s="69">
        <v>0.36450407392185502</v>
      </c>
      <c r="I43" s="69">
        <v>7.6454723567510402E-2</v>
      </c>
      <c r="J43" s="69">
        <v>1.76060291265469</v>
      </c>
      <c r="K43" s="69">
        <v>0.51586054228669997</v>
      </c>
      <c r="L43" s="69">
        <v>1.4114372104778901</v>
      </c>
      <c r="M43" s="69">
        <v>0.186493212489451</v>
      </c>
      <c r="N43" s="69">
        <v>7.5291756035859497E-2</v>
      </c>
      <c r="O43" s="69">
        <v>0.413997411111096</v>
      </c>
      <c r="P43" s="69">
        <v>0.71329390505379497</v>
      </c>
      <c r="Q43" s="69">
        <v>0.302324982384024</v>
      </c>
      <c r="R43" s="69">
        <v>0.101924446389491</v>
      </c>
      <c r="S43" s="69">
        <v>0.44263458530657501</v>
      </c>
      <c r="T43" s="69">
        <v>0.106093063212008</v>
      </c>
      <c r="U43" s="69">
        <v>0.57812155146737698</v>
      </c>
      <c r="V43" s="69">
        <v>0.68995110508054602</v>
      </c>
      <c r="W43" s="69">
        <v>0.51407063770537498</v>
      </c>
      <c r="X43" s="69">
        <v>0.35772666822371801</v>
      </c>
      <c r="Y43" s="69">
        <v>0.31047954377716402</v>
      </c>
      <c r="Z43" s="69">
        <v>0.40133586521308501</v>
      </c>
      <c r="AA43" s="69">
        <v>1.0438557146224301</v>
      </c>
      <c r="AB43" s="69">
        <v>0.46158966952313202</v>
      </c>
      <c r="AC43" s="69">
        <v>0.70127764023747396</v>
      </c>
      <c r="AD43" s="69">
        <v>7.1736218244357599E-3</v>
      </c>
      <c r="AE43" s="69">
        <v>0.46330300157661802</v>
      </c>
      <c r="AF43" s="69">
        <v>0.21526912750456001</v>
      </c>
      <c r="AG43" s="69">
        <v>0.323768054901235</v>
      </c>
      <c r="AH43" s="69">
        <v>0.75044641430401904</v>
      </c>
      <c r="AI43" s="69">
        <v>0.163109194178478</v>
      </c>
      <c r="AJ43" s="69">
        <v>0.35605252150257199</v>
      </c>
      <c r="AK43" s="69">
        <v>0.28254157171650501</v>
      </c>
      <c r="AL43" s="69">
        <v>0.61196291852781604</v>
      </c>
      <c r="AM43" s="69">
        <v>0.10648280142550599</v>
      </c>
      <c r="AN43" s="69">
        <v>15491.350418698699</v>
      </c>
      <c r="AO43" s="69">
        <v>0.44768917404401698</v>
      </c>
      <c r="AP43" s="69">
        <v>10.1408019638769</v>
      </c>
      <c r="AQ43" s="69">
        <v>87.493386460478902</v>
      </c>
      <c r="AR43" s="69">
        <v>6.2546266235711299</v>
      </c>
      <c r="AS43" s="69">
        <v>9.2018095860088703E-2</v>
      </c>
      <c r="AT43" s="69">
        <v>3.9972080748173902</v>
      </c>
      <c r="AU43" s="69">
        <v>6.0213764717785203</v>
      </c>
      <c r="AV43" s="69">
        <v>1.4126474763171</v>
      </c>
      <c r="AW43" s="69">
        <v>30.470198753056302</v>
      </c>
      <c r="AX43" s="69">
        <v>0.214102665025318</v>
      </c>
      <c r="AY43" s="69">
        <v>0.84704438069973997</v>
      </c>
      <c r="AZ43" s="69">
        <v>3.1430398424441299</v>
      </c>
      <c r="BA43" s="69">
        <v>9.9701095331820397</v>
      </c>
      <c r="BB43" s="69">
        <v>5.19559464934507</v>
      </c>
      <c r="BC43" s="69">
        <v>20.593815934479</v>
      </c>
      <c r="BD43" s="69">
        <v>23.977401351741001</v>
      </c>
      <c r="BE43" s="69">
        <v>8.5159302644911108</v>
      </c>
      <c r="BF43" s="69">
        <v>7.9167598744407996</v>
      </c>
      <c r="BG43" s="69">
        <v>18.1068159610432</v>
      </c>
      <c r="BH43" s="69">
        <v>25.3476671643594</v>
      </c>
      <c r="BI43" s="69">
        <v>0.51724237744541202</v>
      </c>
      <c r="BJ43" s="69">
        <v>1.37384059010238</v>
      </c>
      <c r="BK43" s="69">
        <v>0.139952739281826</v>
      </c>
      <c r="BL43" s="69">
        <v>7.0805409795171004</v>
      </c>
      <c r="BM43" s="69">
        <v>0</v>
      </c>
      <c r="BN43" s="69">
        <v>9.8963781242565396</v>
      </c>
      <c r="BO43" s="69">
        <v>5.3651496499177602</v>
      </c>
      <c r="BP43" s="69">
        <v>10.8416966391455</v>
      </c>
      <c r="BQ43" s="70">
        <v>0</v>
      </c>
      <c r="BR43" s="71">
        <v>15812.211790859101</v>
      </c>
      <c r="BS43" s="72">
        <v>3.3771109270795399</v>
      </c>
      <c r="BT43" s="73">
        <v>0</v>
      </c>
      <c r="BU43" s="73">
        <v>0</v>
      </c>
      <c r="BV43" s="73">
        <v>0</v>
      </c>
      <c r="BW43" s="73">
        <v>0</v>
      </c>
      <c r="BX43" s="74">
        <v>0</v>
      </c>
      <c r="BY43" s="71">
        <v>3.3771109270795399</v>
      </c>
      <c r="BZ43" s="75">
        <v>15815.588901786199</v>
      </c>
    </row>
    <row r="44" spans="1:78" ht="15" customHeight="1" x14ac:dyDescent="0.3">
      <c r="A44" s="33" t="s">
        <v>62</v>
      </c>
      <c r="B44" s="11" t="s">
        <v>130</v>
      </c>
      <c r="C44" s="68">
        <v>0</v>
      </c>
      <c r="D44" s="69">
        <v>0</v>
      </c>
      <c r="E44" s="69">
        <v>0</v>
      </c>
      <c r="F44" s="69">
        <v>3.4952942289206801E-3</v>
      </c>
      <c r="G44" s="69">
        <v>3.0661375923831198</v>
      </c>
      <c r="H44" s="69">
        <v>1.7115573951865901E-2</v>
      </c>
      <c r="I44" s="69">
        <v>9.35070612992254E-3</v>
      </c>
      <c r="J44" s="69">
        <v>1.3361767989228599</v>
      </c>
      <c r="K44" s="69">
        <v>0.14089761888702501</v>
      </c>
      <c r="L44" s="69">
        <v>0.36703856552578301</v>
      </c>
      <c r="M44" s="69">
        <v>1.0762843365509801E-2</v>
      </c>
      <c r="N44" s="69">
        <v>3.421195792242E-3</v>
      </c>
      <c r="O44" s="69">
        <v>2.6581625849151701E-2</v>
      </c>
      <c r="P44" s="69">
        <v>4.3638323817780898E-2</v>
      </c>
      <c r="Q44" s="69">
        <v>1.8194004003120798E-2</v>
      </c>
      <c r="R44" s="69">
        <v>0.175441761033162</v>
      </c>
      <c r="S44" s="69">
        <v>1.3709318784917499</v>
      </c>
      <c r="T44" s="69">
        <v>1.64989686678726E-2</v>
      </c>
      <c r="U44" s="69">
        <v>6.6801239131088694E-2</v>
      </c>
      <c r="V44" s="69">
        <v>5.4335265256637198E-2</v>
      </c>
      <c r="W44" s="69">
        <v>0.772621038283268</v>
      </c>
      <c r="X44" s="69">
        <v>2.9795700587237101E-2</v>
      </c>
      <c r="Y44" s="69">
        <v>4.5411325704176997E-2</v>
      </c>
      <c r="Z44" s="69">
        <v>2.0165407598573701E-2</v>
      </c>
      <c r="AA44" s="69">
        <v>9.0664981322623503E-2</v>
      </c>
      <c r="AB44" s="69">
        <v>0.10993898406427099</v>
      </c>
      <c r="AC44" s="69">
        <v>0.28466719410269098</v>
      </c>
      <c r="AD44" s="69">
        <v>1.24001535213872E-2</v>
      </c>
      <c r="AE44" s="69">
        <v>4.9074732877595999E-2</v>
      </c>
      <c r="AF44" s="69">
        <v>3.7653403489773703E-2</v>
      </c>
      <c r="AG44" s="69">
        <v>4.6994574833920597E-2</v>
      </c>
      <c r="AH44" s="69">
        <v>0.24948733945069601</v>
      </c>
      <c r="AI44" s="69">
        <v>0.126196479529604</v>
      </c>
      <c r="AJ44" s="69">
        <v>8.00663136223594E-2</v>
      </c>
      <c r="AK44" s="69">
        <v>9.3931557903836893E-2</v>
      </c>
      <c r="AL44" s="69">
        <v>2.84767764557699E-2</v>
      </c>
      <c r="AM44" s="69">
        <v>5.0329644907634698E-3</v>
      </c>
      <c r="AN44" s="69">
        <v>4.9559876904096301E-2</v>
      </c>
      <c r="AO44" s="69">
        <v>2.1187099588385199E-2</v>
      </c>
      <c r="AP44" s="69">
        <v>0.48423054152904399</v>
      </c>
      <c r="AQ44" s="69">
        <v>5.0872807365527404</v>
      </c>
      <c r="AR44" s="69">
        <v>0.98287151177588605</v>
      </c>
      <c r="AS44" s="69">
        <v>0.94804808490967096</v>
      </c>
      <c r="AT44" s="69">
        <v>5.5880717570892403E-3</v>
      </c>
      <c r="AU44" s="69">
        <v>0.33429980485525701</v>
      </c>
      <c r="AV44" s="69">
        <v>6.6905567807409194E-2</v>
      </c>
      <c r="AW44" s="69">
        <v>1.4537575839644299</v>
      </c>
      <c r="AX44" s="69">
        <v>9.9449109710227704E-3</v>
      </c>
      <c r="AY44" s="69">
        <v>4.1452398933230598E-2</v>
      </c>
      <c r="AZ44" s="69">
        <v>0.14727589255184501</v>
      </c>
      <c r="BA44" s="69">
        <v>0.48973758833625902</v>
      </c>
      <c r="BB44" s="69">
        <v>4.3081910083465097E-2</v>
      </c>
      <c r="BC44" s="69">
        <v>0.97536078286830996</v>
      </c>
      <c r="BD44" s="69">
        <v>1.13537778174765</v>
      </c>
      <c r="BE44" s="69">
        <v>0.40689043685929299</v>
      </c>
      <c r="BF44" s="69">
        <v>0.374766065580661</v>
      </c>
      <c r="BG44" s="69">
        <v>0.85757191611328998</v>
      </c>
      <c r="BH44" s="69">
        <v>1.34412820181837</v>
      </c>
      <c r="BI44" s="69">
        <v>2.4459060862963899E-2</v>
      </c>
      <c r="BJ44" s="69">
        <v>6.5067602709561495E-2</v>
      </c>
      <c r="BK44" s="69">
        <v>6.6284176660016299E-3</v>
      </c>
      <c r="BL44" s="69">
        <v>0.33953293402182599</v>
      </c>
      <c r="BM44" s="69">
        <v>0</v>
      </c>
      <c r="BN44" s="69">
        <v>0.46871056561572</v>
      </c>
      <c r="BO44" s="69">
        <v>0.25409364917076099</v>
      </c>
      <c r="BP44" s="69">
        <v>0.51346990374045698</v>
      </c>
      <c r="BQ44" s="70">
        <v>0</v>
      </c>
      <c r="BR44" s="71">
        <v>25.7406770825711</v>
      </c>
      <c r="BS44" s="72">
        <v>0</v>
      </c>
      <c r="BT44" s="73">
        <v>0</v>
      </c>
      <c r="BU44" s="73">
        <v>0</v>
      </c>
      <c r="BV44" s="73">
        <v>0.59862171242585804</v>
      </c>
      <c r="BW44" s="73">
        <v>0</v>
      </c>
      <c r="BX44" s="74">
        <v>0</v>
      </c>
      <c r="BY44" s="71">
        <v>0.59862171242585804</v>
      </c>
      <c r="BZ44" s="75">
        <v>26.3392987949969</v>
      </c>
    </row>
    <row r="45" spans="1:78" ht="15" customHeight="1" x14ac:dyDescent="0.3">
      <c r="A45" s="33" t="s">
        <v>63</v>
      </c>
      <c r="B45" s="11" t="s">
        <v>131</v>
      </c>
      <c r="C45" s="68">
        <v>8.8168536948410807</v>
      </c>
      <c r="D45" s="69">
        <v>1.02817809313085</v>
      </c>
      <c r="E45" s="69">
        <v>1.1681750393622501</v>
      </c>
      <c r="F45" s="69">
        <v>2.4404275653751002</v>
      </c>
      <c r="G45" s="69">
        <v>130.79044347430599</v>
      </c>
      <c r="H45" s="69">
        <v>40.753390452302803</v>
      </c>
      <c r="I45" s="69">
        <v>3.01417438224866</v>
      </c>
      <c r="J45" s="69">
        <v>5.4069613474327101</v>
      </c>
      <c r="K45" s="69">
        <v>6.8122974949126798</v>
      </c>
      <c r="L45" s="69">
        <v>15.3408895821124</v>
      </c>
      <c r="M45" s="69">
        <v>4.20979865884172</v>
      </c>
      <c r="N45" s="69">
        <v>0.94410407913975103</v>
      </c>
      <c r="O45" s="69">
        <v>0.69435088261551703</v>
      </c>
      <c r="P45" s="69">
        <v>1.5988127975517401</v>
      </c>
      <c r="Q45" s="69">
        <v>0.90612352959226605</v>
      </c>
      <c r="R45" s="69">
        <v>2.1991615416423298</v>
      </c>
      <c r="S45" s="69">
        <v>11.3836852076269</v>
      </c>
      <c r="T45" s="69">
        <v>1.28076014726071</v>
      </c>
      <c r="U45" s="69">
        <v>6.9221363345756499</v>
      </c>
      <c r="V45" s="69">
        <v>1.5259920379076</v>
      </c>
      <c r="W45" s="69">
        <v>9.8242748565344709</v>
      </c>
      <c r="X45" s="69">
        <v>7.7945029377308099</v>
      </c>
      <c r="Y45" s="69">
        <v>1.1714488167887001</v>
      </c>
      <c r="Z45" s="69">
        <v>2.60250356720206</v>
      </c>
      <c r="AA45" s="69">
        <v>12.5212477903505</v>
      </c>
      <c r="AB45" s="69">
        <v>4.8711604197353697</v>
      </c>
      <c r="AC45" s="69">
        <v>6.1792857938986998</v>
      </c>
      <c r="AD45" s="69">
        <v>2.9563740596465702</v>
      </c>
      <c r="AE45" s="69">
        <v>8.1377477993077303</v>
      </c>
      <c r="AF45" s="69">
        <v>8.1456408828812599</v>
      </c>
      <c r="AG45" s="69">
        <v>2.9636890481103002</v>
      </c>
      <c r="AH45" s="69">
        <v>11.107875105806199</v>
      </c>
      <c r="AI45" s="69">
        <v>28.489498056045498</v>
      </c>
      <c r="AJ45" s="69">
        <v>8.8704676500820998</v>
      </c>
      <c r="AK45" s="69">
        <v>8.1010919417412008</v>
      </c>
      <c r="AL45" s="69">
        <v>3.12961735788575</v>
      </c>
      <c r="AM45" s="69">
        <v>3.7540011011657799</v>
      </c>
      <c r="AN45" s="69">
        <v>5.1020780489943496</v>
      </c>
      <c r="AO45" s="69">
        <v>16.552252751922499</v>
      </c>
      <c r="AP45" s="69">
        <v>2945.6064951943899</v>
      </c>
      <c r="AQ45" s="69">
        <v>142.94186624153099</v>
      </c>
      <c r="AR45" s="69">
        <v>40.912849250589503</v>
      </c>
      <c r="AS45" s="69">
        <v>13.498075989513101</v>
      </c>
      <c r="AT45" s="69">
        <v>16.7210962943185</v>
      </c>
      <c r="AU45" s="69">
        <v>24.202643697134999</v>
      </c>
      <c r="AV45" s="69">
        <v>1.52814721247521</v>
      </c>
      <c r="AW45" s="69">
        <v>25.798320339532701</v>
      </c>
      <c r="AX45" s="69">
        <v>8.9036561319145608</v>
      </c>
      <c r="AY45" s="69">
        <v>15.8943862131899</v>
      </c>
      <c r="AZ45" s="69">
        <v>35.620300134771398</v>
      </c>
      <c r="BA45" s="69">
        <v>61.254771658717999</v>
      </c>
      <c r="BB45" s="69">
        <v>10.7851668975786</v>
      </c>
      <c r="BC45" s="69">
        <v>8.2610637927605595</v>
      </c>
      <c r="BD45" s="69">
        <v>13.240871980532299</v>
      </c>
      <c r="BE45" s="69">
        <v>11.709856893603201</v>
      </c>
      <c r="BF45" s="69">
        <v>6.2792850417745303</v>
      </c>
      <c r="BG45" s="69">
        <v>22.3274273600112</v>
      </c>
      <c r="BH45" s="69">
        <v>17.345480276282501</v>
      </c>
      <c r="BI45" s="69">
        <v>3.04381032641338</v>
      </c>
      <c r="BJ45" s="69">
        <v>208.20548038122101</v>
      </c>
      <c r="BK45" s="69">
        <v>7.36821426988348</v>
      </c>
      <c r="BL45" s="69">
        <v>24.459031971088098</v>
      </c>
      <c r="BM45" s="69">
        <v>11.109290127889</v>
      </c>
      <c r="BN45" s="69">
        <v>9.02472565780349</v>
      </c>
      <c r="BO45" s="69">
        <v>5.6890351354390702</v>
      </c>
      <c r="BP45" s="69">
        <v>5.4871890399979204</v>
      </c>
      <c r="BQ45" s="70">
        <v>0</v>
      </c>
      <c r="BR45" s="71">
        <v>4096.7300118389703</v>
      </c>
      <c r="BS45" s="72">
        <v>0</v>
      </c>
      <c r="BT45" s="73">
        <v>0</v>
      </c>
      <c r="BU45" s="73">
        <v>0</v>
      </c>
      <c r="BV45" s="73">
        <v>18.194536763500299</v>
      </c>
      <c r="BW45" s="73">
        <v>392.59322772428101</v>
      </c>
      <c r="BX45" s="74">
        <v>0</v>
      </c>
      <c r="BY45" s="71">
        <v>410.78776448778098</v>
      </c>
      <c r="BZ45" s="75">
        <v>4507.5177763267502</v>
      </c>
    </row>
    <row r="46" spans="1:78" ht="15" customHeight="1" x14ac:dyDescent="0.3">
      <c r="A46" s="33" t="s">
        <v>64</v>
      </c>
      <c r="B46" s="11" t="s">
        <v>132</v>
      </c>
      <c r="C46" s="68">
        <v>340.42623750186999</v>
      </c>
      <c r="D46" s="69">
        <v>163.091883927867</v>
      </c>
      <c r="E46" s="69">
        <v>12.449685996852301</v>
      </c>
      <c r="F46" s="69">
        <v>24.6680560318879</v>
      </c>
      <c r="G46" s="69">
        <v>820.02338099318604</v>
      </c>
      <c r="H46" s="69">
        <v>341.13398524931</v>
      </c>
      <c r="I46" s="69">
        <v>36.365255980401699</v>
      </c>
      <c r="J46" s="69">
        <v>798.25021128002402</v>
      </c>
      <c r="K46" s="69">
        <v>86.833142016872998</v>
      </c>
      <c r="L46" s="69">
        <v>924.90319316320301</v>
      </c>
      <c r="M46" s="69">
        <v>83.157594462233007</v>
      </c>
      <c r="N46" s="69">
        <v>20.452929289830902</v>
      </c>
      <c r="O46" s="69">
        <v>53.903755950774801</v>
      </c>
      <c r="P46" s="69">
        <v>70.271011817093097</v>
      </c>
      <c r="Q46" s="69">
        <v>65.1072817172019</v>
      </c>
      <c r="R46" s="69">
        <v>70.567316310535702</v>
      </c>
      <c r="S46" s="69">
        <v>294.72553123728801</v>
      </c>
      <c r="T46" s="69">
        <v>37.191364258534897</v>
      </c>
      <c r="U46" s="69">
        <v>832.50785522396802</v>
      </c>
      <c r="V46" s="69">
        <v>109.13534555043</v>
      </c>
      <c r="W46" s="69">
        <v>232.39688653348799</v>
      </c>
      <c r="X46" s="69">
        <v>226.109322343358</v>
      </c>
      <c r="Y46" s="69">
        <v>38.091838720195398</v>
      </c>
      <c r="Z46" s="69">
        <v>1189.4024688555801</v>
      </c>
      <c r="AA46" s="69">
        <v>268.19348752234998</v>
      </c>
      <c r="AB46" s="69">
        <v>186.88300899268299</v>
      </c>
      <c r="AC46" s="69">
        <v>285.06391893291902</v>
      </c>
      <c r="AD46" s="69">
        <v>100.097954173574</v>
      </c>
      <c r="AE46" s="69">
        <v>194.96516724140699</v>
      </c>
      <c r="AF46" s="69">
        <v>491.96115507675898</v>
      </c>
      <c r="AG46" s="69">
        <v>165.694954855779</v>
      </c>
      <c r="AH46" s="69">
        <v>662.52585545679995</v>
      </c>
      <c r="AI46" s="69">
        <v>473.57347175957</v>
      </c>
      <c r="AJ46" s="69">
        <v>158.38960269819</v>
      </c>
      <c r="AK46" s="69">
        <v>57.108778920652298</v>
      </c>
      <c r="AL46" s="69">
        <v>155.806676181749</v>
      </c>
      <c r="AM46" s="69">
        <v>180.754408011555</v>
      </c>
      <c r="AN46" s="69">
        <v>51.407672682123398</v>
      </c>
      <c r="AO46" s="69">
        <v>98.411349985298898</v>
      </c>
      <c r="AP46" s="69">
        <v>299.12071038977302</v>
      </c>
      <c r="AQ46" s="69">
        <v>1408.8729236906399</v>
      </c>
      <c r="AR46" s="69">
        <v>300.74821805142602</v>
      </c>
      <c r="AS46" s="69">
        <v>82.5872492652109</v>
      </c>
      <c r="AT46" s="69">
        <v>106.10994264159601</v>
      </c>
      <c r="AU46" s="69">
        <v>165.87185079012599</v>
      </c>
      <c r="AV46" s="69">
        <v>11.4920734429726</v>
      </c>
      <c r="AW46" s="69">
        <v>422.86146855119802</v>
      </c>
      <c r="AX46" s="69">
        <v>65.652784721026293</v>
      </c>
      <c r="AY46" s="69">
        <v>128.282607302424</v>
      </c>
      <c r="AZ46" s="69">
        <v>343.89804640818102</v>
      </c>
      <c r="BA46" s="69">
        <v>598.94551300229205</v>
      </c>
      <c r="BB46" s="69">
        <v>112.557198036617</v>
      </c>
      <c r="BC46" s="69">
        <v>22.575276357794198</v>
      </c>
      <c r="BD46" s="69">
        <v>123.42574293139801</v>
      </c>
      <c r="BE46" s="69">
        <v>130.48594241452199</v>
      </c>
      <c r="BF46" s="69">
        <v>90.250959394802905</v>
      </c>
      <c r="BG46" s="69">
        <v>107.463732745082</v>
      </c>
      <c r="BH46" s="69">
        <v>153.89879231189801</v>
      </c>
      <c r="BI46" s="69">
        <v>24.1641153795767</v>
      </c>
      <c r="BJ46" s="69">
        <v>360.22415788646401</v>
      </c>
      <c r="BK46" s="69">
        <v>167.93302421410601</v>
      </c>
      <c r="BL46" s="69">
        <v>146.880612032454</v>
      </c>
      <c r="BM46" s="69">
        <v>1539.99396955064</v>
      </c>
      <c r="BN46" s="69">
        <v>1131.0166373274401</v>
      </c>
      <c r="BO46" s="69">
        <v>30.321326153103598</v>
      </c>
      <c r="BP46" s="69">
        <v>158.87455192794499</v>
      </c>
      <c r="BQ46" s="70">
        <v>0</v>
      </c>
      <c r="BR46" s="71">
        <v>18636.512423824101</v>
      </c>
      <c r="BS46" s="72">
        <v>0</v>
      </c>
      <c r="BT46" s="73">
        <v>478.38092832921302</v>
      </c>
      <c r="BU46" s="73">
        <v>0</v>
      </c>
      <c r="BV46" s="73">
        <v>6627.2975458834399</v>
      </c>
      <c r="BW46" s="73">
        <v>1495.15571893013</v>
      </c>
      <c r="BX46" s="74">
        <v>404.88927174479801</v>
      </c>
      <c r="BY46" s="71">
        <v>9005.7234648875801</v>
      </c>
      <c r="BZ46" s="75">
        <v>27642.235888711701</v>
      </c>
    </row>
    <row r="47" spans="1:78" ht="15" customHeight="1" x14ac:dyDescent="0.3">
      <c r="A47" s="33" t="s">
        <v>65</v>
      </c>
      <c r="B47" s="11" t="s">
        <v>133</v>
      </c>
      <c r="C47" s="68">
        <v>3.3578957477532501</v>
      </c>
      <c r="D47" s="69">
        <v>6.4840711516414196</v>
      </c>
      <c r="E47" s="69">
        <v>10.5108558052776</v>
      </c>
      <c r="F47" s="69">
        <v>1.0535052637653299</v>
      </c>
      <c r="G47" s="69">
        <v>2681.0600757223101</v>
      </c>
      <c r="H47" s="69">
        <v>52.352337822622403</v>
      </c>
      <c r="I47" s="69">
        <v>9.3978306848845907</v>
      </c>
      <c r="J47" s="69">
        <v>1124.9861836528501</v>
      </c>
      <c r="K47" s="69">
        <v>115.944449869937</v>
      </c>
      <c r="L47" s="69">
        <v>299.34655782952802</v>
      </c>
      <c r="M47" s="69">
        <v>46.759797119306498</v>
      </c>
      <c r="N47" s="69">
        <v>2.3641184759222198</v>
      </c>
      <c r="O47" s="69">
        <v>8.2505602743924094</v>
      </c>
      <c r="P47" s="69">
        <v>14.045483254573099</v>
      </c>
      <c r="Q47" s="69">
        <v>9.4020630703578192</v>
      </c>
      <c r="R47" s="69">
        <v>157.54373387650901</v>
      </c>
      <c r="S47" s="69">
        <v>1182.79480141621</v>
      </c>
      <c r="T47" s="69">
        <v>10.4518441116274</v>
      </c>
      <c r="U47" s="69">
        <v>37.659714219832701</v>
      </c>
      <c r="V47" s="69">
        <v>22.492697962830299</v>
      </c>
      <c r="W47" s="69">
        <v>662.17045672542201</v>
      </c>
      <c r="X47" s="69">
        <v>18.096599726001699</v>
      </c>
      <c r="Y47" s="69">
        <v>37.754993157034299</v>
      </c>
      <c r="Z47" s="69">
        <v>19.775227485609602</v>
      </c>
      <c r="AA47" s="69">
        <v>50.5807490309938</v>
      </c>
      <c r="AB47" s="69">
        <v>82.994272758036502</v>
      </c>
      <c r="AC47" s="69">
        <v>228.314630705318</v>
      </c>
      <c r="AD47" s="69">
        <v>10.8331014107284</v>
      </c>
      <c r="AE47" s="69">
        <v>33.826876490129301</v>
      </c>
      <c r="AF47" s="69">
        <v>34.804559778964801</v>
      </c>
      <c r="AG47" s="69">
        <v>33.592452081649199</v>
      </c>
      <c r="AH47" s="69">
        <v>197.29569832977</v>
      </c>
      <c r="AI47" s="69">
        <v>132.088639251431</v>
      </c>
      <c r="AJ47" s="69">
        <v>62.290337876553103</v>
      </c>
      <c r="AK47" s="69">
        <v>71.994227140252605</v>
      </c>
      <c r="AL47" s="69">
        <v>4.15441134746081</v>
      </c>
      <c r="AM47" s="69">
        <v>1.5936548633183401</v>
      </c>
      <c r="AN47" s="69">
        <v>18.275795610364</v>
      </c>
      <c r="AO47" s="69">
        <v>2.18555863662439</v>
      </c>
      <c r="AP47" s="69">
        <v>19.347420368238598</v>
      </c>
      <c r="AQ47" s="69">
        <v>1045.21148855769</v>
      </c>
      <c r="AR47" s="69">
        <v>607.99557232852396</v>
      </c>
      <c r="AS47" s="69">
        <v>846.00144943829196</v>
      </c>
      <c r="AT47" s="69">
        <v>56.033711248926501</v>
      </c>
      <c r="AU47" s="69">
        <v>78.335458845994793</v>
      </c>
      <c r="AV47" s="69">
        <v>3.2904228785983101</v>
      </c>
      <c r="AW47" s="69">
        <v>22.2180769783606</v>
      </c>
      <c r="AX47" s="69">
        <v>5.0461281436204004</v>
      </c>
      <c r="AY47" s="69">
        <v>16.2501054739149</v>
      </c>
      <c r="AZ47" s="69">
        <v>21.283895520449502</v>
      </c>
      <c r="BA47" s="69">
        <v>46.385701313545901</v>
      </c>
      <c r="BB47" s="69">
        <v>83.132464998525407</v>
      </c>
      <c r="BC47" s="69">
        <v>12.667625928156101</v>
      </c>
      <c r="BD47" s="69">
        <v>42.362926212359703</v>
      </c>
      <c r="BE47" s="69">
        <v>23.2086712077611</v>
      </c>
      <c r="BF47" s="69">
        <v>26.431138014744999</v>
      </c>
      <c r="BG47" s="69">
        <v>13.286380838647201</v>
      </c>
      <c r="BH47" s="69">
        <v>148.73255939162601</v>
      </c>
      <c r="BI47" s="69">
        <v>1.61352796448339</v>
      </c>
      <c r="BJ47" s="69">
        <v>44.262386542552001</v>
      </c>
      <c r="BK47" s="69">
        <v>21.4822001066402</v>
      </c>
      <c r="BL47" s="69">
        <v>48.787327158061601</v>
      </c>
      <c r="BM47" s="69">
        <v>23.7694333034616</v>
      </c>
      <c r="BN47" s="69">
        <v>2.5209552884648199</v>
      </c>
      <c r="BO47" s="69">
        <v>13.412298953958301</v>
      </c>
      <c r="BP47" s="69">
        <v>55.962699457017699</v>
      </c>
      <c r="BQ47" s="70">
        <v>0</v>
      </c>
      <c r="BR47" s="71">
        <v>10827.912846200399</v>
      </c>
      <c r="BS47" s="72">
        <v>0</v>
      </c>
      <c r="BT47" s="73">
        <v>0</v>
      </c>
      <c r="BU47" s="73">
        <v>0</v>
      </c>
      <c r="BV47" s="73">
        <v>1252.3998861745299</v>
      </c>
      <c r="BW47" s="73">
        <v>8.3764970864369896E-3</v>
      </c>
      <c r="BX47" s="74">
        <v>0.38980312479725598</v>
      </c>
      <c r="BY47" s="71">
        <v>1252.7980657964199</v>
      </c>
      <c r="BZ47" s="75">
        <v>12080.710911996801</v>
      </c>
    </row>
    <row r="48" spans="1:78" ht="15" customHeight="1" x14ac:dyDescent="0.3">
      <c r="A48" s="33" t="s">
        <v>66</v>
      </c>
      <c r="B48" s="11" t="s">
        <v>134</v>
      </c>
      <c r="C48" s="68">
        <v>0</v>
      </c>
      <c r="D48" s="69">
        <v>0</v>
      </c>
      <c r="E48" s="69">
        <v>0</v>
      </c>
      <c r="F48" s="69">
        <v>5.19383390380114E-3</v>
      </c>
      <c r="G48" s="69">
        <v>225.241735025069</v>
      </c>
      <c r="H48" s="69">
        <v>2.54328941863264E-2</v>
      </c>
      <c r="I48" s="69">
        <v>0.432791982330063</v>
      </c>
      <c r="J48" s="69">
        <v>93.404517992019905</v>
      </c>
      <c r="K48" s="69">
        <v>8.6962903287904592</v>
      </c>
      <c r="L48" s="69">
        <v>22.589662115832201</v>
      </c>
      <c r="M48" s="69">
        <v>0.16535213000298199</v>
      </c>
      <c r="N48" s="69">
        <v>5.0837273011992701E-3</v>
      </c>
      <c r="O48" s="69">
        <v>0.57682456884352595</v>
      </c>
      <c r="P48" s="69">
        <v>0.81565976900526604</v>
      </c>
      <c r="Q48" s="69">
        <v>0.34546626269500602</v>
      </c>
      <c r="R48" s="69">
        <v>12.6833075104086</v>
      </c>
      <c r="S48" s="69">
        <v>100.234102782395</v>
      </c>
      <c r="T48" s="69">
        <v>0.86227291781271898</v>
      </c>
      <c r="U48" s="69">
        <v>2.9941513912791402</v>
      </c>
      <c r="V48" s="69">
        <v>1.69553463472245</v>
      </c>
      <c r="W48" s="69">
        <v>55.578655577903298</v>
      </c>
      <c r="X48" s="69">
        <v>1.0396040559976001</v>
      </c>
      <c r="Y48" s="69">
        <v>2.3026738809659699</v>
      </c>
      <c r="Z48" s="69">
        <v>0.180461977956862</v>
      </c>
      <c r="AA48" s="69">
        <v>3.2167720946042802</v>
      </c>
      <c r="AB48" s="69">
        <v>6.6269438394484901</v>
      </c>
      <c r="AC48" s="69">
        <v>18.770819713279899</v>
      </c>
      <c r="AD48" s="69">
        <v>0.91932453968758099</v>
      </c>
      <c r="AE48" s="69">
        <v>2.1181951894581599</v>
      </c>
      <c r="AF48" s="69">
        <v>2.0883488000492201</v>
      </c>
      <c r="AG48" s="69">
        <v>2.4225294840402301</v>
      </c>
      <c r="AH48" s="69">
        <v>16.076370174290599</v>
      </c>
      <c r="AI48" s="69">
        <v>8.7987806705004203</v>
      </c>
      <c r="AJ48" s="69">
        <v>4.71245192510127</v>
      </c>
      <c r="AK48" s="69">
        <v>5.9971649901994599</v>
      </c>
      <c r="AL48" s="69">
        <v>4.2315077741714301E-2</v>
      </c>
      <c r="AM48" s="69">
        <v>7.4787356647873704E-3</v>
      </c>
      <c r="AN48" s="69">
        <v>7.3643519564929802E-2</v>
      </c>
      <c r="AO48" s="69">
        <v>3.14829793883609E-2</v>
      </c>
      <c r="AP48" s="69">
        <v>1.0060549729638499</v>
      </c>
      <c r="AQ48" s="69">
        <v>76.401111830679994</v>
      </c>
      <c r="AR48" s="69">
        <v>51.346479599190502</v>
      </c>
      <c r="AS48" s="69">
        <v>69.969909734646095</v>
      </c>
      <c r="AT48" s="69">
        <v>8.3035975365673108E-3</v>
      </c>
      <c r="AU48" s="69">
        <v>4.0651680908197996</v>
      </c>
      <c r="AV48" s="69">
        <v>9.9418356130348606E-2</v>
      </c>
      <c r="AW48" s="69">
        <v>2.9327407477018999</v>
      </c>
      <c r="AX48" s="69">
        <v>1.4777644566858599E-2</v>
      </c>
      <c r="AY48" s="69">
        <v>0.18096267189134899</v>
      </c>
      <c r="AZ48" s="69">
        <v>0.21884467339522101</v>
      </c>
      <c r="BA48" s="69">
        <v>2.0266968097377198</v>
      </c>
      <c r="BB48" s="69">
        <v>6.4017582090967196E-2</v>
      </c>
      <c r="BC48" s="69">
        <v>1.4493377583448099</v>
      </c>
      <c r="BD48" s="69">
        <v>1.6871150839522899</v>
      </c>
      <c r="BE48" s="69">
        <v>0.86578242181476095</v>
      </c>
      <c r="BF48" s="69">
        <v>0.55688379001159305</v>
      </c>
      <c r="BG48" s="69">
        <v>1.2743093431171</v>
      </c>
      <c r="BH48" s="69">
        <v>12.4525157364764</v>
      </c>
      <c r="BI48" s="69">
        <v>3.6344951596371099E-2</v>
      </c>
      <c r="BJ48" s="69">
        <v>9.6687231133711998E-2</v>
      </c>
      <c r="BK48" s="69">
        <v>9.8494999698106895E-3</v>
      </c>
      <c r="BL48" s="69">
        <v>0.80948911598491802</v>
      </c>
      <c r="BM48" s="69">
        <v>0</v>
      </c>
      <c r="BN48" s="69">
        <v>0.69648065865873099</v>
      </c>
      <c r="BO48" s="69">
        <v>0.377570562982667</v>
      </c>
      <c r="BP48" s="69">
        <v>0.76299081564077798</v>
      </c>
      <c r="BQ48" s="70">
        <v>0</v>
      </c>
      <c r="BR48" s="71">
        <v>831.18724037347499</v>
      </c>
      <c r="BS48" s="72">
        <v>0</v>
      </c>
      <c r="BT48" s="73">
        <v>0</v>
      </c>
      <c r="BU48" s="73">
        <v>0</v>
      </c>
      <c r="BV48" s="73">
        <v>44.380711035045998</v>
      </c>
      <c r="BW48" s="73">
        <v>0</v>
      </c>
      <c r="BX48" s="74">
        <v>0</v>
      </c>
      <c r="BY48" s="71">
        <v>44.380711035045998</v>
      </c>
      <c r="BZ48" s="75">
        <v>875.56795140852103</v>
      </c>
    </row>
    <row r="49" spans="1:78" ht="15" customHeight="1" x14ac:dyDescent="0.3">
      <c r="A49" s="33" t="s">
        <v>67</v>
      </c>
      <c r="B49" s="11" t="s">
        <v>135</v>
      </c>
      <c r="C49" s="68">
        <v>0</v>
      </c>
      <c r="D49" s="69">
        <v>0</v>
      </c>
      <c r="E49" s="69">
        <v>0.77569097394460595</v>
      </c>
      <c r="F49" s="69">
        <v>0.39023604575368798</v>
      </c>
      <c r="G49" s="69">
        <v>399.30666772922302</v>
      </c>
      <c r="H49" s="69">
        <v>3.6803048840410302</v>
      </c>
      <c r="I49" s="69">
        <v>3.3310568569895298</v>
      </c>
      <c r="J49" s="69">
        <v>55.065824465347099</v>
      </c>
      <c r="K49" s="69">
        <v>0.77415660641502404</v>
      </c>
      <c r="L49" s="69">
        <v>40.559918691402899</v>
      </c>
      <c r="M49" s="69">
        <v>7.8775338059638296</v>
      </c>
      <c r="N49" s="69">
        <v>4.2827820142523096</v>
      </c>
      <c r="O49" s="69">
        <v>4.14843009290243</v>
      </c>
      <c r="P49" s="69">
        <v>3.7557823257206402</v>
      </c>
      <c r="Q49" s="69">
        <v>3.2325560911774698</v>
      </c>
      <c r="R49" s="69">
        <v>10.726208845536201</v>
      </c>
      <c r="S49" s="69">
        <v>18.1063955256813</v>
      </c>
      <c r="T49" s="69">
        <v>0.96911825334574697</v>
      </c>
      <c r="U49" s="69">
        <v>6.3181673813034998</v>
      </c>
      <c r="V49" s="69">
        <v>2.9324189316356302</v>
      </c>
      <c r="W49" s="69">
        <v>61.953484772738101</v>
      </c>
      <c r="X49" s="69">
        <v>47.384718599828403</v>
      </c>
      <c r="Y49" s="69">
        <v>1.66841407780949</v>
      </c>
      <c r="Z49" s="69">
        <v>22.0310181190683</v>
      </c>
      <c r="AA49" s="69">
        <v>7.1501930608411497</v>
      </c>
      <c r="AB49" s="69">
        <v>19.104551185377499</v>
      </c>
      <c r="AC49" s="69">
        <v>14.04213290925</v>
      </c>
      <c r="AD49" s="69">
        <v>2.6713247979538099</v>
      </c>
      <c r="AE49" s="69">
        <v>8.6162086590511109</v>
      </c>
      <c r="AF49" s="69">
        <v>21.2808606787796</v>
      </c>
      <c r="AG49" s="69">
        <v>22.680249943312798</v>
      </c>
      <c r="AH49" s="69">
        <v>31.114406565493699</v>
      </c>
      <c r="AI49" s="69">
        <v>19.682010655826801</v>
      </c>
      <c r="AJ49" s="69">
        <v>6.4029883986316296</v>
      </c>
      <c r="AK49" s="69">
        <v>3.1261783927042601</v>
      </c>
      <c r="AL49" s="69">
        <v>4.9579913094836998</v>
      </c>
      <c r="AM49" s="69">
        <v>6.9548710456330998</v>
      </c>
      <c r="AN49" s="69">
        <v>63.902006114450401</v>
      </c>
      <c r="AO49" s="69">
        <v>8.1537588654943498</v>
      </c>
      <c r="AP49" s="69">
        <v>140.316997073224</v>
      </c>
      <c r="AQ49" s="69">
        <v>552.411099050953</v>
      </c>
      <c r="AR49" s="69">
        <v>28.504237574967899</v>
      </c>
      <c r="AS49" s="69">
        <v>17.8224480011006</v>
      </c>
      <c r="AT49" s="69">
        <v>1.2475879068826901</v>
      </c>
      <c r="AU49" s="69">
        <v>70.457219025907307</v>
      </c>
      <c r="AV49" s="69">
        <v>7.6609804526961103</v>
      </c>
      <c r="AW49" s="69">
        <v>8.3198183938460097</v>
      </c>
      <c r="AX49" s="69">
        <v>1.3793675228853199</v>
      </c>
      <c r="AY49" s="69">
        <v>18.179964455713002</v>
      </c>
      <c r="AZ49" s="69">
        <v>21.046455783251201</v>
      </c>
      <c r="BA49" s="69">
        <v>136.521360399277</v>
      </c>
      <c r="BB49" s="69">
        <v>253.605689472573</v>
      </c>
      <c r="BC49" s="69">
        <v>8.2534627450501699</v>
      </c>
      <c r="BD49" s="69">
        <v>114.898129087661</v>
      </c>
      <c r="BE49" s="69">
        <v>42.5653404418183</v>
      </c>
      <c r="BF49" s="69">
        <v>91.811293665212204</v>
      </c>
      <c r="BG49" s="69">
        <v>16.174550827460099</v>
      </c>
      <c r="BH49" s="69">
        <v>49.339654389525499</v>
      </c>
      <c r="BI49" s="69">
        <v>3.7202382211975999</v>
      </c>
      <c r="BJ49" s="69">
        <v>165.69980738407199</v>
      </c>
      <c r="BK49" s="69">
        <v>32.528261640186898</v>
      </c>
      <c r="BL49" s="69">
        <v>283.48736927140197</v>
      </c>
      <c r="BM49" s="69">
        <v>66.4010854505689</v>
      </c>
      <c r="BN49" s="69">
        <v>0.30524291380593999</v>
      </c>
      <c r="BO49" s="69">
        <v>14.136745727663</v>
      </c>
      <c r="BP49" s="69">
        <v>858.28652256667397</v>
      </c>
      <c r="BQ49" s="70">
        <v>0</v>
      </c>
      <c r="BR49" s="71">
        <v>3944.19154711794</v>
      </c>
      <c r="BS49" s="72">
        <v>0</v>
      </c>
      <c r="BT49" s="73">
        <v>0</v>
      </c>
      <c r="BU49" s="73">
        <v>0</v>
      </c>
      <c r="BV49" s="73">
        <v>1166.4740139394301</v>
      </c>
      <c r="BW49" s="73">
        <v>0</v>
      </c>
      <c r="BX49" s="74">
        <v>0</v>
      </c>
      <c r="BY49" s="71">
        <v>1166.4740139394301</v>
      </c>
      <c r="BZ49" s="75">
        <v>5110.6655610573698</v>
      </c>
    </row>
    <row r="50" spans="1:78" ht="15" customHeight="1" x14ac:dyDescent="0.3">
      <c r="A50" s="33" t="s">
        <v>68</v>
      </c>
      <c r="B50" s="11" t="s">
        <v>136</v>
      </c>
      <c r="C50" s="68">
        <v>3.5440641314656999E-3</v>
      </c>
      <c r="D50" s="69">
        <v>1.86842939265764E-2</v>
      </c>
      <c r="E50" s="69">
        <v>105.336880859686</v>
      </c>
      <c r="F50" s="69">
        <v>3.2026056351032603E-2</v>
      </c>
      <c r="G50" s="69">
        <v>912.89399193714598</v>
      </c>
      <c r="H50" s="69">
        <v>1276.5098708637299</v>
      </c>
      <c r="I50" s="69">
        <v>109.929623338261</v>
      </c>
      <c r="J50" s="69">
        <v>136.53251023825899</v>
      </c>
      <c r="K50" s="69">
        <v>373.14317742711103</v>
      </c>
      <c r="L50" s="69">
        <v>74.8188969497822</v>
      </c>
      <c r="M50" s="69">
        <v>0.15829548581906699</v>
      </c>
      <c r="N50" s="69">
        <v>1.53253066012102E-2</v>
      </c>
      <c r="O50" s="69">
        <v>8.4676542995099899E-2</v>
      </c>
      <c r="P50" s="69">
        <v>0.14000205284859801</v>
      </c>
      <c r="Q50" s="69">
        <v>7.0540334324696904E-2</v>
      </c>
      <c r="R50" s="69">
        <v>37.013185225285497</v>
      </c>
      <c r="S50" s="69">
        <v>5.95732470772439</v>
      </c>
      <c r="T50" s="69">
        <v>6.5447022582614506E-2</v>
      </c>
      <c r="U50" s="69">
        <v>0.24617432654875199</v>
      </c>
      <c r="V50" s="69">
        <v>0.18114353433956901</v>
      </c>
      <c r="W50" s="69">
        <v>113.94646355522499</v>
      </c>
      <c r="X50" s="69">
        <v>0.118205017048597</v>
      </c>
      <c r="Y50" s="69">
        <v>0.197450866564268</v>
      </c>
      <c r="Z50" s="69">
        <v>0.103664008578479</v>
      </c>
      <c r="AA50" s="69">
        <v>0.35760965143918899</v>
      </c>
      <c r="AB50" s="69">
        <v>0.45215782747287298</v>
      </c>
      <c r="AC50" s="69">
        <v>112.81223073957101</v>
      </c>
      <c r="AD50" s="69">
        <v>6.21595073648398E-2</v>
      </c>
      <c r="AE50" s="69">
        <v>0.22370492028241001</v>
      </c>
      <c r="AF50" s="69">
        <v>0.20663254336855599</v>
      </c>
      <c r="AG50" s="69">
        <v>0.36063333996768698</v>
      </c>
      <c r="AH50" s="69">
        <v>10.9530588287016</v>
      </c>
      <c r="AI50" s="69">
        <v>46.120858141229</v>
      </c>
      <c r="AJ50" s="69">
        <v>44.820207533285902</v>
      </c>
      <c r="AK50" s="69">
        <v>0.53668117599735299</v>
      </c>
      <c r="AL50" s="69">
        <v>8.3498399192718994E-2</v>
      </c>
      <c r="AM50" s="69">
        <v>4.0366971827478597</v>
      </c>
      <c r="AN50" s="69">
        <v>0.17831636961108799</v>
      </c>
      <c r="AO50" s="69">
        <v>9.0120655842149497E-2</v>
      </c>
      <c r="AP50" s="69">
        <v>1.9571786536383899</v>
      </c>
      <c r="AQ50" s="69">
        <v>146.71604690213999</v>
      </c>
      <c r="AR50" s="69">
        <v>89.182368204663405</v>
      </c>
      <c r="AS50" s="69">
        <v>868.17746436664299</v>
      </c>
      <c r="AT50" s="69">
        <v>2004.4933014990199</v>
      </c>
      <c r="AU50" s="69">
        <v>698.22458917981498</v>
      </c>
      <c r="AV50" s="69">
        <v>0.16662186879058899</v>
      </c>
      <c r="AW50" s="69">
        <v>3.4359629794287101</v>
      </c>
      <c r="AX50" s="69">
        <v>3.9768218823061897E-2</v>
      </c>
      <c r="AY50" s="69">
        <v>0.14298064945797301</v>
      </c>
      <c r="AZ50" s="69">
        <v>0.57179804321730898</v>
      </c>
      <c r="BA50" s="69">
        <v>1.29400161236194</v>
      </c>
      <c r="BB50" s="69">
        <v>8.4042007926439499</v>
      </c>
      <c r="BC50" s="69">
        <v>2.30972496887241</v>
      </c>
      <c r="BD50" s="69">
        <v>5.2934223539420699</v>
      </c>
      <c r="BE50" s="69">
        <v>14.282997642862901</v>
      </c>
      <c r="BF50" s="69">
        <v>0.95550275538857599</v>
      </c>
      <c r="BG50" s="69">
        <v>2.0298985068534598</v>
      </c>
      <c r="BH50" s="69">
        <v>3.7509737964359502</v>
      </c>
      <c r="BI50" s="69">
        <v>6.4454635750765599E-2</v>
      </c>
      <c r="BJ50" s="69">
        <v>15.572785780286001</v>
      </c>
      <c r="BK50" s="69">
        <v>2.3937596131953698</v>
      </c>
      <c r="BL50" s="69">
        <v>0.89049096265779704</v>
      </c>
      <c r="BM50" s="69">
        <v>4.8274016121105401</v>
      </c>
      <c r="BN50" s="69">
        <v>1.11484612242486</v>
      </c>
      <c r="BO50" s="69">
        <v>0.63410952882524296</v>
      </c>
      <c r="BP50" s="69">
        <v>6.0784109524528702</v>
      </c>
      <c r="BQ50" s="70">
        <v>0</v>
      </c>
      <c r="BR50" s="71">
        <v>7251.81673303364</v>
      </c>
      <c r="BS50" s="72">
        <v>0</v>
      </c>
      <c r="BT50" s="73">
        <v>0</v>
      </c>
      <c r="BU50" s="73">
        <v>0</v>
      </c>
      <c r="BV50" s="73">
        <v>3.1254333069325999</v>
      </c>
      <c r="BW50" s="73">
        <v>17.2234256654665</v>
      </c>
      <c r="BX50" s="74">
        <v>0.36143092152664802</v>
      </c>
      <c r="BY50" s="71">
        <v>20.7102898939258</v>
      </c>
      <c r="BZ50" s="75">
        <v>7272.5270229275702</v>
      </c>
    </row>
    <row r="51" spans="1:78" ht="15" customHeight="1" x14ac:dyDescent="0.3">
      <c r="A51" s="33" t="s">
        <v>69</v>
      </c>
      <c r="B51" s="11" t="s">
        <v>137</v>
      </c>
      <c r="C51" s="68">
        <v>1.2105513601590101</v>
      </c>
      <c r="D51" s="69">
        <v>0</v>
      </c>
      <c r="E51" s="69">
        <v>1.0087928001325099</v>
      </c>
      <c r="F51" s="69">
        <v>2.9126191269780999</v>
      </c>
      <c r="G51" s="69">
        <v>100.07194693453</v>
      </c>
      <c r="H51" s="69">
        <v>55.8847806882805</v>
      </c>
      <c r="I51" s="69">
        <v>4.7745158263125402</v>
      </c>
      <c r="J51" s="69">
        <v>127.09378883154</v>
      </c>
      <c r="K51" s="69">
        <v>13.090674265306999</v>
      </c>
      <c r="L51" s="69">
        <v>109.921588261634</v>
      </c>
      <c r="M51" s="69">
        <v>19.134144176084799</v>
      </c>
      <c r="N51" s="69">
        <v>10.847609827549499</v>
      </c>
      <c r="O51" s="69">
        <v>8.0529922485632994</v>
      </c>
      <c r="P51" s="69">
        <v>5.7419325631311304</v>
      </c>
      <c r="Q51" s="69">
        <v>6.7524280047944298</v>
      </c>
      <c r="R51" s="69">
        <v>5.1155462066524899</v>
      </c>
      <c r="S51" s="69">
        <v>33.830260946515097</v>
      </c>
      <c r="T51" s="69">
        <v>2.7309150848586201</v>
      </c>
      <c r="U51" s="69">
        <v>9.5804731832197998</v>
      </c>
      <c r="V51" s="69">
        <v>10.744667758783701</v>
      </c>
      <c r="W51" s="69">
        <v>59.540627456628997</v>
      </c>
      <c r="X51" s="69">
        <v>53.236404081710901</v>
      </c>
      <c r="Y51" s="69">
        <v>10.9047207939253</v>
      </c>
      <c r="Z51" s="69">
        <v>75.423029423825596</v>
      </c>
      <c r="AA51" s="69">
        <v>38.527593252695603</v>
      </c>
      <c r="AB51" s="69">
        <v>33.365188173055301</v>
      </c>
      <c r="AC51" s="69">
        <v>68.1757021301039</v>
      </c>
      <c r="AD51" s="69">
        <v>15.293497087408999</v>
      </c>
      <c r="AE51" s="69">
        <v>62.662421227233402</v>
      </c>
      <c r="AF51" s="69">
        <v>39.4255524462612</v>
      </c>
      <c r="AG51" s="69">
        <v>42.764340622463401</v>
      </c>
      <c r="AH51" s="69">
        <v>114.57083682168</v>
      </c>
      <c r="AI51" s="69">
        <v>40.9466862064778</v>
      </c>
      <c r="AJ51" s="69">
        <v>28.453151809389901</v>
      </c>
      <c r="AK51" s="69">
        <v>11.130776905229601</v>
      </c>
      <c r="AL51" s="69">
        <v>38.778976119539799</v>
      </c>
      <c r="AM51" s="69">
        <v>20.47912116402</v>
      </c>
      <c r="AN51" s="69">
        <v>58.905196838412699</v>
      </c>
      <c r="AO51" s="69">
        <v>4.3837475757958</v>
      </c>
      <c r="AP51" s="69">
        <v>339.64184521624702</v>
      </c>
      <c r="AQ51" s="69">
        <v>1244.79395973382</v>
      </c>
      <c r="AR51" s="69">
        <v>65.557019027350705</v>
      </c>
      <c r="AS51" s="69">
        <v>2.2644858931008098</v>
      </c>
      <c r="AT51" s="69">
        <v>16.494924706305401</v>
      </c>
      <c r="AU51" s="69">
        <v>81.807677209938205</v>
      </c>
      <c r="AV51" s="69">
        <v>1.3491701276866001E-2</v>
      </c>
      <c r="AW51" s="69">
        <v>8.7875895378405602</v>
      </c>
      <c r="AX51" s="69">
        <v>18.3323647465078</v>
      </c>
      <c r="AY51" s="69">
        <v>41.154782837954002</v>
      </c>
      <c r="AZ51" s="69">
        <v>27.691371807298999</v>
      </c>
      <c r="BA51" s="69">
        <v>253.107487390931</v>
      </c>
      <c r="BB51" s="69">
        <v>276.09370773023898</v>
      </c>
      <c r="BC51" s="69">
        <v>17.176941903198902</v>
      </c>
      <c r="BD51" s="69">
        <v>115.22729257327001</v>
      </c>
      <c r="BE51" s="69">
        <v>103.854174289234</v>
      </c>
      <c r="BF51" s="69">
        <v>76.972124607825506</v>
      </c>
      <c r="BG51" s="69">
        <v>60.911055972182503</v>
      </c>
      <c r="BH51" s="69">
        <v>59.568679674769101</v>
      </c>
      <c r="BI51" s="69">
        <v>15.7229662646333</v>
      </c>
      <c r="BJ51" s="69">
        <v>54.309653003839799</v>
      </c>
      <c r="BK51" s="69">
        <v>5.4982135774767196</v>
      </c>
      <c r="BL51" s="69">
        <v>122.789160765826</v>
      </c>
      <c r="BM51" s="69">
        <v>12.192469611781201</v>
      </c>
      <c r="BN51" s="69">
        <v>9.4516841330773302E-2</v>
      </c>
      <c r="BO51" s="69">
        <v>44.0704278702786</v>
      </c>
      <c r="BP51" s="69">
        <v>1828.42485995733</v>
      </c>
      <c r="BQ51" s="70">
        <v>0</v>
      </c>
      <c r="BR51" s="71">
        <v>6238.0210426826698</v>
      </c>
      <c r="BS51" s="72">
        <v>0</v>
      </c>
      <c r="BT51" s="73">
        <v>0</v>
      </c>
      <c r="BU51" s="73">
        <v>0</v>
      </c>
      <c r="BV51" s="73">
        <v>1688.2715670489999</v>
      </c>
      <c r="BW51" s="73">
        <v>0</v>
      </c>
      <c r="BX51" s="74">
        <v>0</v>
      </c>
      <c r="BY51" s="71">
        <v>1688.2715670489999</v>
      </c>
      <c r="BZ51" s="75">
        <v>7926.2926097316704</v>
      </c>
    </row>
    <row r="52" spans="1:78" ht="15" customHeight="1" x14ac:dyDescent="0.3">
      <c r="A52" s="33" t="s">
        <v>70</v>
      </c>
      <c r="B52" s="11" t="s">
        <v>138</v>
      </c>
      <c r="C52" s="68">
        <v>5.8651244143942902</v>
      </c>
      <c r="D52" s="69">
        <v>0.68396194890878204</v>
      </c>
      <c r="E52" s="69">
        <v>0.77709035227141199</v>
      </c>
      <c r="F52" s="69">
        <v>1.58004512745141</v>
      </c>
      <c r="G52" s="69">
        <v>94.907760861272706</v>
      </c>
      <c r="H52" s="69">
        <v>26.279691558139898</v>
      </c>
      <c r="I52" s="69">
        <v>2.3851542297872101</v>
      </c>
      <c r="J52" s="69">
        <v>3.37345561238127</v>
      </c>
      <c r="K52" s="69">
        <v>4.4909373082467798</v>
      </c>
      <c r="L52" s="69">
        <v>15.045895153159501</v>
      </c>
      <c r="M52" s="69">
        <v>2.7857291468707199</v>
      </c>
      <c r="N52" s="69">
        <v>0.62026374395488904</v>
      </c>
      <c r="O52" s="69">
        <v>0.42646581869188999</v>
      </c>
      <c r="P52" s="69">
        <v>1.0073556403577499</v>
      </c>
      <c r="Q52" s="69">
        <v>0.57300408934142799</v>
      </c>
      <c r="R52" s="69">
        <v>1.44894771994009</v>
      </c>
      <c r="S52" s="69">
        <v>7.9036427077149796</v>
      </c>
      <c r="T52" s="69">
        <v>0.84390546224195295</v>
      </c>
      <c r="U52" s="69">
        <v>4.5584458023845</v>
      </c>
      <c r="V52" s="69">
        <v>0.95870097033591795</v>
      </c>
      <c r="W52" s="69">
        <v>14.296010533288699</v>
      </c>
      <c r="X52" s="69">
        <v>13.848471628417901</v>
      </c>
      <c r="Y52" s="69">
        <v>0.75771682482128599</v>
      </c>
      <c r="Z52" s="69">
        <v>16.859477476209399</v>
      </c>
      <c r="AA52" s="69">
        <v>8.77472777477786</v>
      </c>
      <c r="AB52" s="69">
        <v>3.19271507404655</v>
      </c>
      <c r="AC52" s="69">
        <v>6.4508665752354002</v>
      </c>
      <c r="AD52" s="69">
        <v>7.2784388941378904</v>
      </c>
      <c r="AE52" s="69">
        <v>7.2442200210778296</v>
      </c>
      <c r="AF52" s="69">
        <v>5.3944025373634901</v>
      </c>
      <c r="AG52" s="69">
        <v>1.93612676342322</v>
      </c>
      <c r="AH52" s="69">
        <v>13.0419140534412</v>
      </c>
      <c r="AI52" s="69">
        <v>36.759622789181698</v>
      </c>
      <c r="AJ52" s="69">
        <v>6.5432118156471901</v>
      </c>
      <c r="AK52" s="69">
        <v>5.3689602791826099</v>
      </c>
      <c r="AL52" s="69">
        <v>2.0317844910363299</v>
      </c>
      <c r="AM52" s="69">
        <v>3.4515700251385399</v>
      </c>
      <c r="AN52" s="69">
        <v>9.1449321758148301</v>
      </c>
      <c r="AO52" s="69">
        <v>10.981120122120601</v>
      </c>
      <c r="AP52" s="69">
        <v>22.955597146727001</v>
      </c>
      <c r="AQ52" s="69">
        <v>133.38726835594599</v>
      </c>
      <c r="AR52" s="69">
        <v>27.432133945358601</v>
      </c>
      <c r="AS52" s="69">
        <v>8.9731102453731797</v>
      </c>
      <c r="AT52" s="69">
        <v>21.796918669917101</v>
      </c>
      <c r="AU52" s="69">
        <v>16.362068425807799</v>
      </c>
      <c r="AV52" s="69">
        <v>4.8318293094318303</v>
      </c>
      <c r="AW52" s="69">
        <v>15.159909536248099</v>
      </c>
      <c r="AX52" s="69">
        <v>5.9049898798753597</v>
      </c>
      <c r="AY52" s="69">
        <v>44.536659211878401</v>
      </c>
      <c r="AZ52" s="69">
        <v>26.5181863529676</v>
      </c>
      <c r="BA52" s="69">
        <v>40.086085391713702</v>
      </c>
      <c r="BB52" s="69">
        <v>68.935449180307003</v>
      </c>
      <c r="BC52" s="69">
        <v>7.0704015049440398</v>
      </c>
      <c r="BD52" s="69">
        <v>67.410880393915505</v>
      </c>
      <c r="BE52" s="69">
        <v>7.2284266922462699</v>
      </c>
      <c r="BF52" s="69">
        <v>17.290591029483299</v>
      </c>
      <c r="BG52" s="69">
        <v>13.6631595322559</v>
      </c>
      <c r="BH52" s="69">
        <v>58.054511209836697</v>
      </c>
      <c r="BI52" s="69">
        <v>1.9900670377308001</v>
      </c>
      <c r="BJ52" s="69">
        <v>378.712326454768</v>
      </c>
      <c r="BK52" s="69">
        <v>47.6715609405801</v>
      </c>
      <c r="BL52" s="69">
        <v>28.6508777969369</v>
      </c>
      <c r="BM52" s="69">
        <v>298.75501373385498</v>
      </c>
      <c r="BN52" s="69">
        <v>124.518130588616</v>
      </c>
      <c r="BO52" s="69">
        <v>4.4579344866174999</v>
      </c>
      <c r="BP52" s="69">
        <v>373.62411717561201</v>
      </c>
      <c r="BQ52" s="70">
        <v>0</v>
      </c>
      <c r="BR52" s="71">
        <v>2215.8500717511602</v>
      </c>
      <c r="BS52" s="72">
        <v>0</v>
      </c>
      <c r="BT52" s="73">
        <v>0</v>
      </c>
      <c r="BU52" s="73">
        <v>0</v>
      </c>
      <c r="BV52" s="73">
        <v>4161.0754119942403</v>
      </c>
      <c r="BW52" s="73">
        <v>0</v>
      </c>
      <c r="BX52" s="74">
        <v>0</v>
      </c>
      <c r="BY52" s="71">
        <v>4161.0754119942403</v>
      </c>
      <c r="BZ52" s="75">
        <v>6376.92548374539</v>
      </c>
    </row>
    <row r="53" spans="1:78" ht="15" customHeight="1" x14ac:dyDescent="0.3">
      <c r="A53" s="33" t="s">
        <v>71</v>
      </c>
      <c r="B53" s="11" t="s">
        <v>139</v>
      </c>
      <c r="C53" s="68">
        <v>0</v>
      </c>
      <c r="D53" s="69">
        <v>0</v>
      </c>
      <c r="E53" s="69">
        <v>0</v>
      </c>
      <c r="F53" s="69">
        <v>8.2727704171879103E-4</v>
      </c>
      <c r="G53" s="69">
        <v>6.5246840974618296E-3</v>
      </c>
      <c r="H53" s="69">
        <v>4.0999928571770197E-3</v>
      </c>
      <c r="I53" s="69">
        <v>8.6749031611145695E-4</v>
      </c>
      <c r="J53" s="69">
        <v>5.6023514979253099E-2</v>
      </c>
      <c r="K53" s="69">
        <v>6.0110294337557997E-3</v>
      </c>
      <c r="L53" s="69">
        <v>4.22238946642116E-2</v>
      </c>
      <c r="M53" s="69">
        <v>9.8780608538376904E-2</v>
      </c>
      <c r="N53" s="69">
        <v>1.0160487346107701E-3</v>
      </c>
      <c r="O53" s="69">
        <v>5.0326885569605996E-3</v>
      </c>
      <c r="P53" s="69">
        <v>8.3036982551085194E-3</v>
      </c>
      <c r="Q53" s="69">
        <v>3.9707082597833501E-3</v>
      </c>
      <c r="R53" s="69">
        <v>1.63761508589515E-3</v>
      </c>
      <c r="S53" s="69">
        <v>3.6975535820077898E-2</v>
      </c>
      <c r="T53" s="69">
        <v>0.265448861188392</v>
      </c>
      <c r="U53" s="69">
        <v>6.7853651264416599E-3</v>
      </c>
      <c r="V53" s="69">
        <v>8.1877557774275092E-3</v>
      </c>
      <c r="W53" s="69">
        <v>9.1093199638874207</v>
      </c>
      <c r="X53" s="69">
        <v>5.0630316086793404E-3</v>
      </c>
      <c r="Y53" s="69">
        <v>3.3933141382666899E-3</v>
      </c>
      <c r="Z53" s="69">
        <v>5.6269651194402696E-3</v>
      </c>
      <c r="AA53" s="69">
        <v>1.2885117555581201E-2</v>
      </c>
      <c r="AB53" s="69">
        <v>6.2310301747257497E-3</v>
      </c>
      <c r="AC53" s="69">
        <v>9.0806055923662605E-3</v>
      </c>
      <c r="AD53" s="69">
        <v>5.7968661207561702E-4</v>
      </c>
      <c r="AE53" s="69">
        <v>6.4431880130067197E-3</v>
      </c>
      <c r="AF53" s="69">
        <v>3.78053355329971E-2</v>
      </c>
      <c r="AG53" s="69">
        <v>4.5176280831739401E-3</v>
      </c>
      <c r="AH53" s="69">
        <v>1.1294575751398001E-2</v>
      </c>
      <c r="AI53" s="69">
        <v>1.8192514431388401E-3</v>
      </c>
      <c r="AJ53" s="69">
        <v>3.8241732162816399E-3</v>
      </c>
      <c r="AK53" s="69">
        <v>3.1194716344490601E-3</v>
      </c>
      <c r="AL53" s="69">
        <v>7.2662677069384096E-3</v>
      </c>
      <c r="AM53" s="69">
        <v>1.1488752911426501E-3</v>
      </c>
      <c r="AN53" s="69">
        <v>2.6955252117764199</v>
      </c>
      <c r="AO53" s="69">
        <v>4.7904938658452001E-3</v>
      </c>
      <c r="AP53" s="69">
        <v>0.107965325433479</v>
      </c>
      <c r="AQ53" s="69">
        <v>14.2102995647226</v>
      </c>
      <c r="AR53" s="69">
        <v>6.6590670174234701E-2</v>
      </c>
      <c r="AS53" s="69">
        <v>9.7968224807985392E-4</v>
      </c>
      <c r="AT53" s="69">
        <v>1.3244528392605599E-2</v>
      </c>
      <c r="AU53" s="69">
        <v>6.4107343053223603E-2</v>
      </c>
      <c r="AV53" s="69">
        <v>1.9917295215260999</v>
      </c>
      <c r="AW53" s="69">
        <v>0.34394349604393898</v>
      </c>
      <c r="AX53" s="69">
        <v>1.09283492770669</v>
      </c>
      <c r="AY53" s="69">
        <v>7.3520430756718297E-2</v>
      </c>
      <c r="AZ53" s="69">
        <v>4.1665407716349803</v>
      </c>
      <c r="BA53" s="69">
        <v>0.578515122596724</v>
      </c>
      <c r="BB53" s="69">
        <v>44.885701562491903</v>
      </c>
      <c r="BC53" s="69">
        <v>2.7037277636821</v>
      </c>
      <c r="BD53" s="69">
        <v>12.1261543275071</v>
      </c>
      <c r="BE53" s="69">
        <v>6.00455039357327</v>
      </c>
      <c r="BF53" s="69">
        <v>29.442671412244501</v>
      </c>
      <c r="BG53" s="69">
        <v>1.5988016880106899</v>
      </c>
      <c r="BH53" s="69">
        <v>0.91575333913310097</v>
      </c>
      <c r="BI53" s="69">
        <v>5.5638960612193998E-3</v>
      </c>
      <c r="BJ53" s="69">
        <v>109.058222578466</v>
      </c>
      <c r="BK53" s="69">
        <v>175.34094410332099</v>
      </c>
      <c r="BL53" s="69">
        <v>67.712276167708296</v>
      </c>
      <c r="BM53" s="69">
        <v>2.40023531688382</v>
      </c>
      <c r="BN53" s="69">
        <v>3.8239489243017499</v>
      </c>
      <c r="BO53" s="69">
        <v>0.27373423428470101</v>
      </c>
      <c r="BP53" s="69">
        <v>5.6078872577061203</v>
      </c>
      <c r="BQ53" s="70">
        <v>0</v>
      </c>
      <c r="BR53" s="71">
        <v>497.09289530540099</v>
      </c>
      <c r="BS53" s="72">
        <v>0</v>
      </c>
      <c r="BT53" s="73">
        <v>0</v>
      </c>
      <c r="BU53" s="73">
        <v>0</v>
      </c>
      <c r="BV53" s="73">
        <v>1171.19958700655</v>
      </c>
      <c r="BW53" s="73">
        <v>0</v>
      </c>
      <c r="BX53" s="74">
        <v>-81.848511590017395</v>
      </c>
      <c r="BY53" s="71">
        <v>1089.35107541653</v>
      </c>
      <c r="BZ53" s="75">
        <v>1586.4439707219301</v>
      </c>
    </row>
    <row r="54" spans="1:78" ht="15" customHeight="1" x14ac:dyDescent="0.3">
      <c r="A54" s="33" t="s">
        <v>72</v>
      </c>
      <c r="B54" s="11" t="s">
        <v>140</v>
      </c>
      <c r="C54" s="68">
        <v>0</v>
      </c>
      <c r="D54" s="69">
        <v>0</v>
      </c>
      <c r="E54" s="69">
        <v>0</v>
      </c>
      <c r="F54" s="69">
        <v>2.8189235496081303E-4</v>
      </c>
      <c r="G54" s="69">
        <v>2.0460840073153398E-3</v>
      </c>
      <c r="H54" s="69">
        <v>1.4334671431289699E-3</v>
      </c>
      <c r="I54" s="69">
        <v>3.0970482682890699E-4</v>
      </c>
      <c r="J54" s="69">
        <v>1.54779255429713E-2</v>
      </c>
      <c r="K54" s="69">
        <v>2.2793809181851999E-3</v>
      </c>
      <c r="L54" s="69">
        <v>1.02841236946563E-2</v>
      </c>
      <c r="M54" s="69">
        <v>8.2226552435245997E-4</v>
      </c>
      <c r="N54" s="69">
        <v>4.9941838385852402E-4</v>
      </c>
      <c r="O54" s="69">
        <v>2.0800356617165401E-3</v>
      </c>
      <c r="P54" s="69">
        <v>3.1422523514934098E-3</v>
      </c>
      <c r="Q54" s="69">
        <v>1.8742029594148201E-3</v>
      </c>
      <c r="R54" s="69">
        <v>9.9118972853707698E-4</v>
      </c>
      <c r="S54" s="69">
        <v>4.3327645814826201E-3</v>
      </c>
      <c r="T54" s="69">
        <v>4.4173608635774103E-4</v>
      </c>
      <c r="U54" s="69">
        <v>2.6131961979866699E-3</v>
      </c>
      <c r="V54" s="69">
        <v>3.22668784583238E-3</v>
      </c>
      <c r="W54" s="69">
        <v>3.28818353718007E-3</v>
      </c>
      <c r="X54" s="69">
        <v>2.6559947885492702E-3</v>
      </c>
      <c r="Y54" s="69">
        <v>1.10200794516834E-3</v>
      </c>
      <c r="Z54" s="69">
        <v>2.9157330307072E-3</v>
      </c>
      <c r="AA54" s="69">
        <v>5.4797993975562098E-3</v>
      </c>
      <c r="AB54" s="69">
        <v>3.0641307317116899E-3</v>
      </c>
      <c r="AC54" s="69">
        <v>4.1912811422729103E-3</v>
      </c>
      <c r="AD54" s="69">
        <v>6.2799382974858503E-4</v>
      </c>
      <c r="AE54" s="69">
        <v>3.30271321782651E-3</v>
      </c>
      <c r="AF54" s="69">
        <v>1.6105781513013301E-3</v>
      </c>
      <c r="AG54" s="69">
        <v>2.3260056059691901E-3</v>
      </c>
      <c r="AH54" s="69">
        <v>6.3810235725238196E-3</v>
      </c>
      <c r="AI54" s="69">
        <v>6.2291263913108203E-4</v>
      </c>
      <c r="AJ54" s="69">
        <v>1.18296634341319E-3</v>
      </c>
      <c r="AK54" s="69">
        <v>1.0407068043404299E-3</v>
      </c>
      <c r="AL54" s="69">
        <v>2.8667808205934098E-3</v>
      </c>
      <c r="AM54" s="69">
        <v>3.6003326096731601E-4</v>
      </c>
      <c r="AN54" s="69">
        <v>3.35860322821148E-3</v>
      </c>
      <c r="AO54" s="69">
        <v>1.4659084270100501E-3</v>
      </c>
      <c r="AP54" s="69">
        <v>3.25483701674458E-2</v>
      </c>
      <c r="AQ54" s="69">
        <v>0.28815331535475103</v>
      </c>
      <c r="AR54" s="69">
        <v>2.0075128508409E-2</v>
      </c>
      <c r="AS54" s="69">
        <v>2.9534538361230899E-4</v>
      </c>
      <c r="AT54" s="69">
        <v>3.7869577196803102E-4</v>
      </c>
      <c r="AU54" s="69">
        <v>1.9326478420457101E-2</v>
      </c>
      <c r="AV54" s="69">
        <v>0.19593107401801901</v>
      </c>
      <c r="AW54" s="69">
        <v>9.7798508601480094E-2</v>
      </c>
      <c r="AX54" s="69">
        <v>0.52112734819135798</v>
      </c>
      <c r="AY54" s="69">
        <v>343.93215469084498</v>
      </c>
      <c r="AZ54" s="69">
        <v>255.035561934426</v>
      </c>
      <c r="BA54" s="69">
        <v>3.2613635245971898E-2</v>
      </c>
      <c r="BB54" s="69">
        <v>2.95546076492162E-3</v>
      </c>
      <c r="BC54" s="69">
        <v>6.6098829913389598E-2</v>
      </c>
      <c r="BD54" s="69">
        <v>7.7378791363061195E-2</v>
      </c>
      <c r="BE54" s="69">
        <v>2.73941855146267E-2</v>
      </c>
      <c r="BF54" s="69">
        <v>15.7331198957728</v>
      </c>
      <c r="BG54" s="69">
        <v>5.8116443901892398E-2</v>
      </c>
      <c r="BH54" s="69">
        <v>2.12413996260601</v>
      </c>
      <c r="BI54" s="69">
        <v>0.27994315492695898</v>
      </c>
      <c r="BJ54" s="69">
        <v>4.4095400183339203E-3</v>
      </c>
      <c r="BK54" s="69">
        <v>4.4919855257201098E-4</v>
      </c>
      <c r="BL54" s="69">
        <v>2.27473297288921E-2</v>
      </c>
      <c r="BM54" s="69">
        <v>0</v>
      </c>
      <c r="BN54" s="69">
        <v>3.1763856512800899E-2</v>
      </c>
      <c r="BO54" s="69">
        <v>5.8532592320749899</v>
      </c>
      <c r="BP54" s="69">
        <v>3.4820562883435498E-2</v>
      </c>
      <c r="BQ54" s="70">
        <v>0</v>
      </c>
      <c r="BR54" s="71">
        <v>624.59254065375205</v>
      </c>
      <c r="BS54" s="72">
        <v>0</v>
      </c>
      <c r="BT54" s="73">
        <v>0</v>
      </c>
      <c r="BU54" s="73">
        <v>0</v>
      </c>
      <c r="BV54" s="73">
        <v>9.0386650770818608</v>
      </c>
      <c r="BW54" s="73">
        <v>0</v>
      </c>
      <c r="BX54" s="74">
        <v>0</v>
      </c>
      <c r="BY54" s="71">
        <v>9.0386650770818608</v>
      </c>
      <c r="BZ54" s="75">
        <v>633.63120573083404</v>
      </c>
    </row>
    <row r="55" spans="1:78" ht="15" customHeight="1" x14ac:dyDescent="0.3">
      <c r="A55" s="33" t="s">
        <v>73</v>
      </c>
      <c r="B55" s="11" t="s">
        <v>141</v>
      </c>
      <c r="C55" s="68">
        <v>0</v>
      </c>
      <c r="D55" s="69">
        <v>0</v>
      </c>
      <c r="E55" s="69">
        <v>0</v>
      </c>
      <c r="F55" s="69">
        <v>6.6252535587619397E-3</v>
      </c>
      <c r="G55" s="69">
        <v>16.185710667565999</v>
      </c>
      <c r="H55" s="69">
        <v>10.7248322141364</v>
      </c>
      <c r="I55" s="69">
        <v>8.0254493604941298E-3</v>
      </c>
      <c r="J55" s="69">
        <v>33.018220343173397</v>
      </c>
      <c r="K55" s="69">
        <v>12.2336342165804</v>
      </c>
      <c r="L55" s="69">
        <v>41.811844417254299</v>
      </c>
      <c r="M55" s="69">
        <v>13.640012735202401</v>
      </c>
      <c r="N55" s="69">
        <v>1.98433443065987E-2</v>
      </c>
      <c r="O55" s="69">
        <v>3.5788266641440898</v>
      </c>
      <c r="P55" s="69">
        <v>15.8876333816838</v>
      </c>
      <c r="Q55" s="69">
        <v>5.2623812661684699</v>
      </c>
      <c r="R55" s="69">
        <v>4.6214185812251597E-2</v>
      </c>
      <c r="S55" s="69">
        <v>19.1283269790197</v>
      </c>
      <c r="T55" s="69">
        <v>11.6347520267243</v>
      </c>
      <c r="U55" s="69">
        <v>8.1868406017054607</v>
      </c>
      <c r="V55" s="69">
        <v>9.89427359441334E-2</v>
      </c>
      <c r="W55" s="69">
        <v>15.4331246490902</v>
      </c>
      <c r="X55" s="69">
        <v>15.230318283826101</v>
      </c>
      <c r="Y55" s="69">
        <v>2.30297619257262E-2</v>
      </c>
      <c r="Z55" s="69">
        <v>10.6003455664674</v>
      </c>
      <c r="AA55" s="69">
        <v>4.3648123593930297</v>
      </c>
      <c r="AB55" s="69">
        <v>14.0568189228746</v>
      </c>
      <c r="AC55" s="69">
        <v>8.2148488830312907</v>
      </c>
      <c r="AD55" s="69">
        <v>3.9563993957497399</v>
      </c>
      <c r="AE55" s="69">
        <v>11.078552741607499</v>
      </c>
      <c r="AF55" s="69">
        <v>21.105850162121499</v>
      </c>
      <c r="AG55" s="69">
        <v>13.2242251421318</v>
      </c>
      <c r="AH55" s="69">
        <v>18.981016776647898</v>
      </c>
      <c r="AI55" s="69">
        <v>34.033699995261003</v>
      </c>
      <c r="AJ55" s="69">
        <v>40.387021504322803</v>
      </c>
      <c r="AK55" s="69">
        <v>3.56690585642979</v>
      </c>
      <c r="AL55" s="69">
        <v>17.907548987141801</v>
      </c>
      <c r="AM55" s="69">
        <v>2.8056100884738102</v>
      </c>
      <c r="AN55" s="69">
        <v>8.7478284299613893</v>
      </c>
      <c r="AO55" s="69">
        <v>2.5646983341361101E-2</v>
      </c>
      <c r="AP55" s="69">
        <v>69.495180744795604</v>
      </c>
      <c r="AQ55" s="69">
        <v>72.694134784424705</v>
      </c>
      <c r="AR55" s="69">
        <v>15.1809044977842</v>
      </c>
      <c r="AS55" s="69">
        <v>4.90561478634104E-3</v>
      </c>
      <c r="AT55" s="69">
        <v>4.1804766068345298</v>
      </c>
      <c r="AU55" s="69">
        <v>29.549192684505901</v>
      </c>
      <c r="AV55" s="69">
        <v>3.1340157486193401</v>
      </c>
      <c r="AW55" s="69">
        <v>1.6244093745757999</v>
      </c>
      <c r="AX55" s="69">
        <v>7.16866080950963</v>
      </c>
      <c r="AY55" s="69">
        <v>5.61493874491397</v>
      </c>
      <c r="AZ55" s="69">
        <v>707.93055790514302</v>
      </c>
      <c r="BA55" s="69">
        <v>186.811601701667</v>
      </c>
      <c r="BB55" s="69">
        <v>406.84585619027803</v>
      </c>
      <c r="BC55" s="69">
        <v>44.518506742096001</v>
      </c>
      <c r="BD55" s="69">
        <v>216.00853462572999</v>
      </c>
      <c r="BE55" s="69">
        <v>29.405397730957699</v>
      </c>
      <c r="BF55" s="69">
        <v>47.922273437989801</v>
      </c>
      <c r="BG55" s="69">
        <v>4.6548873585761301</v>
      </c>
      <c r="BH55" s="69">
        <v>135.96779948381501</v>
      </c>
      <c r="BI55" s="69">
        <v>20.380423247268698</v>
      </c>
      <c r="BJ55" s="69">
        <v>7.3241384206960899E-2</v>
      </c>
      <c r="BK55" s="69">
        <v>3.2367133676008599</v>
      </c>
      <c r="BL55" s="69">
        <v>120.54848384861999</v>
      </c>
      <c r="BM55" s="69">
        <v>6.5304632378307099</v>
      </c>
      <c r="BN55" s="69">
        <v>89.9555062697914</v>
      </c>
      <c r="BO55" s="69">
        <v>28.8278121023911</v>
      </c>
      <c r="BP55" s="69">
        <v>122.855366025672</v>
      </c>
      <c r="BQ55" s="70">
        <v>0</v>
      </c>
      <c r="BR55" s="71">
        <v>2816.3365152425199</v>
      </c>
      <c r="BS55" s="72">
        <v>0</v>
      </c>
      <c r="BT55" s="73">
        <v>0</v>
      </c>
      <c r="BU55" s="73">
        <v>0</v>
      </c>
      <c r="BV55" s="73">
        <v>594.29170416187003</v>
      </c>
      <c r="BW55" s="73">
        <v>0</v>
      </c>
      <c r="BX55" s="74">
        <v>0</v>
      </c>
      <c r="BY55" s="71">
        <v>594.29170416187003</v>
      </c>
      <c r="BZ55" s="75">
        <v>3410.6282194043902</v>
      </c>
    </row>
    <row r="56" spans="1:78" ht="15" customHeight="1" x14ac:dyDescent="0.3">
      <c r="A56" s="33" t="s">
        <v>74</v>
      </c>
      <c r="B56" s="11" t="s">
        <v>142</v>
      </c>
      <c r="C56" s="68">
        <v>2.9938577035734002</v>
      </c>
      <c r="D56" s="69">
        <v>1.26735498523309E-2</v>
      </c>
      <c r="E56" s="69">
        <v>2.1454010149176599E-3</v>
      </c>
      <c r="F56" s="69">
        <v>3.56449168360259E-2</v>
      </c>
      <c r="G56" s="69">
        <v>11.2405847675125</v>
      </c>
      <c r="H56" s="69">
        <v>61.051896138162697</v>
      </c>
      <c r="I56" s="69">
        <v>3.0369824601477302</v>
      </c>
      <c r="J56" s="69">
        <v>58.608440838812598</v>
      </c>
      <c r="K56" s="69">
        <v>8.0267081613120198E-2</v>
      </c>
      <c r="L56" s="69">
        <v>113.35949646784501</v>
      </c>
      <c r="M56" s="69">
        <v>7.5228601697253801</v>
      </c>
      <c r="N56" s="69">
        <v>3.5503110730932099</v>
      </c>
      <c r="O56" s="69">
        <v>5.0753867710398897</v>
      </c>
      <c r="P56" s="69">
        <v>3.9711426922106998</v>
      </c>
      <c r="Q56" s="69">
        <v>2.0164338378825102</v>
      </c>
      <c r="R56" s="69">
        <v>0.11246828524634001</v>
      </c>
      <c r="S56" s="69">
        <v>29.6878284307335</v>
      </c>
      <c r="T56" s="69">
        <v>1.3988376411671199E-2</v>
      </c>
      <c r="U56" s="69">
        <v>5.8186726218693599</v>
      </c>
      <c r="V56" s="69">
        <v>0.123943505894422</v>
      </c>
      <c r="W56" s="69">
        <v>58.867851946212802</v>
      </c>
      <c r="X56" s="69">
        <v>37.566440501184303</v>
      </c>
      <c r="Y56" s="69">
        <v>2.6231651934336999</v>
      </c>
      <c r="Z56" s="69">
        <v>47.226318590602098</v>
      </c>
      <c r="AA56" s="69">
        <v>19.786643537137</v>
      </c>
      <c r="AB56" s="69">
        <v>10.755237142675201</v>
      </c>
      <c r="AC56" s="69">
        <v>22.167010980990899</v>
      </c>
      <c r="AD56" s="69">
        <v>3.2595454014343699</v>
      </c>
      <c r="AE56" s="69">
        <v>21.733299751420802</v>
      </c>
      <c r="AF56" s="69">
        <v>40.0477327455731</v>
      </c>
      <c r="AG56" s="69">
        <v>49.6911274945952</v>
      </c>
      <c r="AH56" s="69">
        <v>43.721718168696</v>
      </c>
      <c r="AI56" s="69">
        <v>78.518748914551793</v>
      </c>
      <c r="AJ56" s="69">
        <v>20.043876903178901</v>
      </c>
      <c r="AK56" s="69">
        <v>5.2652055375158398</v>
      </c>
      <c r="AL56" s="69">
        <v>15.3154159797283</v>
      </c>
      <c r="AM56" s="69">
        <v>18.895043349995401</v>
      </c>
      <c r="AN56" s="69">
        <v>215.14630280568699</v>
      </c>
      <c r="AO56" s="69">
        <v>127.635424648667</v>
      </c>
      <c r="AP56" s="69">
        <v>54.969612026313698</v>
      </c>
      <c r="AQ56" s="69">
        <v>1722.4394310036901</v>
      </c>
      <c r="AR56" s="69">
        <v>153.50915515661799</v>
      </c>
      <c r="AS56" s="69">
        <v>0.10840511691162801</v>
      </c>
      <c r="AT56" s="69">
        <v>69.454992247025103</v>
      </c>
      <c r="AU56" s="69">
        <v>377.49367402141797</v>
      </c>
      <c r="AV56" s="69">
        <v>6.4122920800680197</v>
      </c>
      <c r="AW56" s="69">
        <v>22.372181733290201</v>
      </c>
      <c r="AX56" s="69">
        <v>43.453777738904201</v>
      </c>
      <c r="AY56" s="69">
        <v>251.716341710786</v>
      </c>
      <c r="AZ56" s="69">
        <v>443.69519127588899</v>
      </c>
      <c r="BA56" s="69">
        <v>2287.6383639577198</v>
      </c>
      <c r="BB56" s="69">
        <v>4293.2528944236001</v>
      </c>
      <c r="BC56" s="69">
        <v>37.912375791956997</v>
      </c>
      <c r="BD56" s="69">
        <v>531.95737689165799</v>
      </c>
      <c r="BE56" s="69">
        <v>6.8989941964297703</v>
      </c>
      <c r="BF56" s="69">
        <v>3373.6548696905102</v>
      </c>
      <c r="BG56" s="69">
        <v>55.113683687914602</v>
      </c>
      <c r="BH56" s="69">
        <v>208.26325927486201</v>
      </c>
      <c r="BI56" s="69">
        <v>55.415370185802701</v>
      </c>
      <c r="BJ56" s="69">
        <v>2551.67303735929</v>
      </c>
      <c r="BK56" s="69">
        <v>249.49945540623301</v>
      </c>
      <c r="BL56" s="69">
        <v>46.324933095390001</v>
      </c>
      <c r="BM56" s="69">
        <v>471.99917573154801</v>
      </c>
      <c r="BN56" s="69">
        <v>0.94787149980545404</v>
      </c>
      <c r="BO56" s="69">
        <v>41.844489146955198</v>
      </c>
      <c r="BP56" s="69">
        <v>464.51329719093502</v>
      </c>
      <c r="BQ56" s="70">
        <v>0</v>
      </c>
      <c r="BR56" s="71">
        <v>18969.115636324299</v>
      </c>
      <c r="BS56" s="72">
        <v>0</v>
      </c>
      <c r="BT56" s="73">
        <v>0</v>
      </c>
      <c r="BU56" s="73">
        <v>0</v>
      </c>
      <c r="BV56" s="73">
        <v>3476.1462916503201</v>
      </c>
      <c r="BW56" s="73">
        <v>12000.125057622299</v>
      </c>
      <c r="BX56" s="74">
        <v>4.5270002600363402</v>
      </c>
      <c r="BY56" s="71">
        <v>15480.798349532601</v>
      </c>
      <c r="BZ56" s="75">
        <v>34449.913985856903</v>
      </c>
    </row>
    <row r="57" spans="1:78" ht="15" customHeight="1" x14ac:dyDescent="0.3">
      <c r="A57" s="33" t="s">
        <v>75</v>
      </c>
      <c r="B57" s="11" t="s">
        <v>143</v>
      </c>
      <c r="C57" s="68">
        <v>1112.0036209928201</v>
      </c>
      <c r="D57" s="69">
        <v>369.08142693365699</v>
      </c>
      <c r="E57" s="69">
        <v>55.405668636827599</v>
      </c>
      <c r="F57" s="69">
        <v>66.560510198473906</v>
      </c>
      <c r="G57" s="69">
        <v>773.54281409329406</v>
      </c>
      <c r="H57" s="69">
        <v>222.93005631263699</v>
      </c>
      <c r="I57" s="69">
        <v>47.4395797989743</v>
      </c>
      <c r="J57" s="69">
        <v>617.00902807232899</v>
      </c>
      <c r="K57" s="69">
        <v>217.70459188237501</v>
      </c>
      <c r="L57" s="69">
        <v>571.88812664100897</v>
      </c>
      <c r="M57" s="69">
        <v>198.899982155191</v>
      </c>
      <c r="N57" s="69">
        <v>22.9736002013872</v>
      </c>
      <c r="O57" s="69">
        <v>88.858307309835695</v>
      </c>
      <c r="P57" s="69">
        <v>112.27786246602901</v>
      </c>
      <c r="Q57" s="69">
        <v>73.184553843011201</v>
      </c>
      <c r="R57" s="69">
        <v>71.408206030374103</v>
      </c>
      <c r="S57" s="69">
        <v>306.384150862865</v>
      </c>
      <c r="T57" s="69">
        <v>36.5665206290331</v>
      </c>
      <c r="U57" s="69">
        <v>401.46992218909901</v>
      </c>
      <c r="V57" s="69">
        <v>119.26071309888199</v>
      </c>
      <c r="W57" s="69">
        <v>467.80566282855898</v>
      </c>
      <c r="X57" s="69">
        <v>121.890669365029</v>
      </c>
      <c r="Y57" s="69">
        <v>70.535156077357598</v>
      </c>
      <c r="Z57" s="69">
        <v>107.85182827902101</v>
      </c>
      <c r="AA57" s="69">
        <v>244.50007830362</v>
      </c>
      <c r="AB57" s="69">
        <v>257.16452062572301</v>
      </c>
      <c r="AC57" s="69">
        <v>377.53918901834601</v>
      </c>
      <c r="AD57" s="69">
        <v>118.74327724132399</v>
      </c>
      <c r="AE57" s="69">
        <v>215.951539299904</v>
      </c>
      <c r="AF57" s="69">
        <v>129.214781230434</v>
      </c>
      <c r="AG57" s="69">
        <v>171.96497325142801</v>
      </c>
      <c r="AH57" s="69">
        <v>323.62689879381099</v>
      </c>
      <c r="AI57" s="69">
        <v>325.65164234716099</v>
      </c>
      <c r="AJ57" s="69">
        <v>167.90011272627601</v>
      </c>
      <c r="AK57" s="69">
        <v>54.434968689383197</v>
      </c>
      <c r="AL57" s="69">
        <v>102.895575698694</v>
      </c>
      <c r="AM57" s="69">
        <v>80.251576463358305</v>
      </c>
      <c r="AN57" s="69">
        <v>1021.1640466044699</v>
      </c>
      <c r="AO57" s="69">
        <v>234.55735008900001</v>
      </c>
      <c r="AP57" s="69">
        <v>1287.1789985666301</v>
      </c>
      <c r="AQ57" s="69">
        <v>7182.2283302323103</v>
      </c>
      <c r="AR57" s="69">
        <v>1174.5794670934299</v>
      </c>
      <c r="AS57" s="69">
        <v>90.690239723538099</v>
      </c>
      <c r="AT57" s="69">
        <v>76.277012921452496</v>
      </c>
      <c r="AU57" s="69">
        <v>522.92071702457099</v>
      </c>
      <c r="AV57" s="69">
        <v>99.496231385945705</v>
      </c>
      <c r="AW57" s="69">
        <v>421.57908219233599</v>
      </c>
      <c r="AX57" s="69">
        <v>40.459307851496298</v>
      </c>
      <c r="AY57" s="69">
        <v>123.961104013623</v>
      </c>
      <c r="AZ57" s="69">
        <v>739.38116308676501</v>
      </c>
      <c r="BA57" s="69">
        <v>638.00962529755998</v>
      </c>
      <c r="BB57" s="69">
        <v>5226.5993485415202</v>
      </c>
      <c r="BC57" s="69">
        <v>2062.2948409118499</v>
      </c>
      <c r="BD57" s="69">
        <v>783.92890036411495</v>
      </c>
      <c r="BE57" s="69">
        <v>245.59677939437299</v>
      </c>
      <c r="BF57" s="69">
        <v>186.60298894655801</v>
      </c>
      <c r="BG57" s="69">
        <v>273.87425830879198</v>
      </c>
      <c r="BH57" s="69">
        <v>753.72497691080605</v>
      </c>
      <c r="BI57" s="69">
        <v>159.45234421904499</v>
      </c>
      <c r="BJ57" s="69">
        <v>17110.990988755701</v>
      </c>
      <c r="BK57" s="69">
        <v>54.012415279672801</v>
      </c>
      <c r="BL57" s="69">
        <v>325.19234173869103</v>
      </c>
      <c r="BM57" s="69">
        <v>49.019036178858698</v>
      </c>
      <c r="BN57" s="69">
        <v>833.41690800679999</v>
      </c>
      <c r="BO57" s="69">
        <v>74.6667651248477</v>
      </c>
      <c r="BP57" s="69">
        <v>201.322320010672</v>
      </c>
      <c r="BQ57" s="70">
        <v>0</v>
      </c>
      <c r="BR57" s="71">
        <v>50815.949581362998</v>
      </c>
      <c r="BS57" s="72">
        <v>0</v>
      </c>
      <c r="BT57" s="73">
        <v>0</v>
      </c>
      <c r="BU57" s="73">
        <v>0</v>
      </c>
      <c r="BV57" s="73">
        <v>2315.9347787960501</v>
      </c>
      <c r="BW57" s="73">
        <v>57.987774943632303</v>
      </c>
      <c r="BX57" s="74">
        <v>5.96970070843019E-3</v>
      </c>
      <c r="BY57" s="71">
        <v>2373.9285234403901</v>
      </c>
      <c r="BZ57" s="75">
        <v>53189.878104803298</v>
      </c>
    </row>
    <row r="58" spans="1:78" ht="15" customHeight="1" x14ac:dyDescent="0.3">
      <c r="A58" s="33" t="s">
        <v>76</v>
      </c>
      <c r="B58" s="11" t="s">
        <v>144</v>
      </c>
      <c r="C58" s="68">
        <v>0</v>
      </c>
      <c r="D58" s="69">
        <v>0</v>
      </c>
      <c r="E58" s="69">
        <v>0</v>
      </c>
      <c r="F58" s="69">
        <v>1.2184769002392499</v>
      </c>
      <c r="G58" s="69">
        <v>9.9614879244580905</v>
      </c>
      <c r="H58" s="69">
        <v>5.9665739502350998</v>
      </c>
      <c r="I58" s="69">
        <v>1.24971989768128</v>
      </c>
      <c r="J58" s="69">
        <v>27.144625885002899</v>
      </c>
      <c r="K58" s="69">
        <v>8.3950524417358103</v>
      </c>
      <c r="L58" s="69">
        <v>22.177132202307199</v>
      </c>
      <c r="M58" s="69">
        <v>3.0353152762805</v>
      </c>
      <c r="N58" s="69">
        <v>1.1926458177827901</v>
      </c>
      <c r="O58" s="69">
        <v>6.68825293972293</v>
      </c>
      <c r="P58" s="69">
        <v>11.609920612199099</v>
      </c>
      <c r="Q58" s="69">
        <v>4.8146024755424497</v>
      </c>
      <c r="R58" s="69">
        <v>1.5528234203239399</v>
      </c>
      <c r="S58" s="69">
        <v>6.7380257985203604</v>
      </c>
      <c r="T58" s="69">
        <v>1.7318409311506799</v>
      </c>
      <c r="U58" s="69">
        <v>9.3967866282555104</v>
      </c>
      <c r="V58" s="69">
        <v>11.1933187603183</v>
      </c>
      <c r="W58" s="69">
        <v>8.1668724244848807</v>
      </c>
      <c r="X58" s="69">
        <v>5.6110704039939998</v>
      </c>
      <c r="Y58" s="69">
        <v>5.1055431028091496</v>
      </c>
      <c r="Z58" s="69">
        <v>6.3076348623485297</v>
      </c>
      <c r="AA58" s="69">
        <v>16.817759389039502</v>
      </c>
      <c r="AB58" s="69">
        <v>7.3112686341462201</v>
      </c>
      <c r="AC58" s="69">
        <v>11.1985960444516</v>
      </c>
      <c r="AD58" s="69">
        <v>0</v>
      </c>
      <c r="AE58" s="69">
        <v>7.2939237749988397</v>
      </c>
      <c r="AF58" s="69">
        <v>3.3741687806281102</v>
      </c>
      <c r="AG58" s="69">
        <v>5.0936605255784002</v>
      </c>
      <c r="AH58" s="69">
        <v>11.612590457269601</v>
      </c>
      <c r="AI58" s="69">
        <v>2.6735669486233302</v>
      </c>
      <c r="AJ58" s="69">
        <v>5.8707661419305603</v>
      </c>
      <c r="AK58" s="69">
        <v>4.63871707495439</v>
      </c>
      <c r="AL58" s="69">
        <v>9.9271454796373799</v>
      </c>
      <c r="AM58" s="69">
        <v>1.75451637832886</v>
      </c>
      <c r="AN58" s="69">
        <v>17.276818840223701</v>
      </c>
      <c r="AO58" s="69">
        <v>7.3859279765090502</v>
      </c>
      <c r="AP58" s="69">
        <v>167.43087700360701</v>
      </c>
      <c r="AQ58" s="69">
        <v>1443.1303470155999</v>
      </c>
      <c r="AR58" s="69">
        <v>103.26744032181701</v>
      </c>
      <c r="AS58" s="69">
        <v>1.5192710603935999</v>
      </c>
      <c r="AT58" s="69">
        <v>1.9480295239680401</v>
      </c>
      <c r="AU58" s="69">
        <v>99.416347749876294</v>
      </c>
      <c r="AV58" s="69">
        <v>23.323612700809001</v>
      </c>
      <c r="AW58" s="69">
        <v>503.08029890496999</v>
      </c>
      <c r="AX58" s="69">
        <v>3.4668452781066601</v>
      </c>
      <c r="AY58" s="69">
        <v>13.877759216933899</v>
      </c>
      <c r="AZ58" s="69">
        <v>51.341106437255299</v>
      </c>
      <c r="BA58" s="69">
        <v>164.49213706909899</v>
      </c>
      <c r="BB58" s="69">
        <v>15.0185674844021</v>
      </c>
      <c r="BC58" s="69">
        <v>340.01560540764302</v>
      </c>
      <c r="BD58" s="69">
        <v>395.79832468970199</v>
      </c>
      <c r="BE58" s="69">
        <v>140.59089119340999</v>
      </c>
      <c r="BF58" s="69">
        <v>130.645308805545</v>
      </c>
      <c r="BG58" s="69">
        <v>298.95382237981698</v>
      </c>
      <c r="BH58" s="69">
        <v>418.40283858857703</v>
      </c>
      <c r="BI58" s="69">
        <v>8.5265499014285293</v>
      </c>
      <c r="BJ58" s="69">
        <v>22.683387211633899</v>
      </c>
      <c r="BK58" s="69">
        <v>2.31069926655494</v>
      </c>
      <c r="BL58" s="69">
        <v>116.899583741394</v>
      </c>
      <c r="BM58" s="69">
        <v>0</v>
      </c>
      <c r="BN58" s="69">
        <v>163.394827358263</v>
      </c>
      <c r="BO58" s="69">
        <v>88.578306069435399</v>
      </c>
      <c r="BP58" s="69">
        <v>178.99815457567701</v>
      </c>
      <c r="BQ58" s="70">
        <v>0</v>
      </c>
      <c r="BR58" s="71">
        <v>5168.5980880576299</v>
      </c>
      <c r="BS58" s="72">
        <v>0</v>
      </c>
      <c r="BT58" s="73">
        <v>0</v>
      </c>
      <c r="BU58" s="73">
        <v>0</v>
      </c>
      <c r="BV58" s="73">
        <v>0</v>
      </c>
      <c r="BW58" s="73">
        <v>9.6231666671695503E-4</v>
      </c>
      <c r="BX58" s="74">
        <v>0</v>
      </c>
      <c r="BY58" s="71">
        <v>9.6231666671695503E-4</v>
      </c>
      <c r="BZ58" s="75">
        <v>5168.5990503742996</v>
      </c>
    </row>
    <row r="59" spans="1:78" ht="15" customHeight="1" x14ac:dyDescent="0.3">
      <c r="A59" s="33" t="s">
        <v>77</v>
      </c>
      <c r="B59" s="11" t="s">
        <v>145</v>
      </c>
      <c r="C59" s="68">
        <v>0</v>
      </c>
      <c r="D59" s="69">
        <v>0</v>
      </c>
      <c r="E59" s="69">
        <v>0</v>
      </c>
      <c r="F59" s="69">
        <v>5.5232668912467302</v>
      </c>
      <c r="G59" s="69">
        <v>47.477949116159898</v>
      </c>
      <c r="H59" s="69">
        <v>1.4815319511296201</v>
      </c>
      <c r="I59" s="69">
        <v>4.1884249756457201</v>
      </c>
      <c r="J59" s="69">
        <v>66.564478111218705</v>
      </c>
      <c r="K59" s="69">
        <v>7.9381120209684397</v>
      </c>
      <c r="L59" s="69">
        <v>44.504771920955903</v>
      </c>
      <c r="M59" s="69">
        <v>21.4802184818627</v>
      </c>
      <c r="N59" s="69">
        <v>7.1300130351440698</v>
      </c>
      <c r="O59" s="69">
        <v>6.2625891652345302</v>
      </c>
      <c r="P59" s="69">
        <v>8.4418469398060694</v>
      </c>
      <c r="Q59" s="69">
        <v>3.9255784307982502</v>
      </c>
      <c r="R59" s="69">
        <v>2.96981930160876</v>
      </c>
      <c r="S59" s="69">
        <v>31.253351914742701</v>
      </c>
      <c r="T59" s="69">
        <v>2.0849925741927602</v>
      </c>
      <c r="U59" s="69">
        <v>351.70869298862101</v>
      </c>
      <c r="V59" s="69">
        <v>15.3748444360488</v>
      </c>
      <c r="W59" s="69">
        <v>75.779233393504299</v>
      </c>
      <c r="X59" s="69">
        <v>15.202604932426301</v>
      </c>
      <c r="Y59" s="69">
        <v>7.2090017319925304</v>
      </c>
      <c r="Z59" s="69">
        <v>16.059195232462699</v>
      </c>
      <c r="AA59" s="69">
        <v>69.286602688551199</v>
      </c>
      <c r="AB59" s="69">
        <v>18.113155383647602</v>
      </c>
      <c r="AC59" s="69">
        <v>9.4650923343708904</v>
      </c>
      <c r="AD59" s="69">
        <v>22.221950425958401</v>
      </c>
      <c r="AE59" s="69">
        <v>22.520764836350999</v>
      </c>
      <c r="AF59" s="69">
        <v>87.312475140424695</v>
      </c>
      <c r="AG59" s="69">
        <v>9.5158192037067906</v>
      </c>
      <c r="AH59" s="69">
        <v>110.579348189909</v>
      </c>
      <c r="AI59" s="69">
        <v>123.407503248221</v>
      </c>
      <c r="AJ59" s="69">
        <v>47.284192031603297</v>
      </c>
      <c r="AK59" s="69">
        <v>12.5952513326268</v>
      </c>
      <c r="AL59" s="69">
        <v>9.1555318996927504</v>
      </c>
      <c r="AM59" s="69">
        <v>2.5478803552829599E-3</v>
      </c>
      <c r="AN59" s="69">
        <v>37.394155908061499</v>
      </c>
      <c r="AO59" s="69">
        <v>198.62865878875999</v>
      </c>
      <c r="AP59" s="69">
        <v>207.73558033056699</v>
      </c>
      <c r="AQ59" s="69">
        <v>2601.1332345230499</v>
      </c>
      <c r="AR59" s="69">
        <v>172.430574592965</v>
      </c>
      <c r="AS59" s="69">
        <v>5.5691645185593499</v>
      </c>
      <c r="AT59" s="69">
        <v>27.2231665035014</v>
      </c>
      <c r="AU59" s="69">
        <v>135.388571576099</v>
      </c>
      <c r="AV59" s="69">
        <v>1.9924683999674999</v>
      </c>
      <c r="AW59" s="69">
        <v>28.441098628214501</v>
      </c>
      <c r="AX59" s="69">
        <v>3.9805083875822702</v>
      </c>
      <c r="AY59" s="69">
        <v>51.859133180900599</v>
      </c>
      <c r="AZ59" s="69">
        <v>102.122427055174</v>
      </c>
      <c r="BA59" s="69">
        <v>630.12323755629996</v>
      </c>
      <c r="BB59" s="69">
        <v>1230.2125153403999</v>
      </c>
      <c r="BC59" s="69">
        <v>112.079636283304</v>
      </c>
      <c r="BD59" s="69">
        <v>2288.3504974720599</v>
      </c>
      <c r="BE59" s="69">
        <v>257.216526336676</v>
      </c>
      <c r="BF59" s="69">
        <v>64.762236367988805</v>
      </c>
      <c r="BG59" s="69">
        <v>20.346131448569501</v>
      </c>
      <c r="BH59" s="69">
        <v>145.275293712928</v>
      </c>
      <c r="BI59" s="69">
        <v>48.456869080209302</v>
      </c>
      <c r="BJ59" s="69">
        <v>241.83481660163301</v>
      </c>
      <c r="BK59" s="69">
        <v>6.4815270147895996</v>
      </c>
      <c r="BL59" s="69">
        <v>90.689136118379494</v>
      </c>
      <c r="BM59" s="69">
        <v>17.792102121694501</v>
      </c>
      <c r="BN59" s="69">
        <v>70.996154646666596</v>
      </c>
      <c r="BO59" s="69">
        <v>71.704412840564999</v>
      </c>
      <c r="BP59" s="69">
        <v>231.80899564109799</v>
      </c>
      <c r="BQ59" s="70">
        <v>0</v>
      </c>
      <c r="BR59" s="71">
        <v>10386.0495831179</v>
      </c>
      <c r="BS59" s="72">
        <v>0</v>
      </c>
      <c r="BT59" s="73">
        <v>0</v>
      </c>
      <c r="BU59" s="73">
        <v>0</v>
      </c>
      <c r="BV59" s="73">
        <v>185.93816848841601</v>
      </c>
      <c r="BW59" s="73">
        <v>0</v>
      </c>
      <c r="BX59" s="74">
        <v>0</v>
      </c>
      <c r="BY59" s="71">
        <v>185.93816848841601</v>
      </c>
      <c r="BZ59" s="75">
        <v>10571.987751606301</v>
      </c>
    </row>
    <row r="60" spans="1:78" ht="15" customHeight="1" x14ac:dyDescent="0.3">
      <c r="A60" s="33" t="s">
        <v>78</v>
      </c>
      <c r="B60" s="11" t="s">
        <v>146</v>
      </c>
      <c r="C60" s="68">
        <v>368.44400804794498</v>
      </c>
      <c r="D60" s="69">
        <v>10.456549695942</v>
      </c>
      <c r="E60" s="69">
        <v>3.0937606108427902E-2</v>
      </c>
      <c r="F60" s="69">
        <v>24.676109020772401</v>
      </c>
      <c r="G60" s="69">
        <v>742.04871327841204</v>
      </c>
      <c r="H60" s="69">
        <v>421.92468516909997</v>
      </c>
      <c r="I60" s="69">
        <v>66.135877906603895</v>
      </c>
      <c r="J60" s="69">
        <v>536.21348235052005</v>
      </c>
      <c r="K60" s="69">
        <v>254.19341294925701</v>
      </c>
      <c r="L60" s="69">
        <v>484.73410698345299</v>
      </c>
      <c r="M60" s="69">
        <v>88.138541749420696</v>
      </c>
      <c r="N60" s="69">
        <v>53.783667105949199</v>
      </c>
      <c r="O60" s="69">
        <v>28.378724763385598</v>
      </c>
      <c r="P60" s="69">
        <v>62.597169803386102</v>
      </c>
      <c r="Q60" s="69">
        <v>34.397115857461202</v>
      </c>
      <c r="R60" s="69">
        <v>38.152672633882901</v>
      </c>
      <c r="S60" s="69">
        <v>267.94040101311498</v>
      </c>
      <c r="T60" s="69">
        <v>13.2262452096709</v>
      </c>
      <c r="U60" s="69">
        <v>95.058016143579707</v>
      </c>
      <c r="V60" s="69">
        <v>205.708122385808</v>
      </c>
      <c r="W60" s="69">
        <v>463.891957788269</v>
      </c>
      <c r="X60" s="69">
        <v>277.68295924242398</v>
      </c>
      <c r="Y60" s="69">
        <v>153.82325821417601</v>
      </c>
      <c r="Z60" s="69">
        <v>373.14061446974898</v>
      </c>
      <c r="AA60" s="69">
        <v>395.20699554542898</v>
      </c>
      <c r="AB60" s="69">
        <v>249.61886879689101</v>
      </c>
      <c r="AC60" s="69">
        <v>184.874441158395</v>
      </c>
      <c r="AD60" s="69">
        <v>127.413425261328</v>
      </c>
      <c r="AE60" s="69">
        <v>201.67548974260399</v>
      </c>
      <c r="AF60" s="69">
        <v>203.84140142907199</v>
      </c>
      <c r="AG60" s="69">
        <v>145.82010955625501</v>
      </c>
      <c r="AH60" s="69">
        <v>902.37226266510402</v>
      </c>
      <c r="AI60" s="69">
        <v>552.15214301068897</v>
      </c>
      <c r="AJ60" s="69">
        <v>273.58644604031298</v>
      </c>
      <c r="AK60" s="69">
        <v>42.672335475480402</v>
      </c>
      <c r="AL60" s="69">
        <v>108.92617910396299</v>
      </c>
      <c r="AM60" s="69">
        <v>97.442472068503207</v>
      </c>
      <c r="AN60" s="69">
        <v>740.77741001159995</v>
      </c>
      <c r="AO60" s="69">
        <v>217.076799262257</v>
      </c>
      <c r="AP60" s="69">
        <v>1057.19504443441</v>
      </c>
      <c r="AQ60" s="69">
        <v>690.67778646951695</v>
      </c>
      <c r="AR60" s="69">
        <v>162.14776438848401</v>
      </c>
      <c r="AS60" s="69">
        <v>0.35142772649154902</v>
      </c>
      <c r="AT60" s="69">
        <v>1.18587179307035E-2</v>
      </c>
      <c r="AU60" s="69">
        <v>2947.9663582868802</v>
      </c>
      <c r="AV60" s="69">
        <v>1.9811147871363901</v>
      </c>
      <c r="AW60" s="69">
        <v>4.9104821226811097</v>
      </c>
      <c r="AX60" s="69">
        <v>2.1274789659752401E-2</v>
      </c>
      <c r="AY60" s="69">
        <v>8.6216965766624104E-2</v>
      </c>
      <c r="AZ60" s="69">
        <v>1.2082085211489899</v>
      </c>
      <c r="BA60" s="69">
        <v>189.91902235954899</v>
      </c>
      <c r="BB60" s="69">
        <v>172.383298563664</v>
      </c>
      <c r="BC60" s="69">
        <v>7.0672255419269296</v>
      </c>
      <c r="BD60" s="69">
        <v>2.1842592652451098</v>
      </c>
      <c r="BE60" s="69">
        <v>1102.5418925614899</v>
      </c>
      <c r="BF60" s="69">
        <v>0.71613646152217703</v>
      </c>
      <c r="BG60" s="69">
        <v>36.893068490539697</v>
      </c>
      <c r="BH60" s="69">
        <v>12.056544966236199</v>
      </c>
      <c r="BI60" s="69">
        <v>7.4898873509918695E-2</v>
      </c>
      <c r="BJ60" s="69">
        <v>1123.8760386208701</v>
      </c>
      <c r="BK60" s="69">
        <v>520.41120288930495</v>
      </c>
      <c r="BL60" s="69">
        <v>44.289759169363201</v>
      </c>
      <c r="BM60" s="69">
        <v>816.80047049282905</v>
      </c>
      <c r="BN60" s="69">
        <v>0.94650195687634597</v>
      </c>
      <c r="BO60" s="69">
        <v>0.48017079544027302</v>
      </c>
      <c r="BP60" s="69">
        <v>0.98498709886186797</v>
      </c>
      <c r="BQ60" s="70">
        <v>0</v>
      </c>
      <c r="BR60" s="71">
        <v>18406.417143833602</v>
      </c>
      <c r="BS60" s="72">
        <v>0</v>
      </c>
      <c r="BT60" s="73">
        <v>0</v>
      </c>
      <c r="BU60" s="73">
        <v>0</v>
      </c>
      <c r="BV60" s="73">
        <v>380.059665200658</v>
      </c>
      <c r="BW60" s="73">
        <v>1345.93689169188</v>
      </c>
      <c r="BX60" s="74">
        <v>4.2957144882203204</v>
      </c>
      <c r="BY60" s="71">
        <v>1730.29227138076</v>
      </c>
      <c r="BZ60" s="75">
        <v>20136.709415214402</v>
      </c>
    </row>
    <row r="61" spans="1:78" ht="15" customHeight="1" x14ac:dyDescent="0.3">
      <c r="A61" s="33" t="s">
        <v>79</v>
      </c>
      <c r="B61" s="11" t="s">
        <v>147</v>
      </c>
      <c r="C61" s="68">
        <v>0</v>
      </c>
      <c r="D61" s="69">
        <v>34.478184442983903</v>
      </c>
      <c r="E61" s="69">
        <v>8.6858886913322895</v>
      </c>
      <c r="F61" s="69">
        <v>5.5210895463579304</v>
      </c>
      <c r="G61" s="69">
        <v>62.782253212480597</v>
      </c>
      <c r="H61" s="69">
        <v>2.44794348268918E-3</v>
      </c>
      <c r="I61" s="69">
        <v>5.2400971248366796E-4</v>
      </c>
      <c r="J61" s="69">
        <v>258.37022350682298</v>
      </c>
      <c r="K61" s="69">
        <v>36.820793634057701</v>
      </c>
      <c r="L61" s="69">
        <v>349.00693133318202</v>
      </c>
      <c r="M61" s="69">
        <v>495.79355100004602</v>
      </c>
      <c r="N61" s="69">
        <v>25.746564584722101</v>
      </c>
      <c r="O61" s="69">
        <v>17.973917028562099</v>
      </c>
      <c r="P61" s="69">
        <v>44.391204710632799</v>
      </c>
      <c r="Q61" s="69">
        <v>60.302343273384203</v>
      </c>
      <c r="R61" s="69">
        <v>9.0382763574878808</v>
      </c>
      <c r="S61" s="69">
        <v>61.019447904494498</v>
      </c>
      <c r="T61" s="69">
        <v>3.6640442142383902</v>
      </c>
      <c r="U61" s="69">
        <v>22.377111157899101</v>
      </c>
      <c r="V61" s="69">
        <v>24.3172863782505</v>
      </c>
      <c r="W61" s="69">
        <v>27.8789736275872</v>
      </c>
      <c r="X61" s="69">
        <v>51.680089429720603</v>
      </c>
      <c r="Y61" s="69">
        <v>114.435334474762</v>
      </c>
      <c r="Z61" s="69">
        <v>178.057499244794</v>
      </c>
      <c r="AA61" s="69">
        <v>60.786435997285999</v>
      </c>
      <c r="AB61" s="69">
        <v>31.622449311581001</v>
      </c>
      <c r="AC61" s="69">
        <v>24.555434808761898</v>
      </c>
      <c r="AD61" s="69">
        <v>7.4876187393100495E-4</v>
      </c>
      <c r="AE61" s="69">
        <v>50.820549577834903</v>
      </c>
      <c r="AF61" s="69">
        <v>113.585810719938</v>
      </c>
      <c r="AG61" s="69">
        <v>49.963344968500003</v>
      </c>
      <c r="AH61" s="69">
        <v>56.043596576327502</v>
      </c>
      <c r="AI61" s="69">
        <v>299.23879636035002</v>
      </c>
      <c r="AJ61" s="69">
        <v>10.4378996969015</v>
      </c>
      <c r="AK61" s="69">
        <v>18.493464350526299</v>
      </c>
      <c r="AL61" s="69">
        <v>41.194767932875699</v>
      </c>
      <c r="AM61" s="69">
        <v>11.582066939536601</v>
      </c>
      <c r="AN61" s="69">
        <v>199.345450933992</v>
      </c>
      <c r="AO61" s="69">
        <v>22.6191629964875</v>
      </c>
      <c r="AP61" s="69">
        <v>134.09453874396999</v>
      </c>
      <c r="AQ61" s="69">
        <v>2170.4389636476099</v>
      </c>
      <c r="AR61" s="69">
        <v>56.841493771048</v>
      </c>
      <c r="AS61" s="69">
        <v>8.3694345456110106</v>
      </c>
      <c r="AT61" s="69">
        <v>13.650206147378</v>
      </c>
      <c r="AU61" s="69">
        <v>163.802185462361</v>
      </c>
      <c r="AV61" s="69">
        <v>29.183295046209</v>
      </c>
      <c r="AW61" s="69">
        <v>66.633534894175796</v>
      </c>
      <c r="AX61" s="69">
        <v>55.148843222772101</v>
      </c>
      <c r="AY61" s="69">
        <v>157.71040359988501</v>
      </c>
      <c r="AZ61" s="69">
        <v>222.439604054352</v>
      </c>
      <c r="BA61" s="69">
        <v>288.68601662799199</v>
      </c>
      <c r="BB61" s="69">
        <v>861.77103808951995</v>
      </c>
      <c r="BC61" s="69">
        <v>83.792196671575496</v>
      </c>
      <c r="BD61" s="69">
        <v>410.22006160030901</v>
      </c>
      <c r="BE61" s="69">
        <v>47.608977112449402</v>
      </c>
      <c r="BF61" s="69">
        <v>266.36341407434799</v>
      </c>
      <c r="BG61" s="69">
        <v>98.208679524463193</v>
      </c>
      <c r="BH61" s="69">
        <v>166.35628072830201</v>
      </c>
      <c r="BI61" s="69">
        <v>11.3878291002663</v>
      </c>
      <c r="BJ61" s="69">
        <v>278.258173609474</v>
      </c>
      <c r="BK61" s="69">
        <v>48.0607840471421</v>
      </c>
      <c r="BL61" s="69">
        <v>251.54380220001701</v>
      </c>
      <c r="BM61" s="69">
        <v>104.469559479929</v>
      </c>
      <c r="BN61" s="69">
        <v>3.849271111228</v>
      </c>
      <c r="BO61" s="69">
        <v>135.594109559917</v>
      </c>
      <c r="BP61" s="69">
        <v>151.16938452599999</v>
      </c>
      <c r="BQ61" s="70">
        <v>0</v>
      </c>
      <c r="BR61" s="71">
        <v>9168.2860408380693</v>
      </c>
      <c r="BS61" s="72">
        <v>0</v>
      </c>
      <c r="BT61" s="73">
        <v>0</v>
      </c>
      <c r="BU61" s="73">
        <v>0</v>
      </c>
      <c r="BV61" s="73">
        <v>0</v>
      </c>
      <c r="BW61" s="73">
        <v>0</v>
      </c>
      <c r="BX61" s="74">
        <v>0</v>
      </c>
      <c r="BY61" s="71">
        <v>0</v>
      </c>
      <c r="BZ61" s="75">
        <v>9168.2860408380693</v>
      </c>
    </row>
    <row r="62" spans="1:78" ht="15" customHeight="1" x14ac:dyDescent="0.3">
      <c r="A62" s="33" t="s">
        <v>80</v>
      </c>
      <c r="B62" s="11" t="s">
        <v>148</v>
      </c>
      <c r="C62" s="68">
        <v>518.53028768867205</v>
      </c>
      <c r="D62" s="69">
        <v>60.530163479402198</v>
      </c>
      <c r="E62" s="69">
        <v>68.995248998978397</v>
      </c>
      <c r="F62" s="69">
        <v>143.46667172001801</v>
      </c>
      <c r="G62" s="69">
        <v>7633.5167821100404</v>
      </c>
      <c r="H62" s="69">
        <v>2325.71918478104</v>
      </c>
      <c r="I62" s="69">
        <v>168.000510118911</v>
      </c>
      <c r="J62" s="69">
        <v>299.09715946424802</v>
      </c>
      <c r="K62" s="69">
        <v>396.72421830730298</v>
      </c>
      <c r="L62" s="69">
        <v>882.50658076390403</v>
      </c>
      <c r="M62" s="69">
        <v>245.960073559032</v>
      </c>
      <c r="N62" s="69">
        <v>54.311784078997597</v>
      </c>
      <c r="O62" s="69">
        <v>43.284964763901399</v>
      </c>
      <c r="P62" s="69">
        <v>85.261069533774005</v>
      </c>
      <c r="Q62" s="69">
        <v>51.1672327243854</v>
      </c>
      <c r="R62" s="69">
        <v>132.09366894027099</v>
      </c>
      <c r="S62" s="69">
        <v>680.32213071721299</v>
      </c>
      <c r="T62" s="69">
        <v>79.486342621171602</v>
      </c>
      <c r="U62" s="69">
        <v>399.41776628440601</v>
      </c>
      <c r="V62" s="69">
        <v>84.023466184415497</v>
      </c>
      <c r="W62" s="69">
        <v>575.57434885418002</v>
      </c>
      <c r="X62" s="69">
        <v>454.38315060651502</v>
      </c>
      <c r="Y62" s="69">
        <v>64.351179452373003</v>
      </c>
      <c r="Z62" s="69">
        <v>150.054667845003</v>
      </c>
      <c r="AA62" s="69">
        <v>722.69154151134796</v>
      </c>
      <c r="AB62" s="69">
        <v>291.41054038049998</v>
      </c>
      <c r="AC62" s="69">
        <v>399.53145231406199</v>
      </c>
      <c r="AD62" s="69">
        <v>185.506387189332</v>
      </c>
      <c r="AE62" s="69">
        <v>474.262269681075</v>
      </c>
      <c r="AF62" s="69">
        <v>474.48741483199399</v>
      </c>
      <c r="AG62" s="69">
        <v>171.21372161931501</v>
      </c>
      <c r="AH62" s="69">
        <v>581.95583765862</v>
      </c>
      <c r="AI62" s="69">
        <v>1672.4587370714701</v>
      </c>
      <c r="AJ62" s="69">
        <v>517.26528696148398</v>
      </c>
      <c r="AK62" s="69">
        <v>470.87634034705297</v>
      </c>
      <c r="AL62" s="69">
        <v>179.07054185657199</v>
      </c>
      <c r="AM62" s="69">
        <v>191.62652311861001</v>
      </c>
      <c r="AN62" s="69">
        <v>283.84468399145999</v>
      </c>
      <c r="AO62" s="69">
        <v>970.03297900087398</v>
      </c>
      <c r="AP62" s="69">
        <v>1936.0831961848601</v>
      </c>
      <c r="AQ62" s="69">
        <v>7070.6322217411698</v>
      </c>
      <c r="AR62" s="69">
        <v>2304.1983278723401</v>
      </c>
      <c r="AS62" s="69">
        <v>791.21030222282604</v>
      </c>
      <c r="AT62" s="69">
        <v>978.325987660647</v>
      </c>
      <c r="AU62" s="69">
        <v>1343.6344180280701</v>
      </c>
      <c r="AV62" s="69">
        <v>68.084987107134907</v>
      </c>
      <c r="AW62" s="69">
        <v>1047.6673712709201</v>
      </c>
      <c r="AX62" s="69">
        <v>520.48599642223701</v>
      </c>
      <c r="AY62" s="69">
        <v>919.20066128393898</v>
      </c>
      <c r="AZ62" s="69">
        <v>2041.8913366850099</v>
      </c>
      <c r="BA62" s="69">
        <v>3446.80591605374</v>
      </c>
      <c r="BB62" s="69">
        <v>618.75898045355905</v>
      </c>
      <c r="BC62" s="69">
        <v>170.782737222729</v>
      </c>
      <c r="BD62" s="69">
        <v>414.87521674549299</v>
      </c>
      <c r="BE62" s="69">
        <v>557.22496004622701</v>
      </c>
      <c r="BF62" s="69">
        <v>248.15863320068701</v>
      </c>
      <c r="BG62" s="69">
        <v>1038.4976151014</v>
      </c>
      <c r="BH62" s="69">
        <v>636.54536413281596</v>
      </c>
      <c r="BI62" s="69">
        <v>171.481928917955</v>
      </c>
      <c r="BJ62" s="69">
        <v>614.39464811632001</v>
      </c>
      <c r="BK62" s="69">
        <v>429.651723131062</v>
      </c>
      <c r="BL62" s="69">
        <v>1325.1725805513099</v>
      </c>
      <c r="BM62" s="69">
        <v>650.99091611266397</v>
      </c>
      <c r="BN62" s="69">
        <v>377.84601712377201</v>
      </c>
      <c r="BO62" s="69">
        <v>253.98674253642</v>
      </c>
      <c r="BP62" s="69">
        <v>158.98637799926601</v>
      </c>
      <c r="BQ62" s="70">
        <v>0</v>
      </c>
      <c r="BR62" s="71">
        <v>53318.588075056497</v>
      </c>
      <c r="BS62" s="72">
        <v>0</v>
      </c>
      <c r="BT62" s="73">
        <v>0</v>
      </c>
      <c r="BU62" s="73">
        <v>0</v>
      </c>
      <c r="BV62" s="73">
        <v>1086.88465011176</v>
      </c>
      <c r="BW62" s="73">
        <v>10.110588947203199</v>
      </c>
      <c r="BX62" s="74">
        <v>1.21011577496445</v>
      </c>
      <c r="BY62" s="71">
        <v>1098.20535483393</v>
      </c>
      <c r="BZ62" s="75">
        <v>54416.7934298904</v>
      </c>
    </row>
    <row r="63" spans="1:78" ht="15" customHeight="1" x14ac:dyDescent="0.3">
      <c r="A63" s="33" t="s">
        <v>81</v>
      </c>
      <c r="B63" s="11" t="s">
        <v>149</v>
      </c>
      <c r="C63" s="68">
        <v>1.7274028349085999</v>
      </c>
      <c r="D63" s="69">
        <v>1.47314170228665</v>
      </c>
      <c r="E63" s="69">
        <v>1.0415367431646501</v>
      </c>
      <c r="F63" s="69">
        <v>3.6618872168224899</v>
      </c>
      <c r="G63" s="69">
        <v>32.938435278055501</v>
      </c>
      <c r="H63" s="69">
        <v>155.82424490608599</v>
      </c>
      <c r="I63" s="69">
        <v>29.387937953443</v>
      </c>
      <c r="J63" s="69">
        <v>71.019453070902301</v>
      </c>
      <c r="K63" s="69">
        <v>51.722155341805298</v>
      </c>
      <c r="L63" s="69">
        <v>61.528539659219497</v>
      </c>
      <c r="M63" s="69">
        <v>51.0920257580472</v>
      </c>
      <c r="N63" s="69">
        <v>24.8898537076048</v>
      </c>
      <c r="O63" s="69">
        <v>6.99864759735524</v>
      </c>
      <c r="P63" s="69">
        <v>18.7350675638151</v>
      </c>
      <c r="Q63" s="69">
        <v>22.894864886496102</v>
      </c>
      <c r="R63" s="69">
        <v>2.4766062983423698</v>
      </c>
      <c r="S63" s="69">
        <v>47.541445603255298</v>
      </c>
      <c r="T63" s="69">
        <v>1.3045618343104</v>
      </c>
      <c r="U63" s="69">
        <v>17.1019573388614</v>
      </c>
      <c r="V63" s="69">
        <v>51.345080132810203</v>
      </c>
      <c r="W63" s="69">
        <v>26.990174428078099</v>
      </c>
      <c r="X63" s="69">
        <v>45.470841191986501</v>
      </c>
      <c r="Y63" s="69">
        <v>12.128611380282999</v>
      </c>
      <c r="Z63" s="69">
        <v>41.658349400246898</v>
      </c>
      <c r="AA63" s="69">
        <v>39.885560135935499</v>
      </c>
      <c r="AB63" s="69">
        <v>39.608742717858803</v>
      </c>
      <c r="AC63" s="69">
        <v>36.9025707555056</v>
      </c>
      <c r="AD63" s="69">
        <v>65.237317067503895</v>
      </c>
      <c r="AE63" s="69">
        <v>68.225035899277501</v>
      </c>
      <c r="AF63" s="69">
        <v>14.840406066577399</v>
      </c>
      <c r="AG63" s="69">
        <v>49.961620305460798</v>
      </c>
      <c r="AH63" s="69">
        <v>183.85347399864301</v>
      </c>
      <c r="AI63" s="69">
        <v>67.754505190692797</v>
      </c>
      <c r="AJ63" s="69">
        <v>12.3574742314874</v>
      </c>
      <c r="AK63" s="69">
        <v>5.0367164829636097</v>
      </c>
      <c r="AL63" s="69">
        <v>13.661268787093899</v>
      </c>
      <c r="AM63" s="69">
        <v>12.345694068117099</v>
      </c>
      <c r="AN63" s="69">
        <v>33.796392737332098</v>
      </c>
      <c r="AO63" s="69">
        <v>20.385747640304398</v>
      </c>
      <c r="AP63" s="69">
        <v>72.321493283417794</v>
      </c>
      <c r="AQ63" s="69">
        <v>872.95399392634897</v>
      </c>
      <c r="AR63" s="69">
        <v>82.447091266504998</v>
      </c>
      <c r="AS63" s="69">
        <v>1.0711672815402499E-2</v>
      </c>
      <c r="AT63" s="69">
        <v>42.122299628044402</v>
      </c>
      <c r="AU63" s="69">
        <v>128.72418733726599</v>
      </c>
      <c r="AV63" s="69">
        <v>19.525614464983398</v>
      </c>
      <c r="AW63" s="69">
        <v>40.764638872955302</v>
      </c>
      <c r="AX63" s="69">
        <v>6.5168882327177498</v>
      </c>
      <c r="AY63" s="69">
        <v>34.232203797722804</v>
      </c>
      <c r="AZ63" s="69">
        <v>1922.2573020923701</v>
      </c>
      <c r="BA63" s="69">
        <v>580.45686262665299</v>
      </c>
      <c r="BB63" s="69">
        <v>812.10299324016</v>
      </c>
      <c r="BC63" s="69">
        <v>62.406552692907098</v>
      </c>
      <c r="BD63" s="69">
        <v>259.564073035955</v>
      </c>
      <c r="BE63" s="69">
        <v>21.921281095094301</v>
      </c>
      <c r="BF63" s="69">
        <v>21.702104169018199</v>
      </c>
      <c r="BG63" s="69">
        <v>18.955442430202101</v>
      </c>
      <c r="BH63" s="69">
        <v>189.25450663168999</v>
      </c>
      <c r="BI63" s="69">
        <v>17.813970526262398</v>
      </c>
      <c r="BJ63" s="69">
        <v>450.95413665392903</v>
      </c>
      <c r="BK63" s="69">
        <v>425.25898426439602</v>
      </c>
      <c r="BL63" s="69">
        <v>315.60721256398801</v>
      </c>
      <c r="BM63" s="69">
        <v>393.41362714694202</v>
      </c>
      <c r="BN63" s="69">
        <v>286.34686744171898</v>
      </c>
      <c r="BO63" s="69">
        <v>27.162505484402399</v>
      </c>
      <c r="BP63" s="69">
        <v>272.60914223880599</v>
      </c>
      <c r="BQ63" s="70">
        <v>0</v>
      </c>
      <c r="BR63" s="71">
        <v>8822.2120347302207</v>
      </c>
      <c r="BS63" s="72">
        <v>0</v>
      </c>
      <c r="BT63" s="73">
        <v>0</v>
      </c>
      <c r="BU63" s="73">
        <v>0</v>
      </c>
      <c r="BV63" s="73">
        <v>525.78319226463498</v>
      </c>
      <c r="BW63" s="73">
        <v>0</v>
      </c>
      <c r="BX63" s="74">
        <v>0</v>
      </c>
      <c r="BY63" s="71">
        <v>525.78319226463498</v>
      </c>
      <c r="BZ63" s="75">
        <v>9347.9952269948499</v>
      </c>
    </row>
    <row r="64" spans="1:78" ht="15" customHeight="1" x14ac:dyDescent="0.3">
      <c r="A64" s="33" t="s">
        <v>82</v>
      </c>
      <c r="B64" s="11" t="s">
        <v>150</v>
      </c>
      <c r="C64" s="68">
        <v>0</v>
      </c>
      <c r="D64" s="69">
        <v>0</v>
      </c>
      <c r="E64" s="69">
        <v>0</v>
      </c>
      <c r="F64" s="69">
        <v>6.4335655619074199E-4</v>
      </c>
      <c r="G64" s="69">
        <v>3.78828072486683E-3</v>
      </c>
      <c r="H64" s="69">
        <v>3.45268118753949E-3</v>
      </c>
      <c r="I64" s="69">
        <v>7.7702597389231996E-4</v>
      </c>
      <c r="J64" s="69">
        <v>6.6690607039890201E-2</v>
      </c>
      <c r="K64" s="69">
        <v>6.3520459539036997E-3</v>
      </c>
      <c r="L64" s="69">
        <v>4.1044765130639101E-2</v>
      </c>
      <c r="M64" s="69">
        <v>2.28601559851206E-3</v>
      </c>
      <c r="N64" s="69">
        <v>1.9019598915100599E-3</v>
      </c>
      <c r="O64" s="69">
        <v>6.5638126009321196E-3</v>
      </c>
      <c r="P64" s="69">
        <v>8.7275528597407694E-3</v>
      </c>
      <c r="Q64" s="69">
        <v>6.8702801240359303E-3</v>
      </c>
      <c r="R64" s="69">
        <v>4.4171280998919499E-3</v>
      </c>
      <c r="S64" s="69">
        <v>1.9347772745510899E-2</v>
      </c>
      <c r="T64" s="69">
        <v>1.14824125151422E-3</v>
      </c>
      <c r="U64" s="69">
        <v>7.4619529975417497E-3</v>
      </c>
      <c r="V64" s="69">
        <v>9.5368445970471002E-3</v>
      </c>
      <c r="W64" s="69">
        <v>1.2274473021041199E-2</v>
      </c>
      <c r="X64" s="69">
        <v>1.06921429250728E-2</v>
      </c>
      <c r="Y64" s="69">
        <v>2.2451842407429602E-3</v>
      </c>
      <c r="Z64" s="69">
        <v>1.1621130337773801E-2</v>
      </c>
      <c r="AA64" s="69">
        <v>1.79251043484705E-2</v>
      </c>
      <c r="AB64" s="69">
        <v>1.1674084880657101E-2</v>
      </c>
      <c r="AC64" s="69">
        <v>1.5023443167052499E-2</v>
      </c>
      <c r="AD64" s="69">
        <v>3.5747341077996399E-3</v>
      </c>
      <c r="AE64" s="69">
        <v>1.30458532327116E-2</v>
      </c>
      <c r="AF64" s="69">
        <v>6.5060106982768101E-3</v>
      </c>
      <c r="AG64" s="69">
        <v>9.22192975499171E-3</v>
      </c>
      <c r="AH64" s="69">
        <v>2.7161528943022501E-2</v>
      </c>
      <c r="AI64" s="69">
        <v>1.43662238780917E-3</v>
      </c>
      <c r="AJ64" s="69">
        <v>2.1023367344741401E-3</v>
      </c>
      <c r="AK64" s="69">
        <v>2.2645202687140002E-3</v>
      </c>
      <c r="AL64" s="69">
        <v>8.4870324048488804E-3</v>
      </c>
      <c r="AM64" s="69">
        <v>6.6527487603119701E-4</v>
      </c>
      <c r="AN64" s="69">
        <v>5.48844917780901E-3</v>
      </c>
      <c r="AO64" s="69">
        <v>2.51761269771934E-3</v>
      </c>
      <c r="AP64" s="69">
        <v>5.3188800029728499E-2</v>
      </c>
      <c r="AQ64" s="69">
        <v>0.50176583621749504</v>
      </c>
      <c r="AR64" s="69">
        <v>3.2805697806424401E-2</v>
      </c>
      <c r="AS64" s="69">
        <v>4.8263757809816402E-4</v>
      </c>
      <c r="AT64" s="69">
        <v>6.1884431028922098E-4</v>
      </c>
      <c r="AU64" s="69">
        <v>3.1582294004161598E-2</v>
      </c>
      <c r="AV64" s="69">
        <v>7.4093769307378796E-3</v>
      </c>
      <c r="AW64" s="69">
        <v>0.15981707503168699</v>
      </c>
      <c r="AX64" s="69">
        <v>3.1570530856236101E-3</v>
      </c>
      <c r="AY64" s="69">
        <v>7.6509091661346703E-3</v>
      </c>
      <c r="AZ64" s="69">
        <v>3.2978252289624602E-2</v>
      </c>
      <c r="BA64" s="69">
        <v>5.5878319763078103E-2</v>
      </c>
      <c r="BB64" s="69">
        <v>4.9751820642092697E-3</v>
      </c>
      <c r="BC64" s="69">
        <v>0.108015161077978</v>
      </c>
      <c r="BD64" s="69">
        <v>0.12821695453326001</v>
      </c>
      <c r="BE64" s="69">
        <v>4.5023397598053398E-2</v>
      </c>
      <c r="BF64" s="69">
        <v>4.3461692855664001E-2</v>
      </c>
      <c r="BG64" s="69">
        <v>9.4970774181141193E-2</v>
      </c>
      <c r="BH64" s="69">
        <v>0.13598200958290299</v>
      </c>
      <c r="BI64" s="69">
        <v>3.1135982189733902E-3</v>
      </c>
      <c r="BJ64" s="69">
        <v>7.2058336884968897E-3</v>
      </c>
      <c r="BK64" s="69">
        <v>7.3405617127621399E-4</v>
      </c>
      <c r="BL64" s="69">
        <v>3.7262235063776697E-2</v>
      </c>
      <c r="BM64" s="69">
        <v>0</v>
      </c>
      <c r="BN64" s="69">
        <v>5.1906789911162397E-2</v>
      </c>
      <c r="BO64" s="69">
        <v>2.82408245062509E-2</v>
      </c>
      <c r="BP64" s="69">
        <v>5.6996973744538798E-2</v>
      </c>
      <c r="BQ64" s="70">
        <v>0</v>
      </c>
      <c r="BR64" s="71">
        <v>1.98837837094894</v>
      </c>
      <c r="BS64" s="72">
        <v>0</v>
      </c>
      <c r="BT64" s="73">
        <v>0</v>
      </c>
      <c r="BU64" s="73">
        <v>0</v>
      </c>
      <c r="BV64" s="73">
        <v>0</v>
      </c>
      <c r="BW64" s="73">
        <v>0</v>
      </c>
      <c r="BX64" s="74">
        <v>0</v>
      </c>
      <c r="BY64" s="71">
        <v>0</v>
      </c>
      <c r="BZ64" s="75">
        <v>1.98837837094894</v>
      </c>
    </row>
    <row r="65" spans="1:80" ht="15" customHeight="1" x14ac:dyDescent="0.3">
      <c r="A65" s="33" t="s">
        <v>83</v>
      </c>
      <c r="B65" s="11" t="s">
        <v>151</v>
      </c>
      <c r="C65" s="68">
        <v>315.04314624629598</v>
      </c>
      <c r="D65" s="69">
        <v>66.243991164105296</v>
      </c>
      <c r="E65" s="69">
        <v>5.77224716583176</v>
      </c>
      <c r="F65" s="69">
        <v>4.7678968359565399</v>
      </c>
      <c r="G65" s="69">
        <v>98.346532943424805</v>
      </c>
      <c r="H65" s="69">
        <v>55.724028876475501</v>
      </c>
      <c r="I65" s="69">
        <v>8.0298803818066595</v>
      </c>
      <c r="J65" s="69">
        <v>44.361685652538803</v>
      </c>
      <c r="K65" s="69">
        <v>26.1793198278875</v>
      </c>
      <c r="L65" s="69">
        <v>112.13807322805999</v>
      </c>
      <c r="M65" s="69">
        <v>34.065882251211299</v>
      </c>
      <c r="N65" s="69">
        <v>4.1908179011284199</v>
      </c>
      <c r="O65" s="69">
        <v>5.8084739325944597</v>
      </c>
      <c r="P65" s="69">
        <v>5.4843472172746397</v>
      </c>
      <c r="Q65" s="69">
        <v>7.9488666363478</v>
      </c>
      <c r="R65" s="69">
        <v>4.5022058871317698</v>
      </c>
      <c r="S65" s="69">
        <v>106.550154183006</v>
      </c>
      <c r="T65" s="69">
        <v>1.1290850868397899</v>
      </c>
      <c r="U65" s="69">
        <v>13.7192388683654</v>
      </c>
      <c r="V65" s="69">
        <v>10.611702296397301</v>
      </c>
      <c r="W65" s="69">
        <v>1284.5705392775501</v>
      </c>
      <c r="X65" s="69">
        <v>111.70967825570899</v>
      </c>
      <c r="Y65" s="69">
        <v>32.6745207306789</v>
      </c>
      <c r="Z65" s="69">
        <v>68.076648662093106</v>
      </c>
      <c r="AA65" s="69">
        <v>29.756416004723398</v>
      </c>
      <c r="AB65" s="69">
        <v>49.9193216317896</v>
      </c>
      <c r="AC65" s="69">
        <v>20.4802120883279</v>
      </c>
      <c r="AD65" s="69">
        <v>20.906330149276801</v>
      </c>
      <c r="AE65" s="69">
        <v>22.789124051318101</v>
      </c>
      <c r="AF65" s="69">
        <v>17.595259608689499</v>
      </c>
      <c r="AG65" s="69">
        <v>16.815348378401801</v>
      </c>
      <c r="AH65" s="69">
        <v>93.655112908858101</v>
      </c>
      <c r="AI65" s="69">
        <v>46.331927255241197</v>
      </c>
      <c r="AJ65" s="69">
        <v>14.375670395054</v>
      </c>
      <c r="AK65" s="69">
        <v>4.5125825494282701</v>
      </c>
      <c r="AL65" s="69">
        <v>12.459592527067</v>
      </c>
      <c r="AM65" s="69">
        <v>26.0288103794853</v>
      </c>
      <c r="AN65" s="69">
        <v>69.080266370543896</v>
      </c>
      <c r="AO65" s="69">
        <v>28.832364229279801</v>
      </c>
      <c r="AP65" s="69">
        <v>71.456171286201098</v>
      </c>
      <c r="AQ65" s="69">
        <v>308.33555763708199</v>
      </c>
      <c r="AR65" s="69">
        <v>20.029604577094599</v>
      </c>
      <c r="AS65" s="69">
        <v>16.1638102467507</v>
      </c>
      <c r="AT65" s="69">
        <v>37.1561023734454</v>
      </c>
      <c r="AU65" s="69">
        <v>138.884474336469</v>
      </c>
      <c r="AV65" s="69">
        <v>2.5025482783953801</v>
      </c>
      <c r="AW65" s="69">
        <v>14.116251825539701</v>
      </c>
      <c r="AX65" s="69">
        <v>4.0780302255525402</v>
      </c>
      <c r="AY65" s="69">
        <v>13.5713092712588</v>
      </c>
      <c r="AZ65" s="69">
        <v>30.605055651844001</v>
      </c>
      <c r="BA65" s="69">
        <v>66.659911796525293</v>
      </c>
      <c r="BB65" s="69">
        <v>131.601361134596</v>
      </c>
      <c r="BC65" s="69">
        <v>13.9866426797157</v>
      </c>
      <c r="BD65" s="69">
        <v>89.662291328263805</v>
      </c>
      <c r="BE65" s="69">
        <v>54.6779693169252</v>
      </c>
      <c r="BF65" s="69">
        <v>47.536786098122903</v>
      </c>
      <c r="BG65" s="69">
        <v>13.4831568605609</v>
      </c>
      <c r="BH65" s="69">
        <v>23.973536274498599</v>
      </c>
      <c r="BI65" s="69">
        <v>2.9251629297866901</v>
      </c>
      <c r="BJ65" s="69">
        <v>108.647815175519</v>
      </c>
      <c r="BK65" s="69">
        <v>34.064219405113398</v>
      </c>
      <c r="BL65" s="69">
        <v>27.864449814695401</v>
      </c>
      <c r="BM65" s="69">
        <v>92.052813239381194</v>
      </c>
      <c r="BN65" s="69">
        <v>41.703518205353603</v>
      </c>
      <c r="BO65" s="69">
        <v>11.8590098481942</v>
      </c>
      <c r="BP65" s="69">
        <v>82.7248426694118</v>
      </c>
      <c r="BQ65" s="70">
        <v>0</v>
      </c>
      <c r="BR65" s="71">
        <v>4401.5097045224902</v>
      </c>
      <c r="BS65" s="72">
        <v>4.8263205991349997E-3</v>
      </c>
      <c r="BT65" s="73">
        <v>16.2817968969877</v>
      </c>
      <c r="BU65" s="73">
        <v>0</v>
      </c>
      <c r="BV65" s="73">
        <v>392.659737948719</v>
      </c>
      <c r="BW65" s="73">
        <v>227.24089784207001</v>
      </c>
      <c r="BX65" s="74">
        <v>-9.5337835155366903</v>
      </c>
      <c r="BY65" s="71">
        <v>626.65347549283899</v>
      </c>
      <c r="BZ65" s="75">
        <v>5028.16318001533</v>
      </c>
    </row>
    <row r="66" spans="1:80" ht="15" customHeight="1" x14ac:dyDescent="0.3">
      <c r="A66" s="33" t="s">
        <v>84</v>
      </c>
      <c r="B66" s="11" t="s">
        <v>152</v>
      </c>
      <c r="C66" s="68">
        <v>0.91867704766338698</v>
      </c>
      <c r="D66" s="69">
        <v>0.12779150910679099</v>
      </c>
      <c r="E66" s="69">
        <v>7.8113077611211296E-3</v>
      </c>
      <c r="F66" s="69">
        <v>3.0980500831308801E-2</v>
      </c>
      <c r="G66" s="69">
        <v>0.78610805926393901</v>
      </c>
      <c r="H66" s="69">
        <v>0.54233709571194699</v>
      </c>
      <c r="I66" s="69">
        <v>9.3594729444550495E-2</v>
      </c>
      <c r="J66" s="69">
        <v>0.64373001063720103</v>
      </c>
      <c r="K66" s="69">
        <v>0.27613689221323701</v>
      </c>
      <c r="L66" s="69">
        <v>0.60714941341461603</v>
      </c>
      <c r="M66" s="69">
        <v>0.167777940416456</v>
      </c>
      <c r="N66" s="69">
        <v>8.0977467960225397E-2</v>
      </c>
      <c r="O66" s="69">
        <v>4.70242422138114E-2</v>
      </c>
      <c r="P66" s="69">
        <v>8.8980169662595296E-2</v>
      </c>
      <c r="Q66" s="69">
        <v>6.8823501186826896E-2</v>
      </c>
      <c r="R66" s="69">
        <v>3.8019712295768698E-2</v>
      </c>
      <c r="S66" s="69">
        <v>0.45475648813109298</v>
      </c>
      <c r="T66" s="69">
        <v>1.52169293332631E-2</v>
      </c>
      <c r="U66" s="69">
        <v>0.179143811014919</v>
      </c>
      <c r="V66" s="69">
        <v>0.20262437994431401</v>
      </c>
      <c r="W66" s="69">
        <v>2.9797463186886701</v>
      </c>
      <c r="X66" s="69">
        <v>0.47193260856855501</v>
      </c>
      <c r="Y66" s="69">
        <v>0.196268772961501</v>
      </c>
      <c r="Z66" s="69">
        <v>0.41825834475083301</v>
      </c>
      <c r="AA66" s="69">
        <v>0.41332841042994001</v>
      </c>
      <c r="AB66" s="69">
        <v>0.35128157063385901</v>
      </c>
      <c r="AC66" s="69">
        <v>0.25593834561394302</v>
      </c>
      <c r="AD66" s="69">
        <v>0.22335430085416899</v>
      </c>
      <c r="AE66" s="69">
        <v>0.29585418616833498</v>
      </c>
      <c r="AF66" s="69">
        <v>0.24024214343398601</v>
      </c>
      <c r="AG66" s="69">
        <v>0.20987912246375501</v>
      </c>
      <c r="AH66" s="69">
        <v>1.0254578637745899</v>
      </c>
      <c r="AI66" s="69">
        <v>0.57736137632080797</v>
      </c>
      <c r="AJ66" s="69">
        <v>0.27411336485758497</v>
      </c>
      <c r="AK66" s="69">
        <v>5.0246658293326502E-2</v>
      </c>
      <c r="AL66" s="69">
        <v>0.14089940108632601</v>
      </c>
      <c r="AM66" s="69">
        <v>9.5669083582782394E-2</v>
      </c>
      <c r="AN66" s="69">
        <v>0.74775685498662003</v>
      </c>
      <c r="AO66" s="69">
        <v>0.27567484586893298</v>
      </c>
      <c r="AP66" s="69">
        <v>1.29685138593405</v>
      </c>
      <c r="AQ66" s="69">
        <v>3.5733979273615</v>
      </c>
      <c r="AR66" s="69">
        <v>0.35088823774128303</v>
      </c>
      <c r="AS66" s="69">
        <v>9.5836351534088794E-3</v>
      </c>
      <c r="AT66" s="69">
        <v>4.5135646030529102E-2</v>
      </c>
      <c r="AU66" s="69">
        <v>2.7599654671889899</v>
      </c>
      <c r="AV66" s="69">
        <v>3.0536349110447E-2</v>
      </c>
      <c r="AW66" s="69">
        <v>0.32344426338418703</v>
      </c>
      <c r="AX66" s="69">
        <v>2.0941560958282299E-2</v>
      </c>
      <c r="AY66" s="69">
        <v>6.2861007591504106E-2</v>
      </c>
      <c r="AZ66" s="69">
        <v>2.1178175424505001</v>
      </c>
      <c r="BA66" s="69">
        <v>1.0695857606491099</v>
      </c>
      <c r="BB66" s="69">
        <v>1.5418724552497201</v>
      </c>
      <c r="BC66" s="69">
        <v>0.262949540188399</v>
      </c>
      <c r="BD66" s="69">
        <v>1.1761892070392499</v>
      </c>
      <c r="BE66" s="69">
        <v>1.19380164971461</v>
      </c>
      <c r="BF66" s="69">
        <v>0.19474624203795399</v>
      </c>
      <c r="BG66" s="69">
        <v>0.26788668179278602</v>
      </c>
      <c r="BH66" s="69">
        <v>0.42361248878930302</v>
      </c>
      <c r="BI66" s="69">
        <v>4.4775057957980702E-2</v>
      </c>
      <c r="BJ66" s="69">
        <v>1.3741825352534001</v>
      </c>
      <c r="BK66" s="69">
        <v>0.67844968398576999</v>
      </c>
      <c r="BL66" s="69">
        <v>0.41615834988348699</v>
      </c>
      <c r="BM66" s="69">
        <v>1.0386627767860199</v>
      </c>
      <c r="BN66" s="69">
        <v>0.31923146833161598</v>
      </c>
      <c r="BO66" s="69">
        <v>0.105896222383053</v>
      </c>
      <c r="BP66" s="69">
        <v>1.50539847568679</v>
      </c>
      <c r="BQ66" s="70">
        <v>0</v>
      </c>
      <c r="BR66" s="71">
        <v>36.825746400179803</v>
      </c>
      <c r="BS66" s="72">
        <v>0</v>
      </c>
      <c r="BT66" s="73">
        <v>0</v>
      </c>
      <c r="BU66" s="73">
        <v>0</v>
      </c>
      <c r="BV66" s="73">
        <v>4.5625714328480003</v>
      </c>
      <c r="BW66" s="73">
        <v>1.11543055251764</v>
      </c>
      <c r="BX66" s="74">
        <v>2.7241919077477801E-3</v>
      </c>
      <c r="BY66" s="71">
        <v>5.6807261772733799</v>
      </c>
      <c r="BZ66" s="75">
        <v>42.506472577453202</v>
      </c>
    </row>
    <row r="67" spans="1:80" ht="15" customHeight="1" x14ac:dyDescent="0.3">
      <c r="A67" s="33" t="s">
        <v>85</v>
      </c>
      <c r="B67" s="11" t="s">
        <v>153</v>
      </c>
      <c r="C67" s="68">
        <v>0</v>
      </c>
      <c r="D67" s="69">
        <v>0</v>
      </c>
      <c r="E67" s="69">
        <v>0</v>
      </c>
      <c r="F67" s="69">
        <v>2.7727857861870502E-3</v>
      </c>
      <c r="G67" s="69">
        <v>2.0580738796727598E-2</v>
      </c>
      <c r="H67" s="69">
        <v>1.9165732407732601</v>
      </c>
      <c r="I67" s="69">
        <v>3.0101419799728299E-3</v>
      </c>
      <c r="J67" s="69">
        <v>0.136062830676694</v>
      </c>
      <c r="K67" s="69">
        <v>2.1827465709371E-2</v>
      </c>
      <c r="L67" s="69">
        <v>9.2090948170136203E-2</v>
      </c>
      <c r="M67" s="69">
        <v>7.8768553761947302E-3</v>
      </c>
      <c r="N67" s="69">
        <v>4.5192126304837597E-3</v>
      </c>
      <c r="O67" s="69">
        <v>1.9522642027939401E-2</v>
      </c>
      <c r="P67" s="69">
        <v>3.0105376226609699E-2</v>
      </c>
      <c r="Q67" s="69">
        <v>1.7097505540321401E-2</v>
      </c>
      <c r="R67" s="69">
        <v>8.6378168948032293E-3</v>
      </c>
      <c r="S67" s="69">
        <v>3.77380195287427E-2</v>
      </c>
      <c r="T67" s="69">
        <v>4.2727885106845099E-3</v>
      </c>
      <c r="U67" s="69">
        <v>2.49314070639759E-2</v>
      </c>
      <c r="V67" s="69">
        <v>3.0617783625039401E-2</v>
      </c>
      <c r="W67" s="69">
        <v>2.9882609576865001E-2</v>
      </c>
      <c r="X67" s="69">
        <v>2.3736168443471199E-2</v>
      </c>
      <c r="Y67" s="69">
        <v>1.09789688696608E-2</v>
      </c>
      <c r="Z67" s="69">
        <v>2.6117580459353699E-2</v>
      </c>
      <c r="AA67" s="69">
        <v>5.1105337307021999E-2</v>
      </c>
      <c r="AB67" s="69">
        <v>2.7724691490871201E-2</v>
      </c>
      <c r="AC67" s="69">
        <v>0.75198407350305896</v>
      </c>
      <c r="AD67" s="69">
        <v>0.81089898471364197</v>
      </c>
      <c r="AE67" s="69">
        <v>2.96446439115002E-2</v>
      </c>
      <c r="AF67" s="69">
        <v>1.4381921109188499E-2</v>
      </c>
      <c r="AG67" s="69">
        <v>2.0860267195761999E-2</v>
      </c>
      <c r="AH67" s="69">
        <v>5.6265768963394303E-2</v>
      </c>
      <c r="AI67" s="69">
        <v>0.93167453415219503</v>
      </c>
      <c r="AJ67" s="69">
        <v>1.1944336293786099E-2</v>
      </c>
      <c r="AK67" s="69">
        <v>1.0293829671713901E-2</v>
      </c>
      <c r="AL67" s="69">
        <v>2.7195465245115701E-2</v>
      </c>
      <c r="AM67" s="69">
        <v>3.62211077872102E-3</v>
      </c>
      <c r="AN67" s="69">
        <v>0.38089710956177802</v>
      </c>
      <c r="AO67" s="69">
        <v>1.4846361852059901E-2</v>
      </c>
      <c r="AP67" s="69">
        <v>0.33104074048353399</v>
      </c>
      <c r="AQ67" s="69">
        <v>6.5896746378792699</v>
      </c>
      <c r="AR67" s="69">
        <v>5.5897093473293804</v>
      </c>
      <c r="AS67" s="69">
        <v>0.94324330750868701</v>
      </c>
      <c r="AT67" s="69">
        <v>3.8516130953821699E-3</v>
      </c>
      <c r="AU67" s="69">
        <v>1.64064539185522</v>
      </c>
      <c r="AV67" s="69">
        <v>4.6115077315189497E-2</v>
      </c>
      <c r="AW67" s="69">
        <v>0.994682392361395</v>
      </c>
      <c r="AX67" s="69">
        <v>9.7714856226695408E-3</v>
      </c>
      <c r="AY67" s="69">
        <v>3.20393942585964E-2</v>
      </c>
      <c r="AZ67" s="69">
        <v>0.125161873240139</v>
      </c>
      <c r="BA67" s="69">
        <v>0.33037190365658498</v>
      </c>
      <c r="BB67" s="69">
        <v>8.27305319664978</v>
      </c>
      <c r="BC67" s="69">
        <v>0.67227346521666997</v>
      </c>
      <c r="BD67" s="69">
        <v>16.994133878442302</v>
      </c>
      <c r="BE67" s="69">
        <v>0.88146267454437899</v>
      </c>
      <c r="BF67" s="69">
        <v>4.9105337607664996</v>
      </c>
      <c r="BG67" s="69">
        <v>0.59108675870949101</v>
      </c>
      <c r="BH67" s="69">
        <v>10.1775343152358</v>
      </c>
      <c r="BI67" s="69">
        <v>0.67942313252675501</v>
      </c>
      <c r="BJ67" s="69">
        <v>4.4848248479152301E-2</v>
      </c>
      <c r="BK67" s="69">
        <v>1.5024243639572199</v>
      </c>
      <c r="BL67" s="69">
        <v>0.231310671197513</v>
      </c>
      <c r="BM67" s="69">
        <v>2.07532192756769</v>
      </c>
      <c r="BN67" s="69">
        <v>0.323061662581414</v>
      </c>
      <c r="BO67" s="69">
        <v>0.175279682397914</v>
      </c>
      <c r="BP67" s="69">
        <v>2.2639731619695098</v>
      </c>
      <c r="BQ67" s="70">
        <v>0</v>
      </c>
      <c r="BR67" s="71">
        <v>72.044320387264406</v>
      </c>
      <c r="BS67" s="72">
        <v>0</v>
      </c>
      <c r="BT67" s="73">
        <v>0</v>
      </c>
      <c r="BU67" s="73">
        <v>0</v>
      </c>
      <c r="BV67" s="73">
        <v>403.19954977025702</v>
      </c>
      <c r="BW67" s="73">
        <v>0</v>
      </c>
      <c r="BX67" s="74">
        <v>0</v>
      </c>
      <c r="BY67" s="71">
        <v>403.19954977025702</v>
      </c>
      <c r="BZ67" s="75">
        <v>475.24387015752097</v>
      </c>
    </row>
    <row r="68" spans="1:80" ht="15" customHeight="1" x14ac:dyDescent="0.3">
      <c r="A68" s="33" t="s">
        <v>86</v>
      </c>
      <c r="B68" s="11" t="s">
        <v>154</v>
      </c>
      <c r="C68" s="68">
        <v>4.7535402688603304E-3</v>
      </c>
      <c r="D68" s="69">
        <v>1.31274626179659E-4</v>
      </c>
      <c r="E68" s="69">
        <v>0</v>
      </c>
      <c r="F68" s="69">
        <v>3.2278475104709502E-4</v>
      </c>
      <c r="G68" s="69">
        <v>9.4775794215750005E-3</v>
      </c>
      <c r="H68" s="69">
        <v>5.3111598311083802E-3</v>
      </c>
      <c r="I68" s="69">
        <v>8.4217413852494304E-4</v>
      </c>
      <c r="J68" s="69">
        <v>7.0404807365032204E-3</v>
      </c>
      <c r="K68" s="69">
        <v>3.3197873417888501E-3</v>
      </c>
      <c r="L68" s="69">
        <v>6.3502704816668599E-3</v>
      </c>
      <c r="M68" s="69">
        <v>1.14642800550587E-3</v>
      </c>
      <c r="N68" s="69">
        <v>6.9980770568420702E-4</v>
      </c>
      <c r="O68" s="69">
        <v>3.9698440801650602E-4</v>
      </c>
      <c r="P68" s="69">
        <v>8.6178896758085501E-4</v>
      </c>
      <c r="Q68" s="69">
        <v>4.6572717911209E-4</v>
      </c>
      <c r="R68" s="69">
        <v>4.8681285236944698E-4</v>
      </c>
      <c r="S68" s="69">
        <v>3.4882787051044302E-3</v>
      </c>
      <c r="T68" s="69">
        <v>1.7753281351833399E-4</v>
      </c>
      <c r="U68" s="69">
        <v>1.26983747089151E-3</v>
      </c>
      <c r="V68" s="69">
        <v>2.7070011359663598E-3</v>
      </c>
      <c r="W68" s="69">
        <v>6.0229353957320696E-3</v>
      </c>
      <c r="X68" s="69">
        <v>3.6086676924922301E-3</v>
      </c>
      <c r="Y68" s="69">
        <v>2.00769133690833E-3</v>
      </c>
      <c r="Z68" s="69">
        <v>4.8459807172869396E-3</v>
      </c>
      <c r="AA68" s="69">
        <v>5.1409289092245701E-3</v>
      </c>
      <c r="AB68" s="69">
        <v>3.2505477048996902E-3</v>
      </c>
      <c r="AC68" s="69">
        <v>2.43372032701092E-3</v>
      </c>
      <c r="AD68" s="69">
        <v>1.6422298525022301E-3</v>
      </c>
      <c r="AE68" s="69">
        <v>2.58292625114309E-3</v>
      </c>
      <c r="AF68" s="69">
        <v>2.6392726052590098E-3</v>
      </c>
      <c r="AG68" s="69">
        <v>1.8814577278505099E-3</v>
      </c>
      <c r="AH68" s="69">
        <v>1.11317264855481E-2</v>
      </c>
      <c r="AI68" s="69">
        <v>7.0872209411642897E-3</v>
      </c>
      <c r="AJ68" s="69">
        <v>3.5436640026539801E-3</v>
      </c>
      <c r="AK68" s="69">
        <v>5.5829312861724897E-4</v>
      </c>
      <c r="AL68" s="69">
        <v>1.43566855172451E-3</v>
      </c>
      <c r="AM68" s="69">
        <v>1.02691979946668E-3</v>
      </c>
      <c r="AN68" s="69">
        <v>9.6334268563375604E-3</v>
      </c>
      <c r="AO68" s="69">
        <v>2.83237631842467E-3</v>
      </c>
      <c r="AP68" s="69">
        <v>1.43212427623117E-2</v>
      </c>
      <c r="AQ68" s="69">
        <v>1.5628982405370199E-2</v>
      </c>
      <c r="AR68" s="69">
        <v>2.57401658231525E-3</v>
      </c>
      <c r="AS68" s="69">
        <v>7.2035459417636403E-6</v>
      </c>
      <c r="AT68" s="69">
        <v>9.2364822431227093E-6</v>
      </c>
      <c r="AU68" s="69">
        <v>3.8520586107567201E-2</v>
      </c>
      <c r="AV68" s="69">
        <v>1.32171506647156E-4</v>
      </c>
      <c r="AW68" s="69">
        <v>2.3853294780848801E-3</v>
      </c>
      <c r="AX68" s="69">
        <v>1.6437869373591399E-5</v>
      </c>
      <c r="AY68" s="69">
        <v>6.5800684745497703E-5</v>
      </c>
      <c r="AZ68" s="69">
        <v>2.5422312298992601E-4</v>
      </c>
      <c r="BA68" s="69">
        <v>3.2203622188241398E-3</v>
      </c>
      <c r="BB68" s="69">
        <v>2.2956268358629902E-3</v>
      </c>
      <c r="BC68" s="69">
        <v>1.67816862677416E-3</v>
      </c>
      <c r="BD68" s="69">
        <v>1.87665749049198E-3</v>
      </c>
      <c r="BE68" s="69">
        <v>1.48914605429518E-2</v>
      </c>
      <c r="BF68" s="69">
        <v>6.1944804228208396E-4</v>
      </c>
      <c r="BG68" s="69">
        <v>1.8728786806927499E-3</v>
      </c>
      <c r="BH68" s="69">
        <v>2.09563720054204E-3</v>
      </c>
      <c r="BI68" s="69">
        <v>4.0428199773493998E-5</v>
      </c>
      <c r="BJ68" s="69">
        <v>1.46098020098097E-2</v>
      </c>
      <c r="BK68" s="69">
        <v>6.72922114044908E-3</v>
      </c>
      <c r="BL68" s="69">
        <v>1.1179120974432299E-3</v>
      </c>
      <c r="BM68" s="69">
        <v>1.0542295794549799E-2</v>
      </c>
      <c r="BN68" s="69">
        <v>7.7472820762928901E-4</v>
      </c>
      <c r="BO68" s="69">
        <v>4.1998950276158801E-4</v>
      </c>
      <c r="BP68" s="69">
        <v>8.4871058469497096E-4</v>
      </c>
      <c r="BQ68" s="70">
        <v>0</v>
      </c>
      <c r="BR68" s="71">
        <v>0.26010346316837402</v>
      </c>
      <c r="BS68" s="72">
        <v>0</v>
      </c>
      <c r="BT68" s="73">
        <v>0</v>
      </c>
      <c r="BU68" s="73">
        <v>0</v>
      </c>
      <c r="BV68" s="73">
        <v>2.6007871209158102</v>
      </c>
      <c r="BW68" s="73">
        <v>1.64033904782005E-2</v>
      </c>
      <c r="BX68" s="74">
        <v>0</v>
      </c>
      <c r="BY68" s="71">
        <v>2.6171905113940102</v>
      </c>
      <c r="BZ68" s="75">
        <v>2.87729397456238</v>
      </c>
    </row>
    <row r="69" spans="1:80" ht="15" customHeight="1" x14ac:dyDescent="0.3">
      <c r="A69" s="33" t="s">
        <v>87</v>
      </c>
      <c r="B69" s="11" t="s">
        <v>155</v>
      </c>
      <c r="C69" s="68">
        <v>0</v>
      </c>
      <c r="D69" s="69">
        <v>0</v>
      </c>
      <c r="E69" s="69">
        <v>0</v>
      </c>
      <c r="F69" s="69">
        <v>2.5651415498194698E-3</v>
      </c>
      <c r="G69" s="69">
        <v>2.0970956911891499E-2</v>
      </c>
      <c r="H69" s="69">
        <v>1.2560850966328099E-2</v>
      </c>
      <c r="I69" s="69">
        <v>2.6309144100712502E-3</v>
      </c>
      <c r="J69" s="69">
        <v>5.7144955065011299E-2</v>
      </c>
      <c r="K69" s="69">
        <v>1.76732918178274E-2</v>
      </c>
      <c r="L69" s="69">
        <v>4.6687371140813498E-2</v>
      </c>
      <c r="M69" s="69">
        <v>6.38995563269201E-3</v>
      </c>
      <c r="N69" s="69">
        <v>2.5107618706701599E-3</v>
      </c>
      <c r="O69" s="69">
        <v>1.4080131931936401E-2</v>
      </c>
      <c r="P69" s="69">
        <v>2.4441242789756699E-2</v>
      </c>
      <c r="Q69" s="69">
        <v>1.013571685557E-2</v>
      </c>
      <c r="R69" s="69">
        <v>3.26900893584738E-3</v>
      </c>
      <c r="S69" s="69">
        <v>1.41849139168304E-2</v>
      </c>
      <c r="T69" s="69">
        <v>3.6458771842949001E-3</v>
      </c>
      <c r="U69" s="69">
        <v>1.9782145898862302E-2</v>
      </c>
      <c r="V69" s="69">
        <v>2.3564211210592999E-2</v>
      </c>
      <c r="W69" s="69">
        <v>1.7192926500295299E-2</v>
      </c>
      <c r="X69" s="69">
        <v>1.18124437397387E-2</v>
      </c>
      <c r="Y69" s="69">
        <v>1.0748206014277799E-2</v>
      </c>
      <c r="Z69" s="69">
        <v>1.32788535123835E-2</v>
      </c>
      <c r="AA69" s="69">
        <v>3.5404801991093401E-2</v>
      </c>
      <c r="AB69" s="69">
        <v>1.53917066065495E-2</v>
      </c>
      <c r="AC69" s="69">
        <v>2.35753209663856E-2</v>
      </c>
      <c r="AD69" s="69">
        <v>0</v>
      </c>
      <c r="AE69" s="69">
        <v>1.5355192152425701E-2</v>
      </c>
      <c r="AF69" s="69">
        <v>7.1033111367096299E-3</v>
      </c>
      <c r="AG69" s="69">
        <v>1.07231907738841E-2</v>
      </c>
      <c r="AH69" s="69">
        <v>2.4446863356318502E-2</v>
      </c>
      <c r="AI69" s="69">
        <v>5.6284018718706901E-3</v>
      </c>
      <c r="AJ69" s="69">
        <v>1.2359156055385701E-2</v>
      </c>
      <c r="AK69" s="69">
        <v>9.7654423358261404E-3</v>
      </c>
      <c r="AL69" s="69">
        <v>2.0898659084895601E-2</v>
      </c>
      <c r="AM69" s="69">
        <v>3.6936136097503801E-3</v>
      </c>
      <c r="AN69" s="69">
        <v>3.6371215446973103E-2</v>
      </c>
      <c r="AO69" s="69">
        <v>1.55488796979224E-2</v>
      </c>
      <c r="AP69" s="69">
        <v>0.35247503303282801</v>
      </c>
      <c r="AQ69" s="69">
        <v>3.0380827196709701</v>
      </c>
      <c r="AR69" s="69">
        <v>0.21739895262764899</v>
      </c>
      <c r="AS69" s="69">
        <v>3.1983743981430501E-3</v>
      </c>
      <c r="AT69" s="69">
        <v>4.1009981159464796E-3</v>
      </c>
      <c r="AU69" s="69">
        <v>0.20929161996787701</v>
      </c>
      <c r="AV69" s="69">
        <v>4.9100945630561499E-2</v>
      </c>
      <c r="AW69" s="69">
        <v>1.0590862882696901</v>
      </c>
      <c r="AX69" s="69">
        <v>7.29841400187456E-3</v>
      </c>
      <c r="AY69" s="69">
        <v>2.9215504027000998E-2</v>
      </c>
      <c r="AZ69" s="69">
        <v>0.108083464947139</v>
      </c>
      <c r="BA69" s="69">
        <v>0.346289384174371</v>
      </c>
      <c r="BB69" s="69">
        <v>3.1617137317452103E-2</v>
      </c>
      <c r="BC69" s="69">
        <v>0.71580196296451204</v>
      </c>
      <c r="BD69" s="69">
        <v>0.83323592577843897</v>
      </c>
      <c r="BE69" s="69">
        <v>0.29597240329755398</v>
      </c>
      <c r="BF69" s="69">
        <v>0.27503493077324498</v>
      </c>
      <c r="BG69" s="69">
        <v>0.62935856323024897</v>
      </c>
      <c r="BH69" s="69">
        <v>0.88082302226265796</v>
      </c>
      <c r="BI69" s="69">
        <v>1.7950120699431301E-2</v>
      </c>
      <c r="BJ69" s="69">
        <v>4.7752091905860002E-2</v>
      </c>
      <c r="BK69" s="69">
        <v>4.8644916424871497E-3</v>
      </c>
      <c r="BL69" s="69">
        <v>0.24609738547589399</v>
      </c>
      <c r="BM69" s="69">
        <v>0</v>
      </c>
      <c r="BN69" s="69">
        <v>0.34397932418740401</v>
      </c>
      <c r="BO69" s="69">
        <v>0.18647533922614501</v>
      </c>
      <c r="BP69" s="69">
        <v>0.37682749960456702</v>
      </c>
      <c r="BQ69" s="70">
        <v>0</v>
      </c>
      <c r="BR69" s="71">
        <v>10.880947530171399</v>
      </c>
      <c r="BS69" s="72">
        <v>0</v>
      </c>
      <c r="BT69" s="73">
        <v>0</v>
      </c>
      <c r="BU69" s="73">
        <v>0</v>
      </c>
      <c r="BV69" s="73">
        <v>303.54723062942202</v>
      </c>
      <c r="BW69" s="73">
        <v>0</v>
      </c>
      <c r="BX69" s="74">
        <v>0</v>
      </c>
      <c r="BY69" s="71">
        <v>303.54723062942202</v>
      </c>
      <c r="BZ69" s="75">
        <v>314.42817815959398</v>
      </c>
    </row>
    <row r="70" spans="1:80" ht="15" customHeight="1" x14ac:dyDescent="0.3">
      <c r="A70" s="33" t="s">
        <v>88</v>
      </c>
      <c r="B70" s="11" t="s">
        <v>156</v>
      </c>
      <c r="C70" s="68">
        <v>0</v>
      </c>
      <c r="D70" s="69">
        <v>0.42594777272809298</v>
      </c>
      <c r="E70" s="69">
        <v>0.10730654766219801</v>
      </c>
      <c r="F70" s="69">
        <v>6.95054623270977E-2</v>
      </c>
      <c r="G70" s="69">
        <v>0.78551312417973596</v>
      </c>
      <c r="H70" s="69">
        <v>6.5287767761911496E-3</v>
      </c>
      <c r="I70" s="69">
        <v>1.3936724355989301E-3</v>
      </c>
      <c r="J70" s="69">
        <v>3.24617310402932</v>
      </c>
      <c r="K70" s="69">
        <v>0.46475516742350298</v>
      </c>
      <c r="L70" s="69">
        <v>4.3494808656039501</v>
      </c>
      <c r="M70" s="69">
        <v>6.1286572970590596</v>
      </c>
      <c r="N70" s="69">
        <v>0.31996162862462801</v>
      </c>
      <c r="O70" s="69">
        <v>0.23063994907413099</v>
      </c>
      <c r="P70" s="69">
        <v>0.56203174550377799</v>
      </c>
      <c r="Q70" s="69">
        <v>0.75220284004216298</v>
      </c>
      <c r="R70" s="69">
        <v>0.11505388126589999</v>
      </c>
      <c r="S70" s="69">
        <v>0.76865619978293998</v>
      </c>
      <c r="T70" s="69">
        <v>4.7222989490221801E-2</v>
      </c>
      <c r="U70" s="69">
        <v>0.287663744888557</v>
      </c>
      <c r="V70" s="69">
        <v>0.31409059187583299</v>
      </c>
      <c r="W70" s="69">
        <v>0.35696803855055997</v>
      </c>
      <c r="X70" s="69">
        <v>0.64817629308722102</v>
      </c>
      <c r="Y70" s="69">
        <v>1.41896586955094</v>
      </c>
      <c r="Z70" s="69">
        <v>2.2104716629575099</v>
      </c>
      <c r="AA70" s="69">
        <v>0.77324501744246599</v>
      </c>
      <c r="AB70" s="69">
        <v>0.40223257278533497</v>
      </c>
      <c r="AC70" s="69">
        <v>0.319691935673936</v>
      </c>
      <c r="AD70" s="69">
        <v>1.73905983622685E-3</v>
      </c>
      <c r="AE70" s="69">
        <v>0.64005805049827402</v>
      </c>
      <c r="AF70" s="69">
        <v>1.40913163428975</v>
      </c>
      <c r="AG70" s="69">
        <v>0.62583732801886505</v>
      </c>
      <c r="AH70" s="69">
        <v>0.714909180965559</v>
      </c>
      <c r="AI70" s="69">
        <v>3.6996917215942502</v>
      </c>
      <c r="AJ70" s="69">
        <v>0.13471869192932601</v>
      </c>
      <c r="AK70" s="69">
        <v>0.23331971989675901</v>
      </c>
      <c r="AL70" s="69">
        <v>0.52106458240227904</v>
      </c>
      <c r="AM70" s="69">
        <v>0.14482786637535799</v>
      </c>
      <c r="AN70" s="69">
        <v>2.4793736570218199</v>
      </c>
      <c r="AO70" s="69">
        <v>0.28663445934134602</v>
      </c>
      <c r="AP70" s="69">
        <v>1.8178330131912901</v>
      </c>
      <c r="AQ70" s="69">
        <v>28.2243691185076</v>
      </c>
      <c r="AR70" s="69">
        <v>0.80165920092196796</v>
      </c>
      <c r="AS70" s="69">
        <v>0.10485988270253201</v>
      </c>
      <c r="AT70" s="69">
        <v>0.170512026301125</v>
      </c>
      <c r="AU70" s="69">
        <v>2.1193567984415398</v>
      </c>
      <c r="AV70" s="69">
        <v>0.38299147936655098</v>
      </c>
      <c r="AW70" s="69">
        <v>1.30759603011281</v>
      </c>
      <c r="AX70" s="69">
        <v>0.68564851166153296</v>
      </c>
      <c r="AY70" s="69">
        <v>2.9779674316867002</v>
      </c>
      <c r="AZ70" s="69">
        <v>2.80554671133905</v>
      </c>
      <c r="BA70" s="69">
        <v>3.7265993207011401</v>
      </c>
      <c r="BB70" s="69">
        <v>10.6609860245728</v>
      </c>
      <c r="BC70" s="69">
        <v>1.36256741951772</v>
      </c>
      <c r="BD70" s="69">
        <v>5.4502093888993102</v>
      </c>
      <c r="BE70" s="69">
        <v>0.72371152479955903</v>
      </c>
      <c r="BF70" s="69">
        <v>3.4174279445395102</v>
      </c>
      <c r="BG70" s="69">
        <v>1.5011335954667999</v>
      </c>
      <c r="BH70" s="69">
        <v>2.4595336419829601</v>
      </c>
      <c r="BI70" s="69">
        <v>0.149092483576581</v>
      </c>
      <c r="BJ70" s="69">
        <v>3.4594765349696699</v>
      </c>
      <c r="BK70" s="69">
        <v>0.59597378042781202</v>
      </c>
      <c r="BL70" s="69">
        <v>3.2202225096467401</v>
      </c>
      <c r="BM70" s="69">
        <v>1.2906299127190799</v>
      </c>
      <c r="BN70" s="69">
        <v>0.204881096098774</v>
      </c>
      <c r="BO70" s="69">
        <v>1.76048431258038</v>
      </c>
      <c r="BP70" s="69">
        <v>2.0399804648953599</v>
      </c>
      <c r="BQ70" s="70">
        <v>0</v>
      </c>
      <c r="BR70" s="71">
        <v>119.425092862618</v>
      </c>
      <c r="BS70" s="72">
        <v>0</v>
      </c>
      <c r="BT70" s="73">
        <v>0</v>
      </c>
      <c r="BU70" s="73">
        <v>0</v>
      </c>
      <c r="BV70" s="73">
        <v>1844.17568386425</v>
      </c>
      <c r="BW70" s="73">
        <v>0</v>
      </c>
      <c r="BX70" s="74">
        <v>0</v>
      </c>
      <c r="BY70" s="71">
        <v>1844.17568386425</v>
      </c>
      <c r="BZ70" s="75">
        <v>1963.60077672686</v>
      </c>
    </row>
    <row r="71" spans="1:80" ht="15" customHeight="1" x14ac:dyDescent="0.3">
      <c r="A71" s="33" t="s">
        <v>89</v>
      </c>
      <c r="B71" s="11" t="s">
        <v>157</v>
      </c>
      <c r="C71" s="68">
        <v>1.80610005692482E-3</v>
      </c>
      <c r="D71" s="69">
        <v>0</v>
      </c>
      <c r="E71" s="69">
        <v>0</v>
      </c>
      <c r="F71" s="69">
        <v>2.5992541742022499E-3</v>
      </c>
      <c r="G71" s="69">
        <v>1.8661526035173799E-2</v>
      </c>
      <c r="H71" s="69">
        <v>4.8815253150156501E-2</v>
      </c>
      <c r="I71" s="69">
        <v>4.8173153699521496E-3</v>
      </c>
      <c r="J71" s="69">
        <v>0.33929502160438602</v>
      </c>
      <c r="K71" s="69">
        <v>2.6947907158817501E-2</v>
      </c>
      <c r="L71" s="69">
        <v>0.25359020830934598</v>
      </c>
      <c r="M71" s="69">
        <v>1.4220943233757799E-2</v>
      </c>
      <c r="N71" s="69">
        <v>1.0664284475554E-2</v>
      </c>
      <c r="O71" s="69">
        <v>3.1561802050550897E-2</v>
      </c>
      <c r="P71" s="69">
        <v>3.9331891262693097E-2</v>
      </c>
      <c r="Q71" s="69">
        <v>3.1813399782785703E-2</v>
      </c>
      <c r="R71" s="69">
        <v>2.0253520837077401E-2</v>
      </c>
      <c r="S71" s="69">
        <v>0.10649770984279899</v>
      </c>
      <c r="T71" s="69">
        <v>4.7955662954048796E-3</v>
      </c>
      <c r="U71" s="69">
        <v>3.52788238526585E-2</v>
      </c>
      <c r="V71" s="69">
        <v>4.0957685200494899E-2</v>
      </c>
      <c r="W71" s="69">
        <v>9.0381132037752096E-2</v>
      </c>
      <c r="X71" s="69">
        <v>7.0973965335238504E-2</v>
      </c>
      <c r="Y71" s="69">
        <v>1.0340176931092199E-2</v>
      </c>
      <c r="Z71" s="69">
        <v>8.0931249422550006E-2</v>
      </c>
      <c r="AA71" s="69">
        <v>9.0253276394672594E-2</v>
      </c>
      <c r="AB71" s="69">
        <v>5.8791868959547397E-2</v>
      </c>
      <c r="AC71" s="69">
        <v>8.0060149601410696E-2</v>
      </c>
      <c r="AD71" s="69">
        <v>1.8765975453604901E-2</v>
      </c>
      <c r="AE71" s="69">
        <v>7.1853678446251498E-2</v>
      </c>
      <c r="AF71" s="69">
        <v>4.6484225076924603E-2</v>
      </c>
      <c r="AG71" s="69">
        <v>7.1443975114325098E-2</v>
      </c>
      <c r="AH71" s="69">
        <v>0.14229743374725801</v>
      </c>
      <c r="AI71" s="69">
        <v>5.2909175807231298E-2</v>
      </c>
      <c r="AJ71" s="69">
        <v>1.9907892001763901E-2</v>
      </c>
      <c r="AK71" s="69">
        <v>1.20167578557983E-2</v>
      </c>
      <c r="AL71" s="69">
        <v>4.5647658949549003E-2</v>
      </c>
      <c r="AM71" s="69">
        <v>1.0329051200894401E-2</v>
      </c>
      <c r="AN71" s="69">
        <v>0.14962062342046201</v>
      </c>
      <c r="AO71" s="69">
        <v>8.6265986827118404E-2</v>
      </c>
      <c r="AP71" s="69">
        <v>0.22367745643636699</v>
      </c>
      <c r="AQ71" s="69">
        <v>2.8902895682243401</v>
      </c>
      <c r="AR71" s="69">
        <v>0.210577247175535</v>
      </c>
      <c r="AS71" s="69">
        <v>1.7360545719650399E-3</v>
      </c>
      <c r="AT71" s="69">
        <v>4.4186160717974099E-2</v>
      </c>
      <c r="AU71" s="69">
        <v>0.3412668052792</v>
      </c>
      <c r="AV71" s="69">
        <v>3.04874090961713E-2</v>
      </c>
      <c r="AW71" s="69">
        <v>0.58759000175995302</v>
      </c>
      <c r="AX71" s="69">
        <v>3.9871547113151898E-2</v>
      </c>
      <c r="AY71" s="69">
        <v>0.18225750158036699</v>
      </c>
      <c r="AZ71" s="69">
        <v>0.40495944459288202</v>
      </c>
      <c r="BA71" s="69">
        <v>1.5743774009372</v>
      </c>
      <c r="BB71" s="69">
        <v>2.6109631958765802</v>
      </c>
      <c r="BC71" s="69">
        <v>0.41090325313418902</v>
      </c>
      <c r="BD71" s="69">
        <v>0.78346444033776996</v>
      </c>
      <c r="BE71" s="69">
        <v>0.16498480990360401</v>
      </c>
      <c r="BF71" s="69">
        <v>2.1956957938385502</v>
      </c>
      <c r="BG71" s="69">
        <v>0.37422244249301201</v>
      </c>
      <c r="BH71" s="69">
        <v>0.61607985116716102</v>
      </c>
      <c r="BI71" s="69">
        <v>4.4992131931891603E-2</v>
      </c>
      <c r="BJ71" s="69">
        <v>1.56724248082503</v>
      </c>
      <c r="BK71" s="69">
        <v>0.15121379181449299</v>
      </c>
      <c r="BL71" s="69">
        <v>0.16139065155639001</v>
      </c>
      <c r="BM71" s="69">
        <v>0.28450418637736402</v>
      </c>
      <c r="BN71" s="69">
        <v>0.18670949803865899</v>
      </c>
      <c r="BO71" s="69">
        <v>0.12682310047967699</v>
      </c>
      <c r="BP71" s="69">
        <v>0.483255905355233</v>
      </c>
      <c r="BQ71" s="70">
        <v>0</v>
      </c>
      <c r="BR71" s="71">
        <v>18.934904595890899</v>
      </c>
      <c r="BS71" s="72">
        <v>0</v>
      </c>
      <c r="BT71" s="73">
        <v>0</v>
      </c>
      <c r="BU71" s="73">
        <v>0</v>
      </c>
      <c r="BV71" s="73">
        <v>2.09270283602886</v>
      </c>
      <c r="BW71" s="73">
        <v>7.2256060260992898</v>
      </c>
      <c r="BX71" s="74">
        <v>7.4385860562458197E-4</v>
      </c>
      <c r="BY71" s="71">
        <v>9.3190527207337794</v>
      </c>
      <c r="BZ71" s="75">
        <v>28.2539573166247</v>
      </c>
    </row>
    <row r="72" spans="1:80" ht="15" customHeight="1" x14ac:dyDescent="0.3">
      <c r="A72" s="34" t="s">
        <v>90</v>
      </c>
      <c r="B72" s="35" t="s">
        <v>158</v>
      </c>
      <c r="C72" s="76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77">
        <v>0</v>
      </c>
      <c r="AX72" s="77">
        <v>0</v>
      </c>
      <c r="AY72" s="77">
        <v>0</v>
      </c>
      <c r="AZ72" s="77">
        <v>0</v>
      </c>
      <c r="BA72" s="77">
        <v>0</v>
      </c>
      <c r="BB72" s="77">
        <v>0</v>
      </c>
      <c r="BC72" s="77">
        <v>0</v>
      </c>
      <c r="BD72" s="77">
        <v>0</v>
      </c>
      <c r="BE72" s="77">
        <v>0</v>
      </c>
      <c r="BF72" s="77">
        <v>0</v>
      </c>
      <c r="BG72" s="77">
        <v>0</v>
      </c>
      <c r="BH72" s="77">
        <v>0</v>
      </c>
      <c r="BI72" s="77">
        <v>0</v>
      </c>
      <c r="BJ72" s="77">
        <v>0</v>
      </c>
      <c r="BK72" s="77">
        <v>0</v>
      </c>
      <c r="BL72" s="77">
        <v>0</v>
      </c>
      <c r="BM72" s="77">
        <v>0</v>
      </c>
      <c r="BN72" s="77">
        <v>0</v>
      </c>
      <c r="BO72" s="77">
        <v>0</v>
      </c>
      <c r="BP72" s="77">
        <v>0</v>
      </c>
      <c r="BQ72" s="78">
        <v>0</v>
      </c>
      <c r="BR72" s="79">
        <v>0</v>
      </c>
      <c r="BS72" s="80">
        <v>0</v>
      </c>
      <c r="BT72" s="81">
        <v>0</v>
      </c>
      <c r="BU72" s="81">
        <v>0</v>
      </c>
      <c r="BV72" s="81">
        <v>0</v>
      </c>
      <c r="BW72" s="81">
        <v>0</v>
      </c>
      <c r="BX72" s="82">
        <v>0</v>
      </c>
      <c r="BY72" s="79">
        <v>0</v>
      </c>
      <c r="BZ72" s="83">
        <v>0</v>
      </c>
      <c r="CA72" s="84"/>
      <c r="CB72" s="84"/>
    </row>
    <row r="73" spans="1:80" ht="15" customHeight="1" x14ac:dyDescent="0.3">
      <c r="A73" s="42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6"/>
      <c r="BS73" s="86"/>
      <c r="BT73" s="86"/>
      <c r="BU73" s="86"/>
      <c r="BV73" s="86"/>
      <c r="BW73" s="86"/>
      <c r="BX73" s="86"/>
      <c r="BY73" s="86"/>
      <c r="BZ73" s="86"/>
    </row>
    <row r="74" spans="1:80" ht="15" customHeight="1" x14ac:dyDescent="0.3">
      <c r="A74" s="94" t="s">
        <v>159</v>
      </c>
      <c r="B74" s="95"/>
      <c r="C74" s="87">
        <v>54235.165864134797</v>
      </c>
      <c r="D74" s="47">
        <v>12103.2533631801</v>
      </c>
      <c r="E74" s="47">
        <v>2039.3348880393801</v>
      </c>
      <c r="F74" s="47">
        <v>2393.3071617239798</v>
      </c>
      <c r="G74" s="47">
        <v>38519.265208933997</v>
      </c>
      <c r="H74" s="47">
        <v>17524.467813647399</v>
      </c>
      <c r="I74" s="47">
        <v>3047.47718570402</v>
      </c>
      <c r="J74" s="47">
        <v>12075.498600478501</v>
      </c>
      <c r="K74" s="47">
        <v>2564.1012333171002</v>
      </c>
      <c r="L74" s="47">
        <v>39371.1563129594</v>
      </c>
      <c r="M74" s="47">
        <v>4605.5832258171504</v>
      </c>
      <c r="N74" s="47">
        <v>502.41238934943198</v>
      </c>
      <c r="O74" s="47">
        <v>10208.3550861272</v>
      </c>
      <c r="P74" s="47">
        <v>6575.8261698689103</v>
      </c>
      <c r="Q74" s="47">
        <v>4100.3071968681697</v>
      </c>
      <c r="R74" s="47">
        <v>3861.8221600479301</v>
      </c>
      <c r="S74" s="47">
        <v>18526.7826456117</v>
      </c>
      <c r="T74" s="47">
        <v>2325.35915658567</v>
      </c>
      <c r="U74" s="47">
        <v>73029.595227109501</v>
      </c>
      <c r="V74" s="47">
        <v>2498.81303830161</v>
      </c>
      <c r="W74" s="47">
        <v>107816.436296941</v>
      </c>
      <c r="X74" s="47">
        <v>37850.236486534101</v>
      </c>
      <c r="Y74" s="47">
        <v>10860.9131353946</v>
      </c>
      <c r="Z74" s="47">
        <v>14523.711546267599</v>
      </c>
      <c r="AA74" s="47">
        <v>38374.415798230497</v>
      </c>
      <c r="AB74" s="47">
        <v>11380.814898050299</v>
      </c>
      <c r="AC74" s="47">
        <v>27730.932131903701</v>
      </c>
      <c r="AD74" s="47">
        <v>21487.125538730601</v>
      </c>
      <c r="AE74" s="47">
        <v>18266.498236638799</v>
      </c>
      <c r="AF74" s="47">
        <v>69377.216851084406</v>
      </c>
      <c r="AG74" s="47">
        <v>25710.376135602699</v>
      </c>
      <c r="AH74" s="47">
        <v>45294.806553456197</v>
      </c>
      <c r="AI74" s="47">
        <v>48440.602100194199</v>
      </c>
      <c r="AJ74" s="47">
        <v>22738.707431336301</v>
      </c>
      <c r="AK74" s="47">
        <v>21551.106739871</v>
      </c>
      <c r="AL74" s="47">
        <v>11529.651663864201</v>
      </c>
      <c r="AM74" s="47">
        <v>24115.164472587501</v>
      </c>
      <c r="AN74" s="47">
        <v>46351.274677961897</v>
      </c>
      <c r="AO74" s="47">
        <v>4014.9010236796198</v>
      </c>
      <c r="AP74" s="47">
        <v>37447.2834374089</v>
      </c>
      <c r="AQ74" s="47">
        <v>57662.138620499303</v>
      </c>
      <c r="AR74" s="47">
        <v>21847.8594216522</v>
      </c>
      <c r="AS74" s="47">
        <v>3615.5328089611098</v>
      </c>
      <c r="AT74" s="47">
        <v>7651.6073352302201</v>
      </c>
      <c r="AU74" s="47">
        <v>9442.2172421139894</v>
      </c>
      <c r="AV74" s="47">
        <v>713.42556435828999</v>
      </c>
      <c r="AW74" s="47">
        <v>15276.233981494001</v>
      </c>
      <c r="AX74" s="47">
        <v>1021.19377582218</v>
      </c>
      <c r="AY74" s="47">
        <v>2851.4262498937501</v>
      </c>
      <c r="AZ74" s="47">
        <v>7961.10039636291</v>
      </c>
      <c r="BA74" s="47">
        <v>17888.1988261857</v>
      </c>
      <c r="BB74" s="47">
        <v>15645.8332521619</v>
      </c>
      <c r="BC74" s="47">
        <v>3782.3487946854402</v>
      </c>
      <c r="BD74" s="47">
        <v>7703.9296987361904</v>
      </c>
      <c r="BE74" s="47">
        <v>5345.7956133870803</v>
      </c>
      <c r="BF74" s="47">
        <v>5770.5544680783696</v>
      </c>
      <c r="BG74" s="47">
        <v>3349.0909513152301</v>
      </c>
      <c r="BH74" s="47">
        <v>7932.5528594020398</v>
      </c>
      <c r="BI74" s="47">
        <v>810.12615474227096</v>
      </c>
      <c r="BJ74" s="47">
        <v>27759.775666064401</v>
      </c>
      <c r="BK74" s="47">
        <v>4977.6075084078502</v>
      </c>
      <c r="BL74" s="47">
        <v>4010.7847529391402</v>
      </c>
      <c r="BM74" s="47">
        <v>19245.9970159316</v>
      </c>
      <c r="BN74" s="47">
        <v>15650.2355472523</v>
      </c>
      <c r="BO74" s="47">
        <v>1251.4479176948601</v>
      </c>
      <c r="BP74" s="47">
        <v>9643.5165145072606</v>
      </c>
      <c r="BQ74" s="88">
        <v>0</v>
      </c>
      <c r="BR74" s="89">
        <v>1233780.59002142</v>
      </c>
      <c r="BS74" s="90">
        <v>13469.2695597864</v>
      </c>
      <c r="BT74" s="91">
        <v>4012.9879248897801</v>
      </c>
      <c r="BU74" s="91">
        <v>0</v>
      </c>
      <c r="BV74" s="91">
        <v>202805.34178145899</v>
      </c>
      <c r="BW74" s="91">
        <v>204297.833763264</v>
      </c>
      <c r="BX74" s="92">
        <v>13106.9769491765</v>
      </c>
      <c r="BY74" s="89">
        <v>437692.409978576</v>
      </c>
      <c r="BZ74" s="93">
        <v>1671473</v>
      </c>
    </row>
    <row r="75" spans="1:80" ht="15" customHeight="1" x14ac:dyDescent="0.3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</row>
    <row r="76" spans="1:80" ht="15" customHeight="1" x14ac:dyDescent="0.2">
      <c r="A76" s="53" t="s">
        <v>171</v>
      </c>
    </row>
    <row r="77" spans="1:80" ht="15" customHeight="1" x14ac:dyDescent="0.2"/>
  </sheetData>
  <mergeCells count="12">
    <mergeCell ref="A3:A5"/>
    <mergeCell ref="B3:B5"/>
    <mergeCell ref="BS3:BY3"/>
    <mergeCell ref="BZ3:BZ5"/>
    <mergeCell ref="BR4:BR5"/>
    <mergeCell ref="BS4:BS5"/>
    <mergeCell ref="BT4:BT5"/>
    <mergeCell ref="BU4:BU5"/>
    <mergeCell ref="BV4:BV5"/>
    <mergeCell ref="BW4:BW5"/>
    <mergeCell ref="BX4:BX5"/>
    <mergeCell ref="BY4:BY5"/>
  </mergeCells>
  <pageMargins left="0.196527777777778" right="0" top="0.196527777777778" bottom="0.19652777777777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:CB77"/>
  <sheetViews>
    <sheetView showGridLines="0" zoomScale="90" zoomScaleNormal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78" width="20.7109375" customWidth="1"/>
  </cols>
  <sheetData>
    <row r="1" spans="1:78" ht="15" customHeight="1" x14ac:dyDescent="0.3">
      <c r="A1" s="12" t="s">
        <v>199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78" ht="15" customHeight="1" x14ac:dyDescent="0.3">
      <c r="A2" s="12" t="s">
        <v>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</row>
    <row r="3" spans="1:78" ht="15" customHeight="1" x14ac:dyDescent="0.2">
      <c r="A3" s="126" t="s">
        <v>189</v>
      </c>
      <c r="B3" s="126" t="s">
        <v>190</v>
      </c>
      <c r="C3" s="14" t="s">
        <v>161</v>
      </c>
      <c r="D3" s="15"/>
      <c r="E3" s="15"/>
      <c r="F3" s="15"/>
      <c r="G3" s="15"/>
      <c r="H3" s="15"/>
      <c r="I3" s="15"/>
      <c r="J3" s="15"/>
      <c r="K3" s="15"/>
      <c r="L3" s="16" t="s">
        <v>161</v>
      </c>
      <c r="M3" s="15"/>
      <c r="N3" s="15"/>
      <c r="O3" s="15"/>
      <c r="P3" s="15"/>
      <c r="Q3" s="15"/>
      <c r="R3" s="15"/>
      <c r="S3" s="15"/>
      <c r="T3" s="15"/>
      <c r="U3" s="16" t="s">
        <v>161</v>
      </c>
      <c r="V3" s="15"/>
      <c r="W3" s="15"/>
      <c r="X3" s="15"/>
      <c r="Y3" s="15"/>
      <c r="Z3" s="15"/>
      <c r="AA3" s="15"/>
      <c r="AB3" s="15"/>
      <c r="AC3" s="15"/>
      <c r="AD3" s="16" t="s">
        <v>161</v>
      </c>
      <c r="AE3" s="15"/>
      <c r="AF3" s="15"/>
      <c r="AG3" s="15"/>
      <c r="AH3" s="15"/>
      <c r="AI3" s="15"/>
      <c r="AJ3" s="15"/>
      <c r="AK3" s="15"/>
      <c r="AL3" s="15"/>
      <c r="AM3" s="16" t="s">
        <v>161</v>
      </c>
      <c r="AN3" s="15"/>
      <c r="AO3" s="15"/>
      <c r="AP3" s="15"/>
      <c r="AQ3" s="15"/>
      <c r="AR3" s="15"/>
      <c r="AS3" s="15"/>
      <c r="AT3" s="15"/>
      <c r="AU3" s="15"/>
      <c r="AV3" s="16" t="s">
        <v>161</v>
      </c>
      <c r="AW3" s="15"/>
      <c r="AX3" s="15"/>
      <c r="AY3" s="15"/>
      <c r="AZ3" s="15"/>
      <c r="BA3" s="15"/>
      <c r="BB3" s="15"/>
      <c r="BC3" s="15"/>
      <c r="BD3" s="15"/>
      <c r="BE3" s="16" t="s">
        <v>161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59" t="s">
        <v>161</v>
      </c>
      <c r="BS3" s="127" t="s">
        <v>162</v>
      </c>
      <c r="BT3" s="127"/>
      <c r="BU3" s="127"/>
      <c r="BV3" s="127"/>
      <c r="BW3" s="127"/>
      <c r="BX3" s="127"/>
      <c r="BY3" s="127"/>
      <c r="BZ3" s="128" t="s">
        <v>163</v>
      </c>
    </row>
    <row r="4" spans="1:78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  <c r="BR4" s="128" t="s">
        <v>164</v>
      </c>
      <c r="BS4" s="128" t="s">
        <v>165</v>
      </c>
      <c r="BT4" s="128" t="s">
        <v>166</v>
      </c>
      <c r="BU4" s="128" t="s">
        <v>167</v>
      </c>
      <c r="BV4" s="128" t="s">
        <v>168</v>
      </c>
      <c r="BW4" s="128" t="s">
        <v>169</v>
      </c>
      <c r="BX4" s="128" t="s">
        <v>170</v>
      </c>
      <c r="BY4" s="128" t="s">
        <v>162</v>
      </c>
      <c r="BZ4" s="128"/>
    </row>
    <row r="5" spans="1:78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  <c r="BR5" s="128"/>
      <c r="BS5" s="128"/>
      <c r="BT5" s="128"/>
      <c r="BU5" s="128"/>
      <c r="BV5" s="128"/>
      <c r="BW5" s="128"/>
      <c r="BX5" s="128"/>
      <c r="BY5" s="128"/>
      <c r="BZ5" s="128"/>
    </row>
    <row r="6" spans="1:78" ht="15" customHeight="1" x14ac:dyDescent="0.3">
      <c r="A6" s="19" t="s">
        <v>24</v>
      </c>
      <c r="B6" s="11" t="s">
        <v>92</v>
      </c>
      <c r="C6" s="60">
        <v>701.39596172019696</v>
      </c>
      <c r="D6" s="61">
        <v>576.42459322993204</v>
      </c>
      <c r="E6" s="61">
        <v>18.7851338663605</v>
      </c>
      <c r="F6" s="61">
        <v>4.0092483031118897E-2</v>
      </c>
      <c r="G6" s="61">
        <v>0.44116017227090698</v>
      </c>
      <c r="H6" s="61">
        <v>0.20168410769053899</v>
      </c>
      <c r="I6" s="61">
        <v>7.6301195073104497E-2</v>
      </c>
      <c r="J6" s="61">
        <v>210.58367325668601</v>
      </c>
      <c r="K6" s="61">
        <v>808.046836315056</v>
      </c>
      <c r="L6" s="61">
        <v>1356.3562298332299</v>
      </c>
      <c r="M6" s="61">
        <v>89.058864931753106</v>
      </c>
      <c r="N6" s="61">
        <v>21.5082256352595</v>
      </c>
      <c r="O6" s="61">
        <v>431.40669321031299</v>
      </c>
      <c r="P6" s="61">
        <v>107.7031743324</v>
      </c>
      <c r="Q6" s="61">
        <v>0.860906825896813</v>
      </c>
      <c r="R6" s="61">
        <v>6.40344560093979</v>
      </c>
      <c r="S6" s="61">
        <v>6.59023467481454</v>
      </c>
      <c r="T6" s="61">
        <v>0</v>
      </c>
      <c r="U6" s="61">
        <v>1.04314896947311</v>
      </c>
      <c r="V6" s="61">
        <v>627.74840527686501</v>
      </c>
      <c r="W6" s="61">
        <v>0.80471505357579698</v>
      </c>
      <c r="X6" s="61">
        <v>0.77941894395995104</v>
      </c>
      <c r="Y6" s="61">
        <v>0.18263070616890001</v>
      </c>
      <c r="Z6" s="61">
        <v>1.8229667008703601</v>
      </c>
      <c r="AA6" s="61">
        <v>1.1263009765964</v>
      </c>
      <c r="AB6" s="61">
        <v>0.77084115809840603</v>
      </c>
      <c r="AC6" s="61">
        <v>0.66414895927347395</v>
      </c>
      <c r="AD6" s="61">
        <v>1.2409647127064301</v>
      </c>
      <c r="AE6" s="61">
        <v>5.6249583567392E-2</v>
      </c>
      <c r="AF6" s="61">
        <v>3.5391413015934597E-2</v>
      </c>
      <c r="AG6" s="61">
        <v>3.2801604883563797E-2</v>
      </c>
      <c r="AH6" s="61">
        <v>7.8502463624404495E-2</v>
      </c>
      <c r="AI6" s="61">
        <v>6.7073203415234997E-2</v>
      </c>
      <c r="AJ6" s="61">
        <v>2.43662245585556E-2</v>
      </c>
      <c r="AK6" s="61">
        <v>4.6249222879070601E-2</v>
      </c>
      <c r="AL6" s="61">
        <v>1.3564598836739601</v>
      </c>
      <c r="AM6" s="61">
        <v>1.2208673597622699E-2</v>
      </c>
      <c r="AN6" s="61">
        <v>4.2576959090767502E-2</v>
      </c>
      <c r="AO6" s="61">
        <v>4.1209029524788901E-2</v>
      </c>
      <c r="AP6" s="61">
        <v>26.887600976131498</v>
      </c>
      <c r="AQ6" s="61">
        <v>194.34922158645301</v>
      </c>
      <c r="AR6" s="61">
        <v>0.15092970001181499</v>
      </c>
      <c r="AS6" s="61">
        <v>0</v>
      </c>
      <c r="AT6" s="61">
        <v>3.1290645664261103E-2</v>
      </c>
      <c r="AU6" s="61">
        <v>0.60610089700485603</v>
      </c>
      <c r="AV6" s="61">
        <v>6.3671125977037697</v>
      </c>
      <c r="AW6" s="61">
        <v>280.47968016410499</v>
      </c>
      <c r="AX6" s="61">
        <v>1.1873468186331001E-2</v>
      </c>
      <c r="AY6" s="61">
        <v>6.3413091202497898E-2</v>
      </c>
      <c r="AZ6" s="61">
        <v>1.39864326843734</v>
      </c>
      <c r="BA6" s="61">
        <v>0.43122739685941702</v>
      </c>
      <c r="BB6" s="61">
        <v>0.64960269508683899</v>
      </c>
      <c r="BC6" s="61">
        <v>0.77994916115581603</v>
      </c>
      <c r="BD6" s="61">
        <v>1.4813836180292499</v>
      </c>
      <c r="BE6" s="61">
        <v>0.47132340265877698</v>
      </c>
      <c r="BF6" s="61">
        <v>0.16346328279309599</v>
      </c>
      <c r="BG6" s="61">
        <v>0.143437462159868</v>
      </c>
      <c r="BH6" s="61">
        <v>10.922054966105801</v>
      </c>
      <c r="BI6" s="61">
        <v>2.4431682330735099E-2</v>
      </c>
      <c r="BJ6" s="61">
        <v>41.530464236930897</v>
      </c>
      <c r="BK6" s="61">
        <v>11.461934411869899</v>
      </c>
      <c r="BL6" s="61">
        <v>9.1941721536452192</v>
      </c>
      <c r="BM6" s="61">
        <v>14.971003023010301</v>
      </c>
      <c r="BN6" s="61">
        <v>19.370511655926801</v>
      </c>
      <c r="BO6" s="61">
        <v>0.10468092269936501</v>
      </c>
      <c r="BP6" s="61">
        <v>39.559723770479799</v>
      </c>
      <c r="BQ6" s="62">
        <v>0</v>
      </c>
      <c r="BR6" s="63">
        <v>5635.46507134696</v>
      </c>
      <c r="BS6" s="64">
        <v>0.19892038919030899</v>
      </c>
      <c r="BT6" s="65">
        <v>4.5139039072911196</v>
      </c>
      <c r="BU6" s="65">
        <v>0</v>
      </c>
      <c r="BV6" s="65">
        <v>5671.0835587729898</v>
      </c>
      <c r="BW6" s="65">
        <v>150.62634880887299</v>
      </c>
      <c r="BX6" s="66">
        <v>0</v>
      </c>
      <c r="BY6" s="63">
        <v>5826.4227318783396</v>
      </c>
      <c r="BZ6" s="67">
        <v>11461.8878032253</v>
      </c>
    </row>
    <row r="7" spans="1:78" ht="15" customHeight="1" x14ac:dyDescent="0.3">
      <c r="A7" s="19" t="s">
        <v>25</v>
      </c>
      <c r="B7" s="11" t="s">
        <v>93</v>
      </c>
      <c r="C7" s="68">
        <v>96.133999898043001</v>
      </c>
      <c r="D7" s="69">
        <v>611.36944710714897</v>
      </c>
      <c r="E7" s="69">
        <v>19.231921917451</v>
      </c>
      <c r="F7" s="69">
        <v>0.21123352999977599</v>
      </c>
      <c r="G7" s="69">
        <v>1.0735245082539899</v>
      </c>
      <c r="H7" s="69">
        <v>0.43791404070795398</v>
      </c>
      <c r="I7" s="69">
        <v>0.14460095307927301</v>
      </c>
      <c r="J7" s="69">
        <v>3304.2797557550398</v>
      </c>
      <c r="K7" s="69">
        <v>4.5441043052169299</v>
      </c>
      <c r="L7" s="69">
        <v>164.57323990951599</v>
      </c>
      <c r="M7" s="69">
        <v>5.2237053118978203</v>
      </c>
      <c r="N7" s="69">
        <v>2.2100019752235101</v>
      </c>
      <c r="O7" s="69">
        <v>47.768858198639698</v>
      </c>
      <c r="P7" s="69">
        <v>50.2444877586057</v>
      </c>
      <c r="Q7" s="69">
        <v>0.56410015259440505</v>
      </c>
      <c r="R7" s="69">
        <v>12.6566003868327</v>
      </c>
      <c r="S7" s="69">
        <v>10.5079243831307</v>
      </c>
      <c r="T7" s="69">
        <v>0</v>
      </c>
      <c r="U7" s="69">
        <v>2.6753153879023401E-2</v>
      </c>
      <c r="V7" s="69">
        <v>4.8637388419590604</v>
      </c>
      <c r="W7" s="69">
        <v>3.1067321970605</v>
      </c>
      <c r="X7" s="69">
        <v>0.40703207675457398</v>
      </c>
      <c r="Y7" s="69">
        <v>0.42514570916359801</v>
      </c>
      <c r="Z7" s="69">
        <v>0.96562149216285598</v>
      </c>
      <c r="AA7" s="69">
        <v>2.3384389194707</v>
      </c>
      <c r="AB7" s="69">
        <v>3.8793958597798199</v>
      </c>
      <c r="AC7" s="69">
        <v>1.5894457157584201</v>
      </c>
      <c r="AD7" s="69">
        <v>2.4258717888335299</v>
      </c>
      <c r="AE7" s="69">
        <v>0.139342258065241</v>
      </c>
      <c r="AF7" s="69">
        <v>0.101059383156874</v>
      </c>
      <c r="AG7" s="69">
        <v>0.124270455632883</v>
      </c>
      <c r="AH7" s="69">
        <v>0.24014321210037001</v>
      </c>
      <c r="AI7" s="69">
        <v>0.15630443255633999</v>
      </c>
      <c r="AJ7" s="69">
        <v>6.8268826622564005E-2</v>
      </c>
      <c r="AK7" s="69">
        <v>9.3418890562281795E-2</v>
      </c>
      <c r="AL7" s="69">
        <v>0.78122691451118198</v>
      </c>
      <c r="AM7" s="69">
        <v>4.1204273391976701E-2</v>
      </c>
      <c r="AN7" s="69">
        <v>0.117899215978779</v>
      </c>
      <c r="AO7" s="69">
        <v>0.203980942437652</v>
      </c>
      <c r="AP7" s="69">
        <v>61.189203751551297</v>
      </c>
      <c r="AQ7" s="69">
        <v>11.2726512426736</v>
      </c>
      <c r="AR7" s="69">
        <v>0.14272987146820401</v>
      </c>
      <c r="AS7" s="69">
        <v>0</v>
      </c>
      <c r="AT7" s="69">
        <v>4.2870576933107703E-2</v>
      </c>
      <c r="AU7" s="69">
        <v>1.1544295885415501</v>
      </c>
      <c r="AV7" s="69">
        <v>12.043467201507401</v>
      </c>
      <c r="AW7" s="69">
        <v>149.81928266876599</v>
      </c>
      <c r="AX7" s="69">
        <v>3.52106213970899E-2</v>
      </c>
      <c r="AY7" s="69">
        <v>0.14722942089228</v>
      </c>
      <c r="AZ7" s="69">
        <v>2.5711416928357398</v>
      </c>
      <c r="BA7" s="69">
        <v>0.95584403399721296</v>
      </c>
      <c r="BB7" s="69">
        <v>1.2783603882608601</v>
      </c>
      <c r="BC7" s="69">
        <v>1.7693361878700899</v>
      </c>
      <c r="BD7" s="69">
        <v>0.52512635134427299</v>
      </c>
      <c r="BE7" s="69">
        <v>0.87409095268453696</v>
      </c>
      <c r="BF7" s="69">
        <v>1.58480030012935</v>
      </c>
      <c r="BG7" s="69">
        <v>0.218961491947156</v>
      </c>
      <c r="BH7" s="69">
        <v>1.81007196810153</v>
      </c>
      <c r="BI7" s="69">
        <v>2.6355160069381701E-2</v>
      </c>
      <c r="BJ7" s="69">
        <v>21.437766004418702</v>
      </c>
      <c r="BK7" s="69">
        <v>6.39691626046422</v>
      </c>
      <c r="BL7" s="69">
        <v>4.0879651239366801</v>
      </c>
      <c r="BM7" s="69">
        <v>7.4948681610219303</v>
      </c>
      <c r="BN7" s="69">
        <v>17.536193509764001</v>
      </c>
      <c r="BO7" s="69">
        <v>0.214443022077243</v>
      </c>
      <c r="BP7" s="69">
        <v>6.9568684873768403</v>
      </c>
      <c r="BQ7" s="70">
        <v>0</v>
      </c>
      <c r="BR7" s="71">
        <v>4664.8568986912496</v>
      </c>
      <c r="BS7" s="72">
        <v>0.109228606564321</v>
      </c>
      <c r="BT7" s="73">
        <v>1.17637380192736</v>
      </c>
      <c r="BU7" s="73">
        <v>0</v>
      </c>
      <c r="BV7" s="73">
        <v>2427.8130446260202</v>
      </c>
      <c r="BW7" s="73">
        <v>944.07217526167904</v>
      </c>
      <c r="BX7" s="74">
        <v>0</v>
      </c>
      <c r="BY7" s="71">
        <v>3373.1708222961902</v>
      </c>
      <c r="BZ7" s="75">
        <v>8038.0277209874403</v>
      </c>
    </row>
    <row r="8" spans="1:78" ht="15" customHeight="1" x14ac:dyDescent="0.3">
      <c r="A8" s="19" t="s">
        <v>26</v>
      </c>
      <c r="B8" s="11" t="s">
        <v>94</v>
      </c>
      <c r="C8" s="68">
        <v>243.770359615703</v>
      </c>
      <c r="D8" s="69">
        <v>257.88161805437602</v>
      </c>
      <c r="E8" s="69">
        <v>316.63193114482601</v>
      </c>
      <c r="F8" s="69">
        <v>1.6755067535392999E-2</v>
      </c>
      <c r="G8" s="69">
        <v>8.8773782919339295E-2</v>
      </c>
      <c r="H8" s="69">
        <v>3.6810534770548103E-2</v>
      </c>
      <c r="I8" s="69">
        <v>1.0985800686829099E-2</v>
      </c>
      <c r="J8" s="69">
        <v>85.936739103033702</v>
      </c>
      <c r="K8" s="69">
        <v>2.7009340129649301E-2</v>
      </c>
      <c r="L8" s="69">
        <v>11.065341904274501</v>
      </c>
      <c r="M8" s="69">
        <v>0.70076253384814202</v>
      </c>
      <c r="N8" s="69">
        <v>5.22809357917371E-2</v>
      </c>
      <c r="O8" s="69">
        <v>2.2728011026691899</v>
      </c>
      <c r="P8" s="69">
        <v>0.64873939286124505</v>
      </c>
      <c r="Q8" s="69">
        <v>5.8646987013380404E-3</v>
      </c>
      <c r="R8" s="69">
        <v>147.844383635935</v>
      </c>
      <c r="S8" s="69">
        <v>116.51407945134901</v>
      </c>
      <c r="T8" s="69">
        <v>0</v>
      </c>
      <c r="U8" s="69">
        <v>3.1707441634398099E-3</v>
      </c>
      <c r="V8" s="69">
        <v>6.9931374779041405E-2</v>
      </c>
      <c r="W8" s="69">
        <v>6.8887422120583999</v>
      </c>
      <c r="X8" s="69">
        <v>0.13512776844517299</v>
      </c>
      <c r="Y8" s="69">
        <v>6.8980528326522596E-3</v>
      </c>
      <c r="Z8" s="69">
        <v>2.2499870356033701E-2</v>
      </c>
      <c r="AA8" s="69">
        <v>26.7514331611378</v>
      </c>
      <c r="AB8" s="69">
        <v>1.3446821183343001</v>
      </c>
      <c r="AC8" s="69">
        <v>13.752543704886101</v>
      </c>
      <c r="AD8" s="69">
        <v>0.17999147717065</v>
      </c>
      <c r="AE8" s="69">
        <v>1.66329101026144E-2</v>
      </c>
      <c r="AF8" s="69">
        <v>1.08866604642075E-2</v>
      </c>
      <c r="AG8" s="69">
        <v>1.32489418311085E-2</v>
      </c>
      <c r="AH8" s="69">
        <v>2.81555403443144E-2</v>
      </c>
      <c r="AI8" s="69">
        <v>1.56187341853419E-2</v>
      </c>
      <c r="AJ8" s="69">
        <v>7.6812272043066902E-3</v>
      </c>
      <c r="AK8" s="69">
        <v>7.8807330099689397E-3</v>
      </c>
      <c r="AL8" s="69">
        <v>6.8626809931364594E-2</v>
      </c>
      <c r="AM8" s="69">
        <v>4.8834694390490901E-3</v>
      </c>
      <c r="AN8" s="69">
        <v>1.48716362773023E-2</v>
      </c>
      <c r="AO8" s="69">
        <v>1.53515752167866E-2</v>
      </c>
      <c r="AP8" s="69">
        <v>150.768462428302</v>
      </c>
      <c r="AQ8" s="69">
        <v>12.374088166242</v>
      </c>
      <c r="AR8" s="69">
        <v>1.6737861722321602E-2</v>
      </c>
      <c r="AS8" s="69">
        <v>0</v>
      </c>
      <c r="AT8" s="69">
        <v>3.8998461019864499E-3</v>
      </c>
      <c r="AU8" s="69">
        <v>9.1539746717109599E-2</v>
      </c>
      <c r="AV8" s="69">
        <v>2.3696173790775701</v>
      </c>
      <c r="AW8" s="69">
        <v>104.59790631138</v>
      </c>
      <c r="AX8" s="69">
        <v>4.0048653900733302E-3</v>
      </c>
      <c r="AY8" s="69">
        <v>1.45706217174888E-2</v>
      </c>
      <c r="AZ8" s="69">
        <v>0.19072123634167201</v>
      </c>
      <c r="BA8" s="69">
        <v>9.0563581087941603E-2</v>
      </c>
      <c r="BB8" s="69">
        <v>0.113069617010924</v>
      </c>
      <c r="BC8" s="69">
        <v>0.144703346900068</v>
      </c>
      <c r="BD8" s="69">
        <v>4.87690817668145E-2</v>
      </c>
      <c r="BE8" s="69">
        <v>7.3457219321358694E-2</v>
      </c>
      <c r="BF8" s="69">
        <v>2.5068323260522302E-2</v>
      </c>
      <c r="BG8" s="69">
        <v>2.23779988884793E-2</v>
      </c>
      <c r="BH8" s="69">
        <v>0.12721873327519501</v>
      </c>
      <c r="BI8" s="69">
        <v>3.1235745267415402E-3</v>
      </c>
      <c r="BJ8" s="69">
        <v>11.862410907783801</v>
      </c>
      <c r="BK8" s="69">
        <v>7.6760450631313804</v>
      </c>
      <c r="BL8" s="69">
        <v>5.0304166806859696</v>
      </c>
      <c r="BM8" s="69">
        <v>12.8923498184175</v>
      </c>
      <c r="BN8" s="69">
        <v>7.1523095329697197</v>
      </c>
      <c r="BO8" s="69">
        <v>1.9244339834936099E-2</v>
      </c>
      <c r="BP8" s="69">
        <v>0.55898117635052103</v>
      </c>
      <c r="BQ8" s="70">
        <v>0</v>
      </c>
      <c r="BR8" s="71">
        <v>1549.13575227978</v>
      </c>
      <c r="BS8" s="72">
        <v>8.8803745174244905E-4</v>
      </c>
      <c r="BT8" s="73">
        <v>1.4077462003002299</v>
      </c>
      <c r="BU8" s="73">
        <v>0</v>
      </c>
      <c r="BV8" s="73">
        <v>2871.0797800090299</v>
      </c>
      <c r="BW8" s="73">
        <v>67.661625005470697</v>
      </c>
      <c r="BX8" s="74">
        <v>0</v>
      </c>
      <c r="BY8" s="71">
        <v>2940.1500392522498</v>
      </c>
      <c r="BZ8" s="75">
        <v>4489.2857915320301</v>
      </c>
    </row>
    <row r="9" spans="1:78" ht="15" customHeight="1" x14ac:dyDescent="0.3">
      <c r="A9" s="19" t="s">
        <v>27</v>
      </c>
      <c r="B9" s="11" t="s">
        <v>95</v>
      </c>
      <c r="C9" s="68">
        <v>26.754098905658999</v>
      </c>
      <c r="D9" s="69">
        <v>90.904715134670894</v>
      </c>
      <c r="E9" s="69">
        <v>2.1472500859561601</v>
      </c>
      <c r="F9" s="69">
        <v>16.1238749844096</v>
      </c>
      <c r="G9" s="69">
        <v>26.1610878363357</v>
      </c>
      <c r="H9" s="69">
        <v>0.159782326403206</v>
      </c>
      <c r="I9" s="69">
        <v>0.30725647188153399</v>
      </c>
      <c r="J9" s="69">
        <v>4.3351383795698197</v>
      </c>
      <c r="K9" s="69">
        <v>0.14478750486061301</v>
      </c>
      <c r="L9" s="69">
        <v>15.1796802234428</v>
      </c>
      <c r="M9" s="69">
        <v>1.6387843190229701</v>
      </c>
      <c r="N9" s="69">
        <v>3.57043581606629E-5</v>
      </c>
      <c r="O9" s="69">
        <v>4.13124513370366E-2</v>
      </c>
      <c r="P9" s="69">
        <v>1.70040767123559E-3</v>
      </c>
      <c r="Q9" s="69">
        <v>2.3990451914783498E-2</v>
      </c>
      <c r="R9" s="69">
        <v>6.7162347362692398E-3</v>
      </c>
      <c r="S9" s="69">
        <v>1.01172285437346</v>
      </c>
      <c r="T9" s="69">
        <v>0.30004084925327101</v>
      </c>
      <c r="U9" s="69">
        <v>4.4283130438325199E-2</v>
      </c>
      <c r="V9" s="69">
        <v>21.670141888968001</v>
      </c>
      <c r="W9" s="69">
        <v>189.80105026945901</v>
      </c>
      <c r="X9" s="69">
        <v>3.9060059598086898</v>
      </c>
      <c r="Y9" s="69">
        <v>0.465354123078213</v>
      </c>
      <c r="Z9" s="69">
        <v>5.94595960554117E-2</v>
      </c>
      <c r="AA9" s="69">
        <v>0.44371686143906802</v>
      </c>
      <c r="AB9" s="69">
        <v>286.14076094835798</v>
      </c>
      <c r="AC9" s="69">
        <v>23.498501274111899</v>
      </c>
      <c r="AD9" s="69">
        <v>23.5662548816941</v>
      </c>
      <c r="AE9" s="69">
        <v>1.4791882931759801</v>
      </c>
      <c r="AF9" s="69">
        <v>4.6903674763132799E-2</v>
      </c>
      <c r="AG9" s="69">
        <v>5.5772731628104504</v>
      </c>
      <c r="AH9" s="69">
        <v>0.89108812489299105</v>
      </c>
      <c r="AI9" s="69">
        <v>1.4656741332383101</v>
      </c>
      <c r="AJ9" s="69">
        <v>0.93347663086361798</v>
      </c>
      <c r="AK9" s="69">
        <v>0.28491628174978401</v>
      </c>
      <c r="AL9" s="69">
        <v>1.56435303149978</v>
      </c>
      <c r="AM9" s="69">
        <v>0.518052684816243</v>
      </c>
      <c r="AN9" s="69">
        <v>0.20795166217774699</v>
      </c>
      <c r="AO9" s="69">
        <v>14.9915736152828</v>
      </c>
      <c r="AP9" s="69">
        <v>1505.2910090765699</v>
      </c>
      <c r="AQ9" s="69">
        <v>4.3118880612879602</v>
      </c>
      <c r="AR9" s="69">
        <v>9.2809303168562597E-3</v>
      </c>
      <c r="AS9" s="69">
        <v>9.6832808627743006E-3</v>
      </c>
      <c r="AT9" s="69">
        <v>1.3481171597043201E-3</v>
      </c>
      <c r="AU9" s="69">
        <v>2.5578814760535799E-2</v>
      </c>
      <c r="AV9" s="69">
        <v>0.22585619055964801</v>
      </c>
      <c r="AW9" s="69">
        <v>1.2775755434596301</v>
      </c>
      <c r="AX9" s="69">
        <v>2.32804489414921E-3</v>
      </c>
      <c r="AY9" s="69">
        <v>9.5144466187834604E-4</v>
      </c>
      <c r="AZ9" s="69">
        <v>5.07534850338511E-3</v>
      </c>
      <c r="BA9" s="69">
        <v>1.4565713694082501E-2</v>
      </c>
      <c r="BB9" s="69">
        <v>2.5940560994643499E-3</v>
      </c>
      <c r="BC9" s="69">
        <v>53.2048811401921</v>
      </c>
      <c r="BD9" s="69">
        <v>1.8461229620975801E-2</v>
      </c>
      <c r="BE9" s="69">
        <v>1.16052869465137E-2</v>
      </c>
      <c r="BF9" s="69">
        <v>1.24698428083008E-2</v>
      </c>
      <c r="BG9" s="69">
        <v>1.5828041787813302E-2</v>
      </c>
      <c r="BH9" s="69">
        <v>0.385028590281776</v>
      </c>
      <c r="BI9" s="69">
        <v>1.3495590633376599E-3</v>
      </c>
      <c r="BJ9" s="69">
        <v>7.5382401116977897</v>
      </c>
      <c r="BK9" s="69">
        <v>1.322275215101</v>
      </c>
      <c r="BL9" s="69">
        <v>2.2835019474851601E-2</v>
      </c>
      <c r="BM9" s="69">
        <v>0.47877495178250401</v>
      </c>
      <c r="BN9" s="69">
        <v>0.74175717066347202</v>
      </c>
      <c r="BO9" s="69">
        <v>7.8217002924605497E-3</v>
      </c>
      <c r="BP9" s="69">
        <v>0.46041648465623197</v>
      </c>
      <c r="BQ9" s="70">
        <v>0</v>
      </c>
      <c r="BR9" s="71">
        <v>2338.1974343217398</v>
      </c>
      <c r="BS9" s="72">
        <v>0</v>
      </c>
      <c r="BT9" s="73">
        <v>2.5132103051972499E-3</v>
      </c>
      <c r="BU9" s="73">
        <v>0</v>
      </c>
      <c r="BV9" s="73">
        <v>38.158078702964097</v>
      </c>
      <c r="BW9" s="73">
        <v>0.67334715131224399</v>
      </c>
      <c r="BX9" s="74">
        <v>0</v>
      </c>
      <c r="BY9" s="71">
        <v>38.8339390645815</v>
      </c>
      <c r="BZ9" s="75">
        <v>2377.03137338632</v>
      </c>
    </row>
    <row r="10" spans="1:78" ht="15" customHeight="1" x14ac:dyDescent="0.3">
      <c r="A10" s="19" t="s">
        <v>28</v>
      </c>
      <c r="B10" s="11" t="s">
        <v>96</v>
      </c>
      <c r="C10" s="68">
        <v>8.1490093029168094</v>
      </c>
      <c r="D10" s="69">
        <v>5.8187968364170297</v>
      </c>
      <c r="E10" s="69">
        <v>0.27463354826495601</v>
      </c>
      <c r="F10" s="69">
        <v>0.123130699312132</v>
      </c>
      <c r="G10" s="69">
        <v>132.98310212269601</v>
      </c>
      <c r="H10" s="69">
        <v>58.5583801380794</v>
      </c>
      <c r="I10" s="69">
        <v>3.15729292754459</v>
      </c>
      <c r="J10" s="69">
        <v>0.111028399252092</v>
      </c>
      <c r="K10" s="69">
        <v>2.0963729975190699E-2</v>
      </c>
      <c r="L10" s="69">
        <v>8.2768536076418293</v>
      </c>
      <c r="M10" s="69">
        <v>1.8459369502193299</v>
      </c>
      <c r="N10" s="69">
        <v>0</v>
      </c>
      <c r="O10" s="69">
        <v>1.78521431503101</v>
      </c>
      <c r="P10" s="69">
        <v>9.4914968189816502E-3</v>
      </c>
      <c r="Q10" s="69">
        <v>0.208551723266971</v>
      </c>
      <c r="R10" s="69">
        <v>9.5315952441224705E-2</v>
      </c>
      <c r="S10" s="69">
        <v>10.444763413823599</v>
      </c>
      <c r="T10" s="69">
        <v>2.2549661676029498E-2</v>
      </c>
      <c r="U10" s="69">
        <v>3070.0732897534399</v>
      </c>
      <c r="V10" s="69">
        <v>3.28320356930158E-2</v>
      </c>
      <c r="W10" s="69">
        <v>26.729669347098302</v>
      </c>
      <c r="X10" s="69">
        <v>2.0299421429942299</v>
      </c>
      <c r="Y10" s="69">
        <v>0.64844261976971995</v>
      </c>
      <c r="Z10" s="69">
        <v>1.94471561401495E-2</v>
      </c>
      <c r="AA10" s="69">
        <v>3.7861436016916499</v>
      </c>
      <c r="AB10" s="69">
        <v>13.233901732553401</v>
      </c>
      <c r="AC10" s="69">
        <v>12.021180871610699</v>
      </c>
      <c r="AD10" s="69">
        <v>5.1943247772911301</v>
      </c>
      <c r="AE10" s="69">
        <v>4.6095199455450597</v>
      </c>
      <c r="AF10" s="69">
        <v>2.5212948559647699E-2</v>
      </c>
      <c r="AG10" s="69">
        <v>1.7482602305433299</v>
      </c>
      <c r="AH10" s="69">
        <v>10.431399544117401</v>
      </c>
      <c r="AI10" s="69">
        <v>0.79605677604995895</v>
      </c>
      <c r="AJ10" s="69">
        <v>2.5521557214566699</v>
      </c>
      <c r="AK10" s="69">
        <v>0.15356476616779499</v>
      </c>
      <c r="AL10" s="69">
        <v>0.180914031529092</v>
      </c>
      <c r="AM10" s="69">
        <v>4.9458920136004103</v>
      </c>
      <c r="AN10" s="69">
        <v>268.48397044688301</v>
      </c>
      <c r="AO10" s="69">
        <v>72.231467112068401</v>
      </c>
      <c r="AP10" s="69">
        <v>96.507289991163603</v>
      </c>
      <c r="AQ10" s="69">
        <v>12.212483300378899</v>
      </c>
      <c r="AR10" s="69">
        <v>16.566166548955501</v>
      </c>
      <c r="AS10" s="69">
        <v>0.35374014221442601</v>
      </c>
      <c r="AT10" s="69">
        <v>4.9880334909059897E-3</v>
      </c>
      <c r="AU10" s="69">
        <v>6.4395136122763397</v>
      </c>
      <c r="AV10" s="69">
        <v>3.9594444229220198E-2</v>
      </c>
      <c r="AW10" s="69">
        <v>6.1037074017315804</v>
      </c>
      <c r="AX10" s="69">
        <v>9.9994647961535003E-3</v>
      </c>
      <c r="AY10" s="69">
        <v>3.2914755754276802E-3</v>
      </c>
      <c r="AZ10" s="69">
        <v>8.6839238863963608</v>
      </c>
      <c r="BA10" s="69">
        <v>9.0796500086722104E-2</v>
      </c>
      <c r="BB10" s="69">
        <v>1.35702749693159E-2</v>
      </c>
      <c r="BC10" s="69">
        <v>0.20641041635027099</v>
      </c>
      <c r="BD10" s="69">
        <v>0.159554398297656</v>
      </c>
      <c r="BE10" s="69">
        <v>0.83486971252705799</v>
      </c>
      <c r="BF10" s="69">
        <v>0.294440197083781</v>
      </c>
      <c r="BG10" s="69">
        <v>1.38831929234198</v>
      </c>
      <c r="BH10" s="69">
        <v>1.69932408798416</v>
      </c>
      <c r="BI10" s="69">
        <v>8.16064523509606E-3</v>
      </c>
      <c r="BJ10" s="69">
        <v>152.57745172747499</v>
      </c>
      <c r="BK10" s="69">
        <v>0.22844463934963299</v>
      </c>
      <c r="BL10" s="69">
        <v>3.82938353764226E-2</v>
      </c>
      <c r="BM10" s="69">
        <v>0.21958276770039001</v>
      </c>
      <c r="BN10" s="69">
        <v>0.196017530771014</v>
      </c>
      <c r="BO10" s="69">
        <v>8.4374911360092397E-2</v>
      </c>
      <c r="BP10" s="69">
        <v>2.2625397429514398</v>
      </c>
      <c r="BQ10" s="70">
        <v>0</v>
      </c>
      <c r="BR10" s="71">
        <v>4039.0394513812498</v>
      </c>
      <c r="BS10" s="72">
        <v>1.1031352585183E-2</v>
      </c>
      <c r="BT10" s="73">
        <v>0</v>
      </c>
      <c r="BU10" s="73">
        <v>0</v>
      </c>
      <c r="BV10" s="73">
        <v>157.61984053825</v>
      </c>
      <c r="BW10" s="73">
        <v>2317.5962459942798</v>
      </c>
      <c r="BX10" s="74">
        <v>0</v>
      </c>
      <c r="BY10" s="71">
        <v>2475.2271178851202</v>
      </c>
      <c r="BZ10" s="75">
        <v>6514.2665692663704</v>
      </c>
    </row>
    <row r="11" spans="1:78" ht="15" customHeight="1" x14ac:dyDescent="0.3">
      <c r="A11" s="19" t="s">
        <v>29</v>
      </c>
      <c r="B11" s="11" t="s">
        <v>97</v>
      </c>
      <c r="C11" s="68">
        <v>4.8551697759322996E-3</v>
      </c>
      <c r="D11" s="69">
        <v>3.6405871131285197E-2</v>
      </c>
      <c r="E11" s="69">
        <v>0</v>
      </c>
      <c r="F11" s="69">
        <v>1.08114690039513E-2</v>
      </c>
      <c r="G11" s="69">
        <v>1.71675222501838</v>
      </c>
      <c r="H11" s="69">
        <v>99.615893640048199</v>
      </c>
      <c r="I11" s="69">
        <v>0.79046819436603</v>
      </c>
      <c r="J11" s="69">
        <v>7.8023530912959202E-2</v>
      </c>
      <c r="K11" s="69">
        <v>0</v>
      </c>
      <c r="L11" s="69">
        <v>0.17496308938931401</v>
      </c>
      <c r="M11" s="69">
        <v>9.3576839872879496E-3</v>
      </c>
      <c r="N11" s="69">
        <v>0</v>
      </c>
      <c r="O11" s="69">
        <v>7.1196944673601403E-5</v>
      </c>
      <c r="P11" s="69">
        <v>7.2093267860685403E-5</v>
      </c>
      <c r="Q11" s="69">
        <v>0</v>
      </c>
      <c r="R11" s="69">
        <v>1.9350833965758599E-2</v>
      </c>
      <c r="S11" s="69">
        <v>5.5572567863532402E-2</v>
      </c>
      <c r="T11" s="69">
        <v>0.15863771059234899</v>
      </c>
      <c r="U11" s="69">
        <v>0</v>
      </c>
      <c r="V11" s="69">
        <v>0</v>
      </c>
      <c r="W11" s="69">
        <v>1.0062366705906E-2</v>
      </c>
      <c r="X11" s="69">
        <v>2.6126426926775099E-2</v>
      </c>
      <c r="Y11" s="69">
        <v>7.7152871771343796E-3</v>
      </c>
      <c r="Z11" s="69">
        <v>1.9043702746248899E-2</v>
      </c>
      <c r="AA11" s="69">
        <v>4.41910167214494E-2</v>
      </c>
      <c r="AB11" s="69">
        <v>5.8814577292630998</v>
      </c>
      <c r="AC11" s="69">
        <v>699.23653896154997</v>
      </c>
      <c r="AD11" s="69">
        <v>5.9286184668139699</v>
      </c>
      <c r="AE11" s="69">
        <v>0.68318422165776604</v>
      </c>
      <c r="AF11" s="69">
        <v>3.04501124205422E-2</v>
      </c>
      <c r="AG11" s="69">
        <v>1.38659296892148</v>
      </c>
      <c r="AH11" s="69">
        <v>4.23067564569034</v>
      </c>
      <c r="AI11" s="69">
        <v>0.33427653928324902</v>
      </c>
      <c r="AJ11" s="69">
        <v>0.50102341679884699</v>
      </c>
      <c r="AK11" s="69">
        <v>0.17684516033002501</v>
      </c>
      <c r="AL11" s="69">
        <v>0.58726467590554299</v>
      </c>
      <c r="AM11" s="69">
        <v>1.8714313658905199</v>
      </c>
      <c r="AN11" s="69">
        <v>4.8320429332358601E-3</v>
      </c>
      <c r="AO11" s="69">
        <v>0.97241903280202702</v>
      </c>
      <c r="AP11" s="69">
        <v>10.810965147038701</v>
      </c>
      <c r="AQ11" s="69">
        <v>0.23452917059846601</v>
      </c>
      <c r="AR11" s="69">
        <v>5.3228984723761301E-2</v>
      </c>
      <c r="AS11" s="69">
        <v>4.1069872449554498E-2</v>
      </c>
      <c r="AT11" s="69">
        <v>0</v>
      </c>
      <c r="AU11" s="69">
        <v>0.35766733092868802</v>
      </c>
      <c r="AV11" s="69">
        <v>1.32894067104549E-2</v>
      </c>
      <c r="AW11" s="69">
        <v>9.3209064034341205E-2</v>
      </c>
      <c r="AX11" s="69">
        <v>4.3055626927108202E-5</v>
      </c>
      <c r="AY11" s="69">
        <v>0</v>
      </c>
      <c r="AZ11" s="69">
        <v>0.80654517213598398</v>
      </c>
      <c r="BA11" s="69">
        <v>9.7086861928749103E-4</v>
      </c>
      <c r="BB11" s="69">
        <v>0.14778802522606099</v>
      </c>
      <c r="BC11" s="69">
        <v>0.27370665833652502</v>
      </c>
      <c r="BD11" s="69">
        <v>4.7865551641583098E-2</v>
      </c>
      <c r="BE11" s="69">
        <v>0.27056669619210999</v>
      </c>
      <c r="BF11" s="69">
        <v>8.01714321634786E-4</v>
      </c>
      <c r="BG11" s="69">
        <v>1.8319653006972499E-3</v>
      </c>
      <c r="BH11" s="69">
        <v>0.81456620374175304</v>
      </c>
      <c r="BI11" s="69">
        <v>0</v>
      </c>
      <c r="BJ11" s="69">
        <v>2.4595754124473799</v>
      </c>
      <c r="BK11" s="69">
        <v>6.7430118768992797E-2</v>
      </c>
      <c r="BL11" s="69">
        <v>6.7656952961877399E-4</v>
      </c>
      <c r="BM11" s="69">
        <v>0.59303528768510305</v>
      </c>
      <c r="BN11" s="69">
        <v>9.5869682836309999E-4</v>
      </c>
      <c r="BO11" s="69">
        <v>2.8971499309445099E-2</v>
      </c>
      <c r="BP11" s="69">
        <v>1.2870552334594901E-2</v>
      </c>
      <c r="BQ11" s="70">
        <v>0</v>
      </c>
      <c r="BR11" s="71">
        <v>841.73614744133499</v>
      </c>
      <c r="BS11" s="72">
        <v>0</v>
      </c>
      <c r="BT11" s="73">
        <v>0</v>
      </c>
      <c r="BU11" s="73">
        <v>0</v>
      </c>
      <c r="BV11" s="73">
        <v>3.0003311462259501</v>
      </c>
      <c r="BW11" s="73">
        <v>65.500130530252306</v>
      </c>
      <c r="BX11" s="74">
        <v>0</v>
      </c>
      <c r="BY11" s="71">
        <v>68.500461676478196</v>
      </c>
      <c r="BZ11" s="75">
        <v>910.23660911781406</v>
      </c>
    </row>
    <row r="12" spans="1:78" ht="15" customHeight="1" x14ac:dyDescent="0.3">
      <c r="A12" s="19" t="s">
        <v>30</v>
      </c>
      <c r="B12" s="11" t="s">
        <v>98</v>
      </c>
      <c r="C12" s="68">
        <v>0.39485385703436499</v>
      </c>
      <c r="D12" s="69">
        <v>0.17772474686949</v>
      </c>
      <c r="E12" s="69">
        <v>5.28948355398688E-3</v>
      </c>
      <c r="F12" s="69">
        <v>3.65865458888404E-3</v>
      </c>
      <c r="G12" s="69">
        <v>2.5366723959141599</v>
      </c>
      <c r="H12" s="69">
        <v>1.9489291137656201E-2</v>
      </c>
      <c r="I12" s="69">
        <v>70.079035239165705</v>
      </c>
      <c r="J12" s="69">
        <v>0.58190257313572302</v>
      </c>
      <c r="K12" s="69">
        <v>7.1127110297302901E-3</v>
      </c>
      <c r="L12" s="69">
        <v>1.6126917437205901</v>
      </c>
      <c r="M12" s="69">
        <v>6.2591508400068593E-2</v>
      </c>
      <c r="N12" s="69">
        <v>1.26015381743516E-5</v>
      </c>
      <c r="O12" s="69">
        <v>3.6864572091855701E-3</v>
      </c>
      <c r="P12" s="69">
        <v>5.8177745110962299E-5</v>
      </c>
      <c r="Q12" s="69">
        <v>2.15208310081466E-3</v>
      </c>
      <c r="R12" s="69">
        <v>1.6273573722043699E-4</v>
      </c>
      <c r="S12" s="69">
        <v>0.56313555387709702</v>
      </c>
      <c r="T12" s="69">
        <v>1.40347715724054</v>
      </c>
      <c r="U12" s="69">
        <v>4.9386373539499399E-5</v>
      </c>
      <c r="V12" s="69">
        <v>5.709792678185E-5</v>
      </c>
      <c r="W12" s="69">
        <v>0.59752923044194295</v>
      </c>
      <c r="X12" s="69">
        <v>0.29333034826044102</v>
      </c>
      <c r="Y12" s="69">
        <v>2.64688838597474E-2</v>
      </c>
      <c r="Z12" s="69">
        <v>4.5957029270464996E-3</v>
      </c>
      <c r="AA12" s="69">
        <v>0.25231617679783802</v>
      </c>
      <c r="AB12" s="69">
        <v>3.43761740835554</v>
      </c>
      <c r="AC12" s="69">
        <v>127.174949474549</v>
      </c>
      <c r="AD12" s="69">
        <v>389.74249346911699</v>
      </c>
      <c r="AE12" s="69">
        <v>6.0567455905239296</v>
      </c>
      <c r="AF12" s="69">
        <v>0.21902033279362501</v>
      </c>
      <c r="AG12" s="69">
        <v>11.606823914322501</v>
      </c>
      <c r="AH12" s="69">
        <v>1.93250716378857</v>
      </c>
      <c r="AI12" s="69">
        <v>0.94050519557982704</v>
      </c>
      <c r="AJ12" s="69">
        <v>4.26363945906383</v>
      </c>
      <c r="AK12" s="69">
        <v>1.0857537435307201</v>
      </c>
      <c r="AL12" s="69">
        <v>5.2154594225867204</v>
      </c>
      <c r="AM12" s="69">
        <v>0.81431795618087299</v>
      </c>
      <c r="AN12" s="69">
        <v>6.1715548796496596E-3</v>
      </c>
      <c r="AO12" s="69">
        <v>0.24387910470446</v>
      </c>
      <c r="AP12" s="69">
        <v>21.162771249745202</v>
      </c>
      <c r="AQ12" s="69">
        <v>3.0553727880118502E-2</v>
      </c>
      <c r="AR12" s="69">
        <v>9.0933149115625096E-4</v>
      </c>
      <c r="AS12" s="69">
        <v>2.5351773117009E-4</v>
      </c>
      <c r="AT12" s="69">
        <v>0</v>
      </c>
      <c r="AU12" s="69">
        <v>3.5023932242188798E-4</v>
      </c>
      <c r="AV12" s="69">
        <v>8.2198939769831496E-3</v>
      </c>
      <c r="AW12" s="69">
        <v>3.6215012317724803E-2</v>
      </c>
      <c r="AX12" s="69">
        <v>2.4297681855776801E-5</v>
      </c>
      <c r="AY12" s="69">
        <v>4.06447206339162E-5</v>
      </c>
      <c r="AZ12" s="69">
        <v>5.4571870493046702E-4</v>
      </c>
      <c r="BA12" s="69">
        <v>3.1552756230773198E-5</v>
      </c>
      <c r="BB12" s="69">
        <v>8.4444515112096705E-6</v>
      </c>
      <c r="BC12" s="69">
        <v>0.31263041332475799</v>
      </c>
      <c r="BD12" s="69">
        <v>2.56578072993932E-5</v>
      </c>
      <c r="BE12" s="69">
        <v>5.6966671066048802E-3</v>
      </c>
      <c r="BF12" s="69">
        <v>3.1667546911723999E-4</v>
      </c>
      <c r="BG12" s="69">
        <v>1.2179920318608299E-4</v>
      </c>
      <c r="BH12" s="69">
        <v>1.58520054636382E-2</v>
      </c>
      <c r="BI12" s="69">
        <v>2.2333963015014301E-5</v>
      </c>
      <c r="BJ12" s="69">
        <v>5.7551863632977297E-2</v>
      </c>
      <c r="BK12" s="69">
        <v>3.8700843262772502E-3</v>
      </c>
      <c r="BL12" s="69">
        <v>0</v>
      </c>
      <c r="BM12" s="69">
        <v>1.55104543976367E-2</v>
      </c>
      <c r="BN12" s="69">
        <v>4.4242422209662201E-2</v>
      </c>
      <c r="BO12" s="69">
        <v>2.15252615694119E-5</v>
      </c>
      <c r="BP12" s="69">
        <v>2.4055284539631901E-2</v>
      </c>
      <c r="BQ12" s="70">
        <v>0</v>
      </c>
      <c r="BR12" s="71">
        <v>653.08777840504695</v>
      </c>
      <c r="BS12" s="72">
        <v>0</v>
      </c>
      <c r="BT12" s="73">
        <v>0</v>
      </c>
      <c r="BU12" s="73">
        <v>0</v>
      </c>
      <c r="BV12" s="73">
        <v>0.91573219741548095</v>
      </c>
      <c r="BW12" s="73">
        <v>4.7118958386856001E-2</v>
      </c>
      <c r="BX12" s="74">
        <v>0</v>
      </c>
      <c r="BY12" s="71">
        <v>0.96285115580233704</v>
      </c>
      <c r="BZ12" s="75">
        <v>654.05062956084896</v>
      </c>
    </row>
    <row r="13" spans="1:78" ht="15" customHeight="1" x14ac:dyDescent="0.3">
      <c r="A13" s="19" t="s">
        <v>31</v>
      </c>
      <c r="B13" s="11" t="s">
        <v>99</v>
      </c>
      <c r="C13" s="68">
        <v>4.4783006331144701</v>
      </c>
      <c r="D13" s="69">
        <v>256.39294557554899</v>
      </c>
      <c r="E13" s="69">
        <v>3.53930142701169</v>
      </c>
      <c r="F13" s="69">
        <v>1.7951975490268299</v>
      </c>
      <c r="G13" s="69">
        <v>1.27473067386184</v>
      </c>
      <c r="H13" s="69">
        <v>1.12000028590996</v>
      </c>
      <c r="I13" s="69">
        <v>0.195697539226735</v>
      </c>
      <c r="J13" s="69">
        <v>1084.82851412133</v>
      </c>
      <c r="K13" s="69">
        <v>2.7672685880880898E-2</v>
      </c>
      <c r="L13" s="69">
        <v>211.95002722170901</v>
      </c>
      <c r="M13" s="69">
        <v>4.6792737381035696</v>
      </c>
      <c r="N13" s="69">
        <v>6.0739414000374799E-3</v>
      </c>
      <c r="O13" s="69">
        <v>0.54257819612664004</v>
      </c>
      <c r="P13" s="69">
        <v>0.22094669370026501</v>
      </c>
      <c r="Q13" s="69">
        <v>68.075521327232593</v>
      </c>
      <c r="R13" s="69">
        <v>0.71400177930791697</v>
      </c>
      <c r="S13" s="69">
        <v>1.51060081882577</v>
      </c>
      <c r="T13" s="69">
        <v>8.2982611970445402E-2</v>
      </c>
      <c r="U13" s="69">
        <v>0.23091479600838299</v>
      </c>
      <c r="V13" s="69">
        <v>26.413808644642199</v>
      </c>
      <c r="W13" s="69">
        <v>6.61224418151828</v>
      </c>
      <c r="X13" s="69">
        <v>5.4247853721564496</v>
      </c>
      <c r="Y13" s="69">
        <v>163.423655580277</v>
      </c>
      <c r="Z13" s="69">
        <v>1.8264635286070701</v>
      </c>
      <c r="AA13" s="69">
        <v>1.5568105784133399</v>
      </c>
      <c r="AB13" s="69">
        <v>0.36124248019796701</v>
      </c>
      <c r="AC13" s="69">
        <v>0.56345223033412795</v>
      </c>
      <c r="AD13" s="69">
        <v>0.23959301043099299</v>
      </c>
      <c r="AE13" s="69">
        <v>1.1294254208262899</v>
      </c>
      <c r="AF13" s="69">
        <v>0.101832786290354</v>
      </c>
      <c r="AG13" s="69">
        <v>0.329685763679545</v>
      </c>
      <c r="AH13" s="69">
        <v>0.95995019600556697</v>
      </c>
      <c r="AI13" s="69">
        <v>0.41657790256884802</v>
      </c>
      <c r="AJ13" s="69">
        <v>0.17640308673171801</v>
      </c>
      <c r="AK13" s="69">
        <v>9.7000222206322997E-2</v>
      </c>
      <c r="AL13" s="69">
        <v>0.47451453565743001</v>
      </c>
      <c r="AM13" s="69">
        <v>0.50092608332840305</v>
      </c>
      <c r="AN13" s="69">
        <v>0.26438967015484199</v>
      </c>
      <c r="AO13" s="69">
        <v>0.302171890440389</v>
      </c>
      <c r="AP13" s="69">
        <v>4.4765439827639204</v>
      </c>
      <c r="AQ13" s="69">
        <v>27.666129914088199</v>
      </c>
      <c r="AR13" s="69">
        <v>0.50670349956182503</v>
      </c>
      <c r="AS13" s="69">
        <v>1.6705810213008401E-2</v>
      </c>
      <c r="AT13" s="69">
        <v>1.9677848351544701E-2</v>
      </c>
      <c r="AU13" s="69">
        <v>9.5218550003037902E-2</v>
      </c>
      <c r="AV13" s="69">
        <v>29.401307388009901</v>
      </c>
      <c r="AW13" s="69">
        <v>1632.4436277350301</v>
      </c>
      <c r="AX13" s="69">
        <v>1.3824705659150199E-2</v>
      </c>
      <c r="AY13" s="69">
        <v>2.91059529883393E-2</v>
      </c>
      <c r="AZ13" s="69">
        <v>0.107911662340444</v>
      </c>
      <c r="BA13" s="69">
        <v>7.63240903725068E-2</v>
      </c>
      <c r="BB13" s="69">
        <v>0.20833117147365501</v>
      </c>
      <c r="BC13" s="69">
        <v>0.18682982392864</v>
      </c>
      <c r="BD13" s="69">
        <v>0.21798616114883099</v>
      </c>
      <c r="BE13" s="69">
        <v>0.26185120373219201</v>
      </c>
      <c r="BF13" s="69">
        <v>0.46276867361544</v>
      </c>
      <c r="BG13" s="69">
        <v>0.27188414834970198</v>
      </c>
      <c r="BH13" s="69">
        <v>0.53891182987795705</v>
      </c>
      <c r="BI13" s="69">
        <v>5.0811085279128303E-2</v>
      </c>
      <c r="BJ13" s="69">
        <v>172.21377196206899</v>
      </c>
      <c r="BK13" s="69">
        <v>83.764659294767497</v>
      </c>
      <c r="BL13" s="69">
        <v>48.387987331232999</v>
      </c>
      <c r="BM13" s="69">
        <v>114.596854358836</v>
      </c>
      <c r="BN13" s="69">
        <v>164.94871640601701</v>
      </c>
      <c r="BO13" s="69">
        <v>0.27936835247966402</v>
      </c>
      <c r="BP13" s="69">
        <v>44.751031561201998</v>
      </c>
      <c r="BQ13" s="70">
        <v>0</v>
      </c>
      <c r="BR13" s="71">
        <v>4178.8350592831603</v>
      </c>
      <c r="BS13" s="72">
        <v>7.1392240042209301E-2</v>
      </c>
      <c r="BT13" s="73">
        <v>7.5796762211024999</v>
      </c>
      <c r="BU13" s="73">
        <v>0</v>
      </c>
      <c r="BV13" s="73">
        <v>44326.071477784397</v>
      </c>
      <c r="BW13" s="73">
        <v>0.91750503661695604</v>
      </c>
      <c r="BX13" s="74">
        <v>0</v>
      </c>
      <c r="BY13" s="71">
        <v>44334.640051282098</v>
      </c>
      <c r="BZ13" s="75">
        <v>48513.475110565298</v>
      </c>
    </row>
    <row r="14" spans="1:78" ht="15" customHeight="1" x14ac:dyDescent="0.3">
      <c r="A14" s="19" t="s">
        <v>32</v>
      </c>
      <c r="B14" s="11" t="s">
        <v>100</v>
      </c>
      <c r="C14" s="68">
        <v>13.7994120787487</v>
      </c>
      <c r="D14" s="69">
        <v>22.7539417515415</v>
      </c>
      <c r="E14" s="69">
        <v>0.88332445516365199</v>
      </c>
      <c r="F14" s="69">
        <v>3.88247380754679E-2</v>
      </c>
      <c r="G14" s="69">
        <v>30.465509869757</v>
      </c>
      <c r="H14" s="69">
        <v>6.3030455138111803</v>
      </c>
      <c r="I14" s="69">
        <v>0.631039167237474</v>
      </c>
      <c r="J14" s="69">
        <v>13.540922063019</v>
      </c>
      <c r="K14" s="69">
        <v>20.279964168308801</v>
      </c>
      <c r="L14" s="69">
        <v>87.008293249479294</v>
      </c>
      <c r="M14" s="69">
        <v>7.7890612051716603</v>
      </c>
      <c r="N14" s="69">
        <v>1.2496525356232001E-3</v>
      </c>
      <c r="O14" s="69">
        <v>5.86548805836167E-3</v>
      </c>
      <c r="P14" s="69">
        <v>7.3697636033443203E-3</v>
      </c>
      <c r="Q14" s="69">
        <v>5.5770748666344998E-3</v>
      </c>
      <c r="R14" s="69">
        <v>7.1901011984328994E-2</v>
      </c>
      <c r="S14" s="69">
        <v>6.3637572989887606E-2</v>
      </c>
      <c r="T14" s="69">
        <v>0</v>
      </c>
      <c r="U14" s="69">
        <v>1004.8029790079401</v>
      </c>
      <c r="V14" s="69">
        <v>41.189823912373299</v>
      </c>
      <c r="W14" s="69">
        <v>24.5491959790164</v>
      </c>
      <c r="X14" s="69">
        <v>15.5800616091294</v>
      </c>
      <c r="Y14" s="69">
        <v>61.560963602069698</v>
      </c>
      <c r="Z14" s="69">
        <v>28.1139902157629</v>
      </c>
      <c r="AA14" s="69">
        <v>7.9920955619794495E-2</v>
      </c>
      <c r="AB14" s="69">
        <v>1.3742049047561E-2</v>
      </c>
      <c r="AC14" s="69">
        <v>1.13343285977918E-2</v>
      </c>
      <c r="AD14" s="69">
        <v>3.4419440708590099E-2</v>
      </c>
      <c r="AE14" s="69">
        <v>1.9553241095876299</v>
      </c>
      <c r="AF14" s="69">
        <v>2.9755043859203901E-2</v>
      </c>
      <c r="AG14" s="69">
        <v>0.246729599360866</v>
      </c>
      <c r="AH14" s="69">
        <v>14.098005921947699</v>
      </c>
      <c r="AI14" s="69">
        <v>1.8803062861631099</v>
      </c>
      <c r="AJ14" s="69">
        <v>3.7263028130798202E-2</v>
      </c>
      <c r="AK14" s="69">
        <v>0.19143791979767</v>
      </c>
      <c r="AL14" s="69">
        <v>5.6101639212516796E-3</v>
      </c>
      <c r="AM14" s="69">
        <v>6.22596826438504</v>
      </c>
      <c r="AN14" s="69">
        <v>1.0665344729199E-2</v>
      </c>
      <c r="AO14" s="69">
        <v>7.6282543237954803E-2</v>
      </c>
      <c r="AP14" s="69">
        <v>87.515449010643096</v>
      </c>
      <c r="AQ14" s="69">
        <v>92.803028076386298</v>
      </c>
      <c r="AR14" s="69">
        <v>97.282726374940907</v>
      </c>
      <c r="AS14" s="69">
        <v>0.14349103584227099</v>
      </c>
      <c r="AT14" s="69">
        <v>5.7289574028817203</v>
      </c>
      <c r="AU14" s="69">
        <v>4.7632117278287804</v>
      </c>
      <c r="AV14" s="69">
        <v>6.15191227399009E-2</v>
      </c>
      <c r="AW14" s="69">
        <v>73.314797757080598</v>
      </c>
      <c r="AX14" s="69">
        <v>8.7412151143170004E-3</v>
      </c>
      <c r="AY14" s="69">
        <v>4.71234874121862E-2</v>
      </c>
      <c r="AZ14" s="69">
        <v>0.10781033519810999</v>
      </c>
      <c r="BA14" s="69">
        <v>20.420872273363099</v>
      </c>
      <c r="BB14" s="69">
        <v>25.235102045045199</v>
      </c>
      <c r="BC14" s="69">
        <v>4.6704768540945601E-2</v>
      </c>
      <c r="BD14" s="69">
        <v>26.891797958598701</v>
      </c>
      <c r="BE14" s="69">
        <v>34.032122171214098</v>
      </c>
      <c r="BF14" s="69">
        <v>14.6676904315034</v>
      </c>
      <c r="BG14" s="69">
        <v>34.333209724026503</v>
      </c>
      <c r="BH14" s="69">
        <v>43.134553255563603</v>
      </c>
      <c r="BI14" s="69">
        <v>16.1388761761952</v>
      </c>
      <c r="BJ14" s="69">
        <v>42.623621217509601</v>
      </c>
      <c r="BK14" s="69">
        <v>7.2321215584685703</v>
      </c>
      <c r="BL14" s="69">
        <v>1.78807174938443</v>
      </c>
      <c r="BM14" s="69">
        <v>7.1753002175001699</v>
      </c>
      <c r="BN14" s="69">
        <v>22.416318601202899</v>
      </c>
      <c r="BO14" s="69">
        <v>0.22730927131053999</v>
      </c>
      <c r="BP14" s="69">
        <v>34.954702841532701</v>
      </c>
      <c r="BQ14" s="70">
        <v>0</v>
      </c>
      <c r="BR14" s="71">
        <v>2097.4379479567601</v>
      </c>
      <c r="BS14" s="72">
        <v>0</v>
      </c>
      <c r="BT14" s="73">
        <v>3.2530810642644099E-3</v>
      </c>
      <c r="BU14" s="73">
        <v>0</v>
      </c>
      <c r="BV14" s="73">
        <v>5458.8600707134901</v>
      </c>
      <c r="BW14" s="73">
        <v>26.669330446960501</v>
      </c>
      <c r="BX14" s="74">
        <v>0</v>
      </c>
      <c r="BY14" s="71">
        <v>5485.5326542415096</v>
      </c>
      <c r="BZ14" s="75">
        <v>7582.9706021982802</v>
      </c>
    </row>
    <row r="15" spans="1:78" ht="15" customHeight="1" x14ac:dyDescent="0.3">
      <c r="A15" s="19" t="s">
        <v>33</v>
      </c>
      <c r="B15" s="11" t="s">
        <v>101</v>
      </c>
      <c r="C15" s="68">
        <v>276.633976406795</v>
      </c>
      <c r="D15" s="69">
        <v>2170.0596848748701</v>
      </c>
      <c r="E15" s="69">
        <v>169.87651932886001</v>
      </c>
      <c r="F15" s="69">
        <v>30.633808500813899</v>
      </c>
      <c r="G15" s="69">
        <v>23.803744214418099</v>
      </c>
      <c r="H15" s="69">
        <v>11.811356024321</v>
      </c>
      <c r="I15" s="69">
        <v>2.4377356203766101</v>
      </c>
      <c r="J15" s="69">
        <v>1812.4547654933201</v>
      </c>
      <c r="K15" s="69">
        <v>2.01181263520396</v>
      </c>
      <c r="L15" s="69">
        <v>2355.8070966456498</v>
      </c>
      <c r="M15" s="69">
        <v>172.611682979835</v>
      </c>
      <c r="N15" s="69">
        <v>4.4116004224676798E-2</v>
      </c>
      <c r="O15" s="69">
        <v>4.8628668749638102</v>
      </c>
      <c r="P15" s="69">
        <v>2.4856602807111399</v>
      </c>
      <c r="Q15" s="69">
        <v>2.8651337459578698</v>
      </c>
      <c r="R15" s="69">
        <v>9.9503289789853007</v>
      </c>
      <c r="S15" s="69">
        <v>70.875683596657595</v>
      </c>
      <c r="T15" s="69">
        <v>1.4787602471021</v>
      </c>
      <c r="U15" s="69">
        <v>361.30389857687697</v>
      </c>
      <c r="V15" s="69">
        <v>110.590722843374</v>
      </c>
      <c r="W15" s="69">
        <v>75.975927601270996</v>
      </c>
      <c r="X15" s="69">
        <v>88.1008103100569</v>
      </c>
      <c r="Y15" s="69">
        <v>75.156334121293597</v>
      </c>
      <c r="Z15" s="69">
        <v>24.671970885012801</v>
      </c>
      <c r="AA15" s="69">
        <v>16.062261428571102</v>
      </c>
      <c r="AB15" s="69">
        <v>6.3942576354364098</v>
      </c>
      <c r="AC15" s="69">
        <v>7.4304684083071599</v>
      </c>
      <c r="AD15" s="69">
        <v>2.2511821999714399</v>
      </c>
      <c r="AE15" s="69">
        <v>12.835817239989399</v>
      </c>
      <c r="AF15" s="69">
        <v>0.46922227092487001</v>
      </c>
      <c r="AG15" s="69">
        <v>2.7729175633024901</v>
      </c>
      <c r="AH15" s="69">
        <v>7.6142661074706499</v>
      </c>
      <c r="AI15" s="69">
        <v>3.6838903655888098</v>
      </c>
      <c r="AJ15" s="69">
        <v>2.5491312584440098</v>
      </c>
      <c r="AK15" s="69">
        <v>0.63081135034470404</v>
      </c>
      <c r="AL15" s="69">
        <v>5.2575784287448899</v>
      </c>
      <c r="AM15" s="69">
        <v>4.7371622356352496</v>
      </c>
      <c r="AN15" s="69">
        <v>1.30486782860715</v>
      </c>
      <c r="AO15" s="69">
        <v>3.5226831916449499</v>
      </c>
      <c r="AP15" s="69">
        <v>75.286288908699504</v>
      </c>
      <c r="AQ15" s="69">
        <v>277.49645329331798</v>
      </c>
      <c r="AR15" s="69">
        <v>36.760842400176898</v>
      </c>
      <c r="AS15" s="69">
        <v>0.22794855501452899</v>
      </c>
      <c r="AT15" s="69">
        <v>3.65454623172602</v>
      </c>
      <c r="AU15" s="69">
        <v>2.5642312603675301</v>
      </c>
      <c r="AV15" s="69">
        <v>11.947060737308901</v>
      </c>
      <c r="AW15" s="69">
        <v>1259.3824160439599</v>
      </c>
      <c r="AX15" s="69">
        <v>0.23350258226398901</v>
      </c>
      <c r="AY15" s="69">
        <v>0.212980612445859</v>
      </c>
      <c r="AZ15" s="69">
        <v>0.44068520143179302</v>
      </c>
      <c r="BA15" s="69">
        <v>8.03988395380863</v>
      </c>
      <c r="BB15" s="69">
        <v>18.152614484914</v>
      </c>
      <c r="BC15" s="69">
        <v>2.8865435023777701</v>
      </c>
      <c r="BD15" s="69">
        <v>13.794036155032201</v>
      </c>
      <c r="BE15" s="69">
        <v>13.817499609242599</v>
      </c>
      <c r="BF15" s="69">
        <v>17.275118502305599</v>
      </c>
      <c r="BG15" s="69">
        <v>15.0627283476946</v>
      </c>
      <c r="BH15" s="69">
        <v>21.8332665818081</v>
      </c>
      <c r="BI15" s="69">
        <v>5.9361785411669103</v>
      </c>
      <c r="BJ15" s="69">
        <v>146.55325114768399</v>
      </c>
      <c r="BK15" s="69">
        <v>94.181100014171903</v>
      </c>
      <c r="BL15" s="69">
        <v>32.8558143738043</v>
      </c>
      <c r="BM15" s="69">
        <v>193.56605076346401</v>
      </c>
      <c r="BN15" s="69">
        <v>150.16163005300899</v>
      </c>
      <c r="BO15" s="69">
        <v>8.4073726556910309</v>
      </c>
      <c r="BP15" s="69">
        <v>173.260200690033</v>
      </c>
      <c r="BQ15" s="70">
        <v>0</v>
      </c>
      <c r="BR15" s="71">
        <v>10518.011159506799</v>
      </c>
      <c r="BS15" s="72">
        <v>0.28024112539734902</v>
      </c>
      <c r="BT15" s="73">
        <v>10.7521961283281</v>
      </c>
      <c r="BU15" s="73">
        <v>0</v>
      </c>
      <c r="BV15" s="73">
        <v>45327.981452132997</v>
      </c>
      <c r="BW15" s="73">
        <v>7.56584905760469</v>
      </c>
      <c r="BX15" s="74">
        <v>0</v>
      </c>
      <c r="BY15" s="71">
        <v>45346.579738444299</v>
      </c>
      <c r="BZ15" s="75">
        <v>55864.590897951202</v>
      </c>
    </row>
    <row r="16" spans="1:78" ht="15" customHeight="1" x14ac:dyDescent="0.3">
      <c r="A16" s="19" t="s">
        <v>34</v>
      </c>
      <c r="B16" s="11" t="s">
        <v>102</v>
      </c>
      <c r="C16" s="68">
        <v>2.34642849736945</v>
      </c>
      <c r="D16" s="69">
        <v>0.77740467829002302</v>
      </c>
      <c r="E16" s="69">
        <v>4.8213103233673803E-2</v>
      </c>
      <c r="F16" s="69">
        <v>2.9041174899587499</v>
      </c>
      <c r="G16" s="69">
        <v>2.3178786760344798</v>
      </c>
      <c r="H16" s="69">
        <v>2.8560550005723</v>
      </c>
      <c r="I16" s="69">
        <v>0.42653714398050302</v>
      </c>
      <c r="J16" s="69">
        <v>51.662442588478498</v>
      </c>
      <c r="K16" s="69">
        <v>5.0992817768363001E-2</v>
      </c>
      <c r="L16" s="69">
        <v>7.2754745717049696</v>
      </c>
      <c r="M16" s="69">
        <v>1026.9412189877801</v>
      </c>
      <c r="N16" s="69">
        <v>7.1786762466556396E-3</v>
      </c>
      <c r="O16" s="69">
        <v>0.201624165333225</v>
      </c>
      <c r="P16" s="69">
        <v>6.1754126229927299E-2</v>
      </c>
      <c r="Q16" s="69">
        <v>8.5831767764240799E-2</v>
      </c>
      <c r="R16" s="69">
        <v>1.3891356511342901</v>
      </c>
      <c r="S16" s="69">
        <v>0.66622328881963799</v>
      </c>
      <c r="T16" s="69">
        <v>0.13760223982502201</v>
      </c>
      <c r="U16" s="69">
        <v>3.1897033455809698</v>
      </c>
      <c r="V16" s="69">
        <v>0.307227603120034</v>
      </c>
      <c r="W16" s="69">
        <v>1.03365573213127</v>
      </c>
      <c r="X16" s="69">
        <v>2.8673923013469902</v>
      </c>
      <c r="Y16" s="69">
        <v>1.0497788416801901</v>
      </c>
      <c r="Z16" s="69">
        <v>0.75987804645874601</v>
      </c>
      <c r="AA16" s="69">
        <v>1.1411292884106301</v>
      </c>
      <c r="AB16" s="69">
        <v>0.530520549845381</v>
      </c>
      <c r="AC16" s="69">
        <v>0.76271964719622598</v>
      </c>
      <c r="AD16" s="69">
        <v>0.18249438601108101</v>
      </c>
      <c r="AE16" s="69">
        <v>3.0044315600711098</v>
      </c>
      <c r="AF16" s="69">
        <v>0.23901321981181001</v>
      </c>
      <c r="AG16" s="69">
        <v>0.69768399251340496</v>
      </c>
      <c r="AH16" s="69">
        <v>4.9383513963862304</v>
      </c>
      <c r="AI16" s="69">
        <v>1.2188068694140799</v>
      </c>
      <c r="AJ16" s="69">
        <v>0.51190942745415002</v>
      </c>
      <c r="AK16" s="69">
        <v>0.327658629156168</v>
      </c>
      <c r="AL16" s="69">
        <v>0.80024226886495597</v>
      </c>
      <c r="AM16" s="69">
        <v>2.5363263692653799</v>
      </c>
      <c r="AN16" s="69">
        <v>0.80231222481387499</v>
      </c>
      <c r="AO16" s="69">
        <v>0.43675200913558998</v>
      </c>
      <c r="AP16" s="69">
        <v>15.969045570856199</v>
      </c>
      <c r="AQ16" s="69">
        <v>5.8988817955034003</v>
      </c>
      <c r="AR16" s="69">
        <v>1.50552235646716</v>
      </c>
      <c r="AS16" s="69">
        <v>3.1182680933921E-2</v>
      </c>
      <c r="AT16" s="69">
        <v>2.5844075703205598</v>
      </c>
      <c r="AU16" s="69">
        <v>0.20780284470393101</v>
      </c>
      <c r="AV16" s="69">
        <v>124.62687561660501</v>
      </c>
      <c r="AW16" s="69">
        <v>7992.0223431483</v>
      </c>
      <c r="AX16" s="69">
        <v>1.9598116750661899E-2</v>
      </c>
      <c r="AY16" s="69">
        <v>2.65605126496153E-2</v>
      </c>
      <c r="AZ16" s="69">
        <v>0.15338123782683</v>
      </c>
      <c r="BA16" s="69">
        <v>0.208551891111907</v>
      </c>
      <c r="BB16" s="69">
        <v>23.738742129469699</v>
      </c>
      <c r="BC16" s="69">
        <v>0.55116823070694798</v>
      </c>
      <c r="BD16" s="69">
        <v>0.43766248252788698</v>
      </c>
      <c r="BE16" s="69">
        <v>0.216499068931746</v>
      </c>
      <c r="BF16" s="69">
        <v>0.18486715640312901</v>
      </c>
      <c r="BG16" s="69">
        <v>0.409080376708024</v>
      </c>
      <c r="BH16" s="69">
        <v>1.5177060535086999</v>
      </c>
      <c r="BI16" s="69">
        <v>0.116263625834607</v>
      </c>
      <c r="BJ16" s="69">
        <v>24.449576439015399</v>
      </c>
      <c r="BK16" s="69">
        <v>15.0426397842288</v>
      </c>
      <c r="BL16" s="69">
        <v>2.17636864722065</v>
      </c>
      <c r="BM16" s="69">
        <v>21.344615890958501</v>
      </c>
      <c r="BN16" s="69">
        <v>47.766943238817397</v>
      </c>
      <c r="BO16" s="69">
        <v>6.7620444096866201</v>
      </c>
      <c r="BP16" s="69">
        <v>3.8149703671790198</v>
      </c>
      <c r="BQ16" s="70">
        <v>0</v>
      </c>
      <c r="BR16" s="71">
        <v>9419.27740242242</v>
      </c>
      <c r="BS16" s="72">
        <v>0.19054154465316001</v>
      </c>
      <c r="BT16" s="73">
        <v>5.8800312317395499E-2</v>
      </c>
      <c r="BU16" s="73">
        <v>0</v>
      </c>
      <c r="BV16" s="73">
        <v>23548.7952324611</v>
      </c>
      <c r="BW16" s="73">
        <v>7.14043723505337</v>
      </c>
      <c r="BX16" s="74">
        <v>0</v>
      </c>
      <c r="BY16" s="71">
        <v>23556.185011553102</v>
      </c>
      <c r="BZ16" s="75">
        <v>32975.462413975503</v>
      </c>
    </row>
    <row r="17" spans="1:78" ht="15" customHeight="1" x14ac:dyDescent="0.3">
      <c r="A17" s="19" t="s">
        <v>35</v>
      </c>
      <c r="B17" s="11" t="s">
        <v>103</v>
      </c>
      <c r="C17" s="68">
        <v>0.87260030036914804</v>
      </c>
      <c r="D17" s="69">
        <v>0.11248348849242901</v>
      </c>
      <c r="E17" s="69">
        <v>3.78208787373402E-3</v>
      </c>
      <c r="F17" s="69">
        <v>1.1184936263933299E-3</v>
      </c>
      <c r="G17" s="69">
        <v>0.119413564745597</v>
      </c>
      <c r="H17" s="69">
        <v>0.17029380967476501</v>
      </c>
      <c r="I17" s="69">
        <v>1.5159710417278101E-2</v>
      </c>
      <c r="J17" s="69">
        <v>7.4153461205803697E-2</v>
      </c>
      <c r="K17" s="69">
        <v>2.40785024027293E-3</v>
      </c>
      <c r="L17" s="69">
        <v>9.7272364071499098E-2</v>
      </c>
      <c r="M17" s="69">
        <v>7.3948268072328502E-3</v>
      </c>
      <c r="N17" s="69">
        <v>195.30951877041301</v>
      </c>
      <c r="O17" s="69">
        <v>2.0499066622157901E-2</v>
      </c>
      <c r="P17" s="69">
        <v>1.9943323318086601E-2</v>
      </c>
      <c r="Q17" s="69">
        <v>9.8198457634528606E-3</v>
      </c>
      <c r="R17" s="69">
        <v>5.6868039051484701E-2</v>
      </c>
      <c r="S17" s="69">
        <v>0.237887074853458</v>
      </c>
      <c r="T17" s="69">
        <v>2.26564442929847E-2</v>
      </c>
      <c r="U17" s="69">
        <v>3.18369290367036E-3</v>
      </c>
      <c r="V17" s="69">
        <v>1.35131760050378E-3</v>
      </c>
      <c r="W17" s="69">
        <v>1.9478511332813399E-2</v>
      </c>
      <c r="X17" s="69">
        <v>4.8465639423387798E-3</v>
      </c>
      <c r="Y17" s="69">
        <v>4.0549962654966402E-2</v>
      </c>
      <c r="Z17" s="69">
        <v>2.2849293683719799E-2</v>
      </c>
      <c r="AA17" s="69">
        <v>4.9627864417841797E-2</v>
      </c>
      <c r="AB17" s="69">
        <v>3.42591483981445E-2</v>
      </c>
      <c r="AC17" s="69">
        <v>2.7049994300612301E-3</v>
      </c>
      <c r="AD17" s="69">
        <v>6.3290767044242796E-3</v>
      </c>
      <c r="AE17" s="69">
        <v>5.6686148826836799E-2</v>
      </c>
      <c r="AF17" s="69">
        <v>1.1457674056229401E-2</v>
      </c>
      <c r="AG17" s="69">
        <v>1.6502517865919299E-2</v>
      </c>
      <c r="AH17" s="69">
        <v>0.33907261780878201</v>
      </c>
      <c r="AI17" s="69">
        <v>3.2343213335305002E-2</v>
      </c>
      <c r="AJ17" s="69">
        <v>1.28474773096648E-2</v>
      </c>
      <c r="AK17" s="69">
        <v>4.6769111623271298E-3</v>
      </c>
      <c r="AL17" s="69">
        <v>2.1123428913449701E-2</v>
      </c>
      <c r="AM17" s="69">
        <v>0.14319022678340701</v>
      </c>
      <c r="AN17" s="69">
        <v>4.0902124545657602E-3</v>
      </c>
      <c r="AO17" s="69">
        <v>4.6008734578158704E-3</v>
      </c>
      <c r="AP17" s="69">
        <v>0.163810873728612</v>
      </c>
      <c r="AQ17" s="69">
        <v>0.42999045914248402</v>
      </c>
      <c r="AR17" s="69">
        <v>2.8781518608076099E-2</v>
      </c>
      <c r="AS17" s="69">
        <v>4.2723668339230102E-3</v>
      </c>
      <c r="AT17" s="69">
        <v>8.16265781900008E-4</v>
      </c>
      <c r="AU17" s="69">
        <v>2.3981088457757101E-2</v>
      </c>
      <c r="AV17" s="69">
        <v>3.38481685097646E-3</v>
      </c>
      <c r="AW17" s="69">
        <v>7.0560601018350502E-2</v>
      </c>
      <c r="AX17" s="69">
        <v>7.6726180837886293E-2</v>
      </c>
      <c r="AY17" s="69">
        <v>1.1438857388676E-2</v>
      </c>
      <c r="AZ17" s="69">
        <v>8.2496435912329004E-3</v>
      </c>
      <c r="BA17" s="69">
        <v>9.2482083293419698E-2</v>
      </c>
      <c r="BB17" s="69">
        <v>0.13802616828940201</v>
      </c>
      <c r="BC17" s="69">
        <v>2.9214767685771199E-2</v>
      </c>
      <c r="BD17" s="69">
        <v>0.175597681083835</v>
      </c>
      <c r="BE17" s="69">
        <v>8.7188115393311602E-2</v>
      </c>
      <c r="BF17" s="69">
        <v>5.8396344421360297E-2</v>
      </c>
      <c r="BG17" s="69">
        <v>5.9212765488797399E-2</v>
      </c>
      <c r="BH17" s="69">
        <v>0.33322134296042899</v>
      </c>
      <c r="BI17" s="69">
        <v>4.7864451457226903E-3</v>
      </c>
      <c r="BJ17" s="69">
        <v>2.9897889621497E-2</v>
      </c>
      <c r="BK17" s="69">
        <v>2.09276152305851E-2</v>
      </c>
      <c r="BL17" s="69">
        <v>5.0924243529971699E-2</v>
      </c>
      <c r="BM17" s="69">
        <v>1.2021714517896701E-2</v>
      </c>
      <c r="BN17" s="69">
        <v>5.6065013739604097E-2</v>
      </c>
      <c r="BO17" s="69">
        <v>2.2927712850295098E-3</v>
      </c>
      <c r="BP17" s="69">
        <v>4.4946010632686002E-2</v>
      </c>
      <c r="BQ17" s="70">
        <v>0</v>
      </c>
      <c r="BR17" s="71">
        <v>200.00225789944099</v>
      </c>
      <c r="BS17" s="72">
        <v>16.315024063412299</v>
      </c>
      <c r="BT17" s="73">
        <v>0</v>
      </c>
      <c r="BU17" s="73">
        <v>0</v>
      </c>
      <c r="BV17" s="73">
        <v>15017.5255844768</v>
      </c>
      <c r="BW17" s="73">
        <v>0.61254645902912797</v>
      </c>
      <c r="BX17" s="74">
        <v>0</v>
      </c>
      <c r="BY17" s="71">
        <v>15034.453154999201</v>
      </c>
      <c r="BZ17" s="75">
        <v>15234.4554128987</v>
      </c>
    </row>
    <row r="18" spans="1:78" ht="15" customHeight="1" x14ac:dyDescent="0.3">
      <c r="A18" s="19" t="s">
        <v>36</v>
      </c>
      <c r="B18" s="11" t="s">
        <v>104</v>
      </c>
      <c r="C18" s="68">
        <v>195.07368030536699</v>
      </c>
      <c r="D18" s="69">
        <v>7.18217378230724</v>
      </c>
      <c r="E18" s="69">
        <v>2.8638952487172902</v>
      </c>
      <c r="F18" s="69">
        <v>39.689306088699396</v>
      </c>
      <c r="G18" s="69">
        <v>20.869100219888999</v>
      </c>
      <c r="H18" s="69">
        <v>1.35595764422285</v>
      </c>
      <c r="I18" s="69">
        <v>0.113722373066664</v>
      </c>
      <c r="J18" s="69">
        <v>0.83421459347276905</v>
      </c>
      <c r="K18" s="69">
        <v>17.768982793408298</v>
      </c>
      <c r="L18" s="69">
        <v>38.052258834410097</v>
      </c>
      <c r="M18" s="69">
        <v>0.86670870049380899</v>
      </c>
      <c r="N18" s="69">
        <v>1.1835076063669001E-2</v>
      </c>
      <c r="O18" s="69">
        <v>1550.2464772770199</v>
      </c>
      <c r="P18" s="69">
        <v>3448.5403836053802</v>
      </c>
      <c r="Q18" s="69">
        <v>409.9053400482</v>
      </c>
      <c r="R18" s="69">
        <v>1.5181459981888601</v>
      </c>
      <c r="S18" s="69">
        <v>25.057675846268399</v>
      </c>
      <c r="T18" s="69">
        <v>0.30311930197688203</v>
      </c>
      <c r="U18" s="69">
        <v>2.4280113202905899E-2</v>
      </c>
      <c r="V18" s="69">
        <v>1.9804066650632401E-2</v>
      </c>
      <c r="W18" s="69">
        <v>2.9332630464960698</v>
      </c>
      <c r="X18" s="69">
        <v>1.7421688882458699</v>
      </c>
      <c r="Y18" s="69">
        <v>1.1286753907062299</v>
      </c>
      <c r="Z18" s="69">
        <v>11.2231162409108</v>
      </c>
      <c r="AA18" s="69">
        <v>90.103088942382797</v>
      </c>
      <c r="AB18" s="69">
        <v>2.5428996144718599</v>
      </c>
      <c r="AC18" s="69">
        <v>0.36874441653970602</v>
      </c>
      <c r="AD18" s="69">
        <v>0.846563468050335</v>
      </c>
      <c r="AE18" s="69">
        <v>8.2638384192141991</v>
      </c>
      <c r="AF18" s="69">
        <v>1.0465994319718199</v>
      </c>
      <c r="AG18" s="69">
        <v>5.0157237442739397</v>
      </c>
      <c r="AH18" s="69">
        <v>3.42395521223852</v>
      </c>
      <c r="AI18" s="69">
        <v>4.4294329192800701</v>
      </c>
      <c r="AJ18" s="69">
        <v>211.31139865308299</v>
      </c>
      <c r="AK18" s="69">
        <v>6.1028135709787401</v>
      </c>
      <c r="AL18" s="69">
        <v>241.878561920192</v>
      </c>
      <c r="AM18" s="69">
        <v>1.76772022288329</v>
      </c>
      <c r="AN18" s="69">
        <v>3.6517542126353599</v>
      </c>
      <c r="AO18" s="69">
        <v>0.475493509888329</v>
      </c>
      <c r="AP18" s="69">
        <v>219.356838361087</v>
      </c>
      <c r="AQ18" s="69">
        <v>45.5674653426601</v>
      </c>
      <c r="AR18" s="69">
        <v>17.471958994068199</v>
      </c>
      <c r="AS18" s="69">
        <v>0.21115915343974601</v>
      </c>
      <c r="AT18" s="69">
        <v>0.47959634745075302</v>
      </c>
      <c r="AU18" s="69">
        <v>0.41460299383491001</v>
      </c>
      <c r="AV18" s="69">
        <v>23.554636401759101</v>
      </c>
      <c r="AW18" s="69">
        <v>33.782940373686799</v>
      </c>
      <c r="AX18" s="69">
        <v>0.36169680609446397</v>
      </c>
      <c r="AY18" s="69">
        <v>0.28400126202348602</v>
      </c>
      <c r="AZ18" s="69">
        <v>0.35594539186895002</v>
      </c>
      <c r="BA18" s="69">
        <v>0.69996067684741803</v>
      </c>
      <c r="BB18" s="69">
        <v>1.80180032022936</v>
      </c>
      <c r="BC18" s="69">
        <v>1.2254655372993</v>
      </c>
      <c r="BD18" s="69">
        <v>2.41752250773966</v>
      </c>
      <c r="BE18" s="69">
        <v>1.5311338003687101</v>
      </c>
      <c r="BF18" s="69">
        <v>2.4642234976300301</v>
      </c>
      <c r="BG18" s="69">
        <v>2.17788415767762</v>
      </c>
      <c r="BH18" s="69">
        <v>6.5440601679474399</v>
      </c>
      <c r="BI18" s="69">
        <v>0.44978778431159899</v>
      </c>
      <c r="BJ18" s="69">
        <v>4.0205290497687303</v>
      </c>
      <c r="BK18" s="69">
        <v>3.6805861474966801</v>
      </c>
      <c r="BL18" s="69">
        <v>0.19614092479164699</v>
      </c>
      <c r="BM18" s="69">
        <v>6.5691657152200698</v>
      </c>
      <c r="BN18" s="69">
        <v>32.950195246162401</v>
      </c>
      <c r="BO18" s="69">
        <v>0.73308447280432298</v>
      </c>
      <c r="BP18" s="69">
        <v>294.42964750019502</v>
      </c>
      <c r="BQ18" s="70">
        <v>0</v>
      </c>
      <c r="BR18" s="71">
        <v>7062.2849026759104</v>
      </c>
      <c r="BS18" s="72">
        <v>4.7810303698002501E-2</v>
      </c>
      <c r="BT18" s="73">
        <v>9.7712264674443799E-2</v>
      </c>
      <c r="BU18" s="73">
        <v>0</v>
      </c>
      <c r="BV18" s="73">
        <v>8784.3058514780696</v>
      </c>
      <c r="BW18" s="73">
        <v>15.2627614987352</v>
      </c>
      <c r="BX18" s="74">
        <v>0</v>
      </c>
      <c r="BY18" s="71">
        <v>8799.7141355451695</v>
      </c>
      <c r="BZ18" s="75">
        <v>15861.9990382211</v>
      </c>
    </row>
    <row r="19" spans="1:78" ht="15" customHeight="1" x14ac:dyDescent="0.3">
      <c r="A19" s="19" t="s">
        <v>37</v>
      </c>
      <c r="B19" s="11" t="s">
        <v>105</v>
      </c>
      <c r="C19" s="68">
        <v>2.5786708464889601</v>
      </c>
      <c r="D19" s="69">
        <v>4.9858352512087402E-2</v>
      </c>
      <c r="E19" s="69">
        <v>3.06415918178852E-2</v>
      </c>
      <c r="F19" s="69">
        <v>0.72327438083254003</v>
      </c>
      <c r="G19" s="69">
        <v>6.2396356357971197</v>
      </c>
      <c r="H19" s="69">
        <v>0.47445176814176798</v>
      </c>
      <c r="I19" s="69">
        <v>4.0094849537023497E-2</v>
      </c>
      <c r="J19" s="69">
        <v>0.109086855655826</v>
      </c>
      <c r="K19" s="69">
        <v>0.25681994667955899</v>
      </c>
      <c r="L19" s="69">
        <v>0.78643258918956305</v>
      </c>
      <c r="M19" s="69">
        <v>2.71899123300119E-2</v>
      </c>
      <c r="N19" s="69">
        <v>8.6968622866152E-3</v>
      </c>
      <c r="O19" s="69">
        <v>18.422491436772201</v>
      </c>
      <c r="P19" s="69">
        <v>277.421222884884</v>
      </c>
      <c r="Q19" s="69">
        <v>12.578416455538999</v>
      </c>
      <c r="R19" s="69">
        <v>7.7293180689745597E-2</v>
      </c>
      <c r="S19" s="69">
        <v>0.45327668807202498</v>
      </c>
      <c r="T19" s="69">
        <v>2.5518849591544601E-2</v>
      </c>
      <c r="U19" s="69">
        <v>4.6231123324257202E-3</v>
      </c>
      <c r="V19" s="69">
        <v>3.5489051792420498E-3</v>
      </c>
      <c r="W19" s="69">
        <v>7.0534534134367E-2</v>
      </c>
      <c r="X19" s="69">
        <v>2.7127151854451501E-2</v>
      </c>
      <c r="Y19" s="69">
        <v>4.8998157895056703E-2</v>
      </c>
      <c r="Z19" s="69">
        <v>4.2565155093507202E-2</v>
      </c>
      <c r="AA19" s="69">
        <v>0.66618201225648399</v>
      </c>
      <c r="AB19" s="69">
        <v>0.136285104838477</v>
      </c>
      <c r="AC19" s="69">
        <v>1.5278400299971301E-2</v>
      </c>
      <c r="AD19" s="69">
        <v>8.3779244173687005E-3</v>
      </c>
      <c r="AE19" s="69">
        <v>2.5606187226968302</v>
      </c>
      <c r="AF19" s="69">
        <v>2.12229777761067E-2</v>
      </c>
      <c r="AG19" s="69">
        <v>4.1982338714743599E-2</v>
      </c>
      <c r="AH19" s="69">
        <v>1.15983721619735</v>
      </c>
      <c r="AI19" s="69">
        <v>0.33502916414858203</v>
      </c>
      <c r="AJ19" s="69">
        <v>6.4754584313684598</v>
      </c>
      <c r="AK19" s="69">
        <v>0.1592946800618</v>
      </c>
      <c r="AL19" s="69">
        <v>6.3401177564629601</v>
      </c>
      <c r="AM19" s="69">
        <v>0.42265774737768602</v>
      </c>
      <c r="AN19" s="69">
        <v>4.4111804375519501</v>
      </c>
      <c r="AO19" s="69">
        <v>6.4344933882959801</v>
      </c>
      <c r="AP19" s="69">
        <v>11.8682085638139</v>
      </c>
      <c r="AQ19" s="69">
        <v>45.4549546446734</v>
      </c>
      <c r="AR19" s="69">
        <v>28.850895837431501</v>
      </c>
      <c r="AS19" s="69">
        <v>1.7527727013374099</v>
      </c>
      <c r="AT19" s="69">
        <v>38.262255294199797</v>
      </c>
      <c r="AU19" s="69">
        <v>7.4921590874024702</v>
      </c>
      <c r="AV19" s="69">
        <v>6.3100917115499504</v>
      </c>
      <c r="AW19" s="69">
        <v>27.430236770313101</v>
      </c>
      <c r="AX19" s="69">
        <v>7.06312983745261E-2</v>
      </c>
      <c r="AY19" s="69">
        <v>30.267210455151499</v>
      </c>
      <c r="AZ19" s="69">
        <v>2.86580802604735</v>
      </c>
      <c r="BA19" s="69">
        <v>0.36321925329527099</v>
      </c>
      <c r="BB19" s="69">
        <v>144.58781075616301</v>
      </c>
      <c r="BC19" s="69">
        <v>10.390116925644501</v>
      </c>
      <c r="BD19" s="69">
        <v>2.80857454680593</v>
      </c>
      <c r="BE19" s="69">
        <v>55.599554905382902</v>
      </c>
      <c r="BF19" s="69">
        <v>16.668499206380002</v>
      </c>
      <c r="BG19" s="69">
        <v>1.46877906467146</v>
      </c>
      <c r="BH19" s="69">
        <v>45.561953178596198</v>
      </c>
      <c r="BI19" s="69">
        <v>71.870346333920097</v>
      </c>
      <c r="BJ19" s="69">
        <v>78.202583170298894</v>
      </c>
      <c r="BK19" s="69">
        <v>67.295685484048605</v>
      </c>
      <c r="BL19" s="69">
        <v>0.117596768869958</v>
      </c>
      <c r="BM19" s="69">
        <v>13.8379651902336</v>
      </c>
      <c r="BN19" s="69">
        <v>34.030048875109998</v>
      </c>
      <c r="BO19" s="69">
        <v>36.683316041049302</v>
      </c>
      <c r="BP19" s="69">
        <v>293.65149169086197</v>
      </c>
      <c r="BQ19" s="70">
        <v>0</v>
      </c>
      <c r="BR19" s="71">
        <v>1423.4512521874001</v>
      </c>
      <c r="BS19" s="72">
        <v>0.112784155640737</v>
      </c>
      <c r="BT19" s="73">
        <v>3.7559875202534401</v>
      </c>
      <c r="BU19" s="73">
        <v>0</v>
      </c>
      <c r="BV19" s="73">
        <v>24724.4853785382</v>
      </c>
      <c r="BW19" s="73">
        <v>4.0225991854957304</v>
      </c>
      <c r="BX19" s="74">
        <v>0</v>
      </c>
      <c r="BY19" s="71">
        <v>24732.376749399598</v>
      </c>
      <c r="BZ19" s="75">
        <v>26155.828001586899</v>
      </c>
    </row>
    <row r="20" spans="1:78" ht="15" customHeight="1" x14ac:dyDescent="0.3">
      <c r="A20" s="19" t="s">
        <v>38</v>
      </c>
      <c r="B20" s="11" t="s">
        <v>106</v>
      </c>
      <c r="C20" s="68">
        <v>0.419908597643248</v>
      </c>
      <c r="D20" s="69">
        <v>0.37150770232486702</v>
      </c>
      <c r="E20" s="69">
        <v>2.0955611500335199E-2</v>
      </c>
      <c r="F20" s="69">
        <v>0.26747882893242397</v>
      </c>
      <c r="G20" s="69">
        <v>0.25744645948690398</v>
      </c>
      <c r="H20" s="69">
        <v>0.42946510989950898</v>
      </c>
      <c r="I20" s="69">
        <v>3.73257000646725E-2</v>
      </c>
      <c r="J20" s="69">
        <v>0.63522995308103203</v>
      </c>
      <c r="K20" s="69">
        <v>3.4165992195010597E-2</v>
      </c>
      <c r="L20" s="69">
        <v>1.1014120537198699</v>
      </c>
      <c r="M20" s="69">
        <v>0.238454829234793</v>
      </c>
      <c r="N20" s="69">
        <v>0.13859917623304899</v>
      </c>
      <c r="O20" s="69">
        <v>1.0860934495535599</v>
      </c>
      <c r="P20" s="69">
        <v>0.85086736811073205</v>
      </c>
      <c r="Q20" s="69">
        <v>557.74840033258704</v>
      </c>
      <c r="R20" s="69">
        <v>0.17622376918933599</v>
      </c>
      <c r="S20" s="69">
        <v>21.834832539943299</v>
      </c>
      <c r="T20" s="69">
        <v>8.4196911828382306E-2</v>
      </c>
      <c r="U20" s="69">
        <v>2.8744647157427899E-2</v>
      </c>
      <c r="V20" s="69">
        <v>5.9216811401766101E-2</v>
      </c>
      <c r="W20" s="69">
        <v>0.34037292496844301</v>
      </c>
      <c r="X20" s="69">
        <v>0.30117681383202999</v>
      </c>
      <c r="Y20" s="69">
        <v>0.429484123199248</v>
      </c>
      <c r="Z20" s="69">
        <v>0.10900841239152299</v>
      </c>
      <c r="AA20" s="69">
        <v>2.4908106860464398</v>
      </c>
      <c r="AB20" s="69">
        <v>0.31999884288424602</v>
      </c>
      <c r="AC20" s="69">
        <v>8.36829032460598E-2</v>
      </c>
      <c r="AD20" s="69">
        <v>4.0952139245683597E-2</v>
      </c>
      <c r="AE20" s="69">
        <v>3.5297114637329399</v>
      </c>
      <c r="AF20" s="69">
        <v>9.0036930646075194E-2</v>
      </c>
      <c r="AG20" s="69">
        <v>0.29855226536658303</v>
      </c>
      <c r="AH20" s="69">
        <v>0.49563201737694301</v>
      </c>
      <c r="AI20" s="69">
        <v>5.2121014845592297</v>
      </c>
      <c r="AJ20" s="69">
        <v>1.66259134477811</v>
      </c>
      <c r="AK20" s="69">
        <v>6.9971688354591999E-2</v>
      </c>
      <c r="AL20" s="69">
        <v>6.3080866307218697</v>
      </c>
      <c r="AM20" s="69">
        <v>0.25147009477631799</v>
      </c>
      <c r="AN20" s="69">
        <v>7.7787217964617197</v>
      </c>
      <c r="AO20" s="69">
        <v>0.146704361014273</v>
      </c>
      <c r="AP20" s="69">
        <v>16.3046632219116</v>
      </c>
      <c r="AQ20" s="69">
        <v>5.7499667227664002</v>
      </c>
      <c r="AR20" s="69">
        <v>3.7687288698789398</v>
      </c>
      <c r="AS20" s="69">
        <v>2.2632613878832201E-2</v>
      </c>
      <c r="AT20" s="69">
        <v>0.19756475026786099</v>
      </c>
      <c r="AU20" s="69">
        <v>6.6485728238814906E-2</v>
      </c>
      <c r="AV20" s="69">
        <v>8.3757153130382594E-2</v>
      </c>
      <c r="AW20" s="69">
        <v>1.5463654719186699</v>
      </c>
      <c r="AX20" s="69">
        <v>9.6175940782576699E-2</v>
      </c>
      <c r="AY20" s="69">
        <v>2.5603673013503401</v>
      </c>
      <c r="AZ20" s="69">
        <v>3.3606681520356001E-2</v>
      </c>
      <c r="BA20" s="69">
        <v>2.8949482942628202</v>
      </c>
      <c r="BB20" s="69">
        <v>0.57075086023730504</v>
      </c>
      <c r="BC20" s="69">
        <v>0.130124747729952</v>
      </c>
      <c r="BD20" s="69">
        <v>0.30810048019669101</v>
      </c>
      <c r="BE20" s="69">
        <v>0.45781170351925199</v>
      </c>
      <c r="BF20" s="69">
        <v>0.53348397326359498</v>
      </c>
      <c r="BG20" s="69">
        <v>0.32747084583561598</v>
      </c>
      <c r="BH20" s="69">
        <v>2.2652747673947702</v>
      </c>
      <c r="BI20" s="69">
        <v>34.269722968722498</v>
      </c>
      <c r="BJ20" s="69">
        <v>5.2711709178486101</v>
      </c>
      <c r="BK20" s="69">
        <v>0.39921129803356697</v>
      </c>
      <c r="BL20" s="69">
        <v>4.7932197645024703E-2</v>
      </c>
      <c r="BM20" s="69">
        <v>0.64725236616439596</v>
      </c>
      <c r="BN20" s="69">
        <v>2.9344539882634399</v>
      </c>
      <c r="BO20" s="69">
        <v>0.162336504068227</v>
      </c>
      <c r="BP20" s="69">
        <v>1.3651762630434701</v>
      </c>
      <c r="BQ20" s="70">
        <v>0</v>
      </c>
      <c r="BR20" s="71">
        <v>698.79512939956396</v>
      </c>
      <c r="BS20" s="72">
        <v>25.931463532829699</v>
      </c>
      <c r="BT20" s="73">
        <v>1.34098791935793E-2</v>
      </c>
      <c r="BU20" s="73">
        <v>0</v>
      </c>
      <c r="BV20" s="73">
        <v>12692.431176545801</v>
      </c>
      <c r="BW20" s="73">
        <v>1.3774822337402599</v>
      </c>
      <c r="BX20" s="74">
        <v>0</v>
      </c>
      <c r="BY20" s="71">
        <v>12719.7535321916</v>
      </c>
      <c r="BZ20" s="75">
        <v>13418.5486615912</v>
      </c>
    </row>
    <row r="21" spans="1:78" ht="15" customHeight="1" x14ac:dyDescent="0.3">
      <c r="A21" s="19" t="s">
        <v>39</v>
      </c>
      <c r="B21" s="11" t="s">
        <v>107</v>
      </c>
      <c r="C21" s="68">
        <v>115.091286062111</v>
      </c>
      <c r="D21" s="69">
        <v>134.011547988393</v>
      </c>
      <c r="E21" s="69">
        <v>8.2671350865334201</v>
      </c>
      <c r="F21" s="69">
        <v>1.9762068962305899E-2</v>
      </c>
      <c r="G21" s="69">
        <v>0.75786888704842004</v>
      </c>
      <c r="H21" s="69">
        <v>0.49788835437919698</v>
      </c>
      <c r="I21" s="69">
        <v>7.0026311644197897E-2</v>
      </c>
      <c r="J21" s="69">
        <v>3.2390857203366501</v>
      </c>
      <c r="K21" s="69">
        <v>1.39030149522145E-2</v>
      </c>
      <c r="L21" s="69">
        <v>13.7448726946264</v>
      </c>
      <c r="M21" s="69">
        <v>5.4655382752882904</v>
      </c>
      <c r="N21" s="69">
        <v>2.9403589073487101E-4</v>
      </c>
      <c r="O21" s="69">
        <v>2.8793281369834598</v>
      </c>
      <c r="P21" s="69">
        <v>7.15727532426573E-2</v>
      </c>
      <c r="Q21" s="69">
        <v>1.4331865974320301E-2</v>
      </c>
      <c r="R21" s="69">
        <v>675.31154714594902</v>
      </c>
      <c r="S21" s="69">
        <v>34.204546414180399</v>
      </c>
      <c r="T21" s="69">
        <v>1.8142622394812999E-2</v>
      </c>
      <c r="U21" s="69">
        <v>3.5025287217701401E-2</v>
      </c>
      <c r="V21" s="69">
        <v>6.9742369172287903E-3</v>
      </c>
      <c r="W21" s="69">
        <v>8.2342815767701305E-2</v>
      </c>
      <c r="X21" s="69">
        <v>6.8885779430870403E-2</v>
      </c>
      <c r="Y21" s="69">
        <v>9.4035937615072396E-2</v>
      </c>
      <c r="Z21" s="69">
        <v>1.97604193429851E-2</v>
      </c>
      <c r="AA21" s="69">
        <v>0.33717003706394499</v>
      </c>
      <c r="AB21" s="69">
        <v>1.6975508808761699</v>
      </c>
      <c r="AC21" s="69">
        <v>0.34436799883852498</v>
      </c>
      <c r="AD21" s="69">
        <v>5.13958776661513E-2</v>
      </c>
      <c r="AE21" s="69">
        <v>21.795367957114301</v>
      </c>
      <c r="AF21" s="69">
        <v>8.6102345344960696E-2</v>
      </c>
      <c r="AG21" s="69">
        <v>0.30245123280326802</v>
      </c>
      <c r="AH21" s="69">
        <v>9.9517701870786901</v>
      </c>
      <c r="AI21" s="69">
        <v>8.0830043646878398</v>
      </c>
      <c r="AJ21" s="69">
        <v>3.5243955017205502</v>
      </c>
      <c r="AK21" s="69">
        <v>4.0219401243635096</v>
      </c>
      <c r="AL21" s="69">
        <v>558.93518267766001</v>
      </c>
      <c r="AM21" s="69">
        <v>0.63560428468729202</v>
      </c>
      <c r="AN21" s="69">
        <v>16.008526033159601</v>
      </c>
      <c r="AO21" s="69">
        <v>8.8872117957261507E-2</v>
      </c>
      <c r="AP21" s="69">
        <v>1832.2569986699</v>
      </c>
      <c r="AQ21" s="69">
        <v>196.75632811261201</v>
      </c>
      <c r="AR21" s="69">
        <v>0.115975793145005</v>
      </c>
      <c r="AS21" s="69">
        <v>1.68627189946556E-2</v>
      </c>
      <c r="AT21" s="69">
        <v>1.9143936967644399E-3</v>
      </c>
      <c r="AU21" s="69">
        <v>5.06089680760501</v>
      </c>
      <c r="AV21" s="69">
        <v>6.8632407865135206E-2</v>
      </c>
      <c r="AW21" s="69">
        <v>1.01563392736465</v>
      </c>
      <c r="AX21" s="69">
        <v>6.8476815316656503E-3</v>
      </c>
      <c r="AY21" s="69">
        <v>8.0191844036758102</v>
      </c>
      <c r="AZ21" s="69">
        <v>4.2746853439550203E-2</v>
      </c>
      <c r="BA21" s="69">
        <v>0.123016795068602</v>
      </c>
      <c r="BB21" s="69">
        <v>3.36164111746204E-2</v>
      </c>
      <c r="BC21" s="69">
        <v>119.097073027975</v>
      </c>
      <c r="BD21" s="69">
        <v>0.33199378862943502</v>
      </c>
      <c r="BE21" s="69">
        <v>0.15509907509909099</v>
      </c>
      <c r="BF21" s="69">
        <v>0.125814666878515</v>
      </c>
      <c r="BG21" s="69">
        <v>0.27025189377891801</v>
      </c>
      <c r="BH21" s="69">
        <v>36.648391561825903</v>
      </c>
      <c r="BI21" s="69">
        <v>2.5220231782257001E-2</v>
      </c>
      <c r="BJ21" s="69">
        <v>12.004643323950299</v>
      </c>
      <c r="BK21" s="69">
        <v>3.8973408159585898</v>
      </c>
      <c r="BL21" s="69">
        <v>7.5289289416135594E-2</v>
      </c>
      <c r="BM21" s="69">
        <v>0.214340695936864</v>
      </c>
      <c r="BN21" s="69">
        <v>1.1558353105149699</v>
      </c>
      <c r="BO21" s="69">
        <v>8.8599642030797204E-2</v>
      </c>
      <c r="BP21" s="69">
        <v>92.231806183403293</v>
      </c>
      <c r="BQ21" s="70">
        <v>0</v>
      </c>
      <c r="BR21" s="71">
        <v>3929.68975801946</v>
      </c>
      <c r="BS21" s="72">
        <v>7.2205216921197704E-2</v>
      </c>
      <c r="BT21" s="73">
        <v>5.7472111909504496E-4</v>
      </c>
      <c r="BU21" s="73">
        <v>0</v>
      </c>
      <c r="BV21" s="73">
        <v>581.88394444637595</v>
      </c>
      <c r="BW21" s="73">
        <v>10.8181460901242</v>
      </c>
      <c r="BX21" s="74">
        <v>0</v>
      </c>
      <c r="BY21" s="71">
        <v>592.77487047454099</v>
      </c>
      <c r="BZ21" s="75">
        <v>4522.464628494</v>
      </c>
    </row>
    <row r="22" spans="1:78" ht="15" customHeight="1" x14ac:dyDescent="0.3">
      <c r="A22" s="19" t="s">
        <v>40</v>
      </c>
      <c r="B22" s="11" t="s">
        <v>108</v>
      </c>
      <c r="C22" s="68">
        <v>85.762958993659794</v>
      </c>
      <c r="D22" s="69">
        <v>28.571330461269</v>
      </c>
      <c r="E22" s="69">
        <v>0.10385141542530101</v>
      </c>
      <c r="F22" s="69">
        <v>0.41197249409190201</v>
      </c>
      <c r="G22" s="69">
        <v>19.475316027968798</v>
      </c>
      <c r="H22" s="69">
        <v>52.4505236597101</v>
      </c>
      <c r="I22" s="69">
        <v>3.4793944994257102</v>
      </c>
      <c r="J22" s="69">
        <v>209.071569203178</v>
      </c>
      <c r="K22" s="69">
        <v>0.14439203869969899</v>
      </c>
      <c r="L22" s="69">
        <v>349.31972314300401</v>
      </c>
      <c r="M22" s="69">
        <v>14.6089546926942</v>
      </c>
      <c r="N22" s="69">
        <v>36.961049329291903</v>
      </c>
      <c r="O22" s="69">
        <v>76.776483090249201</v>
      </c>
      <c r="P22" s="69">
        <v>73.638739762683798</v>
      </c>
      <c r="Q22" s="69">
        <v>33.646882805335501</v>
      </c>
      <c r="R22" s="69">
        <v>214.480386031531</v>
      </c>
      <c r="S22" s="69">
        <v>1217.5053450258599</v>
      </c>
      <c r="T22" s="69">
        <v>89.689096164768799</v>
      </c>
      <c r="U22" s="69">
        <v>7.9980859295850504</v>
      </c>
      <c r="V22" s="69">
        <v>0.12174675176193001</v>
      </c>
      <c r="W22" s="69">
        <v>5.1431052596321898</v>
      </c>
      <c r="X22" s="69">
        <v>11.4109811022347</v>
      </c>
      <c r="Y22" s="69">
        <v>147.71363602910799</v>
      </c>
      <c r="Z22" s="69">
        <v>50.218648113245003</v>
      </c>
      <c r="AA22" s="69">
        <v>180.47796937930201</v>
      </c>
      <c r="AB22" s="69">
        <v>122.405766792676</v>
      </c>
      <c r="AC22" s="69">
        <v>0.91180380451945298</v>
      </c>
      <c r="AD22" s="69">
        <v>0.84837296272454699</v>
      </c>
      <c r="AE22" s="69">
        <v>212.482869682992</v>
      </c>
      <c r="AF22" s="69">
        <v>36.650219884092998</v>
      </c>
      <c r="AG22" s="69">
        <v>23.4086309443917</v>
      </c>
      <c r="AH22" s="69">
        <v>41.1743294601077</v>
      </c>
      <c r="AI22" s="69">
        <v>16.821515163492101</v>
      </c>
      <c r="AJ22" s="69">
        <v>32.416764411367403</v>
      </c>
      <c r="AK22" s="69">
        <v>0.67551161537405502</v>
      </c>
      <c r="AL22" s="69">
        <v>80.235197710890901</v>
      </c>
      <c r="AM22" s="69">
        <v>17.276248099124501</v>
      </c>
      <c r="AN22" s="69">
        <v>6.2711991495477601</v>
      </c>
      <c r="AO22" s="69">
        <v>3.4167910734886102</v>
      </c>
      <c r="AP22" s="69">
        <v>134.48206957185599</v>
      </c>
      <c r="AQ22" s="69">
        <v>1490.2863325588701</v>
      </c>
      <c r="AR22" s="69">
        <v>28.550421391331501</v>
      </c>
      <c r="AS22" s="69">
        <v>4.3322085251309099</v>
      </c>
      <c r="AT22" s="69">
        <v>3.3825126096287002</v>
      </c>
      <c r="AU22" s="69">
        <v>72.889714028023405</v>
      </c>
      <c r="AV22" s="69">
        <v>12.999784523104699</v>
      </c>
      <c r="AW22" s="69">
        <v>268.36705602924201</v>
      </c>
      <c r="AX22" s="69">
        <v>301.524453646312</v>
      </c>
      <c r="AY22" s="69">
        <v>41.823293990367603</v>
      </c>
      <c r="AZ22" s="69">
        <v>3.8786037412465402</v>
      </c>
      <c r="BA22" s="69">
        <v>361.55669561569601</v>
      </c>
      <c r="BB22" s="69">
        <v>544.21478677477103</v>
      </c>
      <c r="BC22" s="69">
        <v>110.56400368415601</v>
      </c>
      <c r="BD22" s="69">
        <v>682.27751517401703</v>
      </c>
      <c r="BE22" s="69">
        <v>173.96179077362601</v>
      </c>
      <c r="BF22" s="69">
        <v>242.819257401453</v>
      </c>
      <c r="BG22" s="69">
        <v>216.98552123095499</v>
      </c>
      <c r="BH22" s="69">
        <v>1119.85689084982</v>
      </c>
      <c r="BI22" s="69">
        <v>16.734665764630499</v>
      </c>
      <c r="BJ22" s="69">
        <v>96.939454796593495</v>
      </c>
      <c r="BK22" s="69">
        <v>78.413351729017407</v>
      </c>
      <c r="BL22" s="69">
        <v>198.42368226029799</v>
      </c>
      <c r="BM22" s="69">
        <v>24.883450275872299</v>
      </c>
      <c r="BN22" s="69">
        <v>224.71746801096799</v>
      </c>
      <c r="BO22" s="69">
        <v>8.1250358385633099</v>
      </c>
      <c r="BP22" s="69">
        <v>181.729620818684</v>
      </c>
      <c r="BQ22" s="70">
        <v>0</v>
      </c>
      <c r="BR22" s="71">
        <v>10148.897003772699</v>
      </c>
      <c r="BS22" s="72">
        <v>2.1264684112693499E-2</v>
      </c>
      <c r="BT22" s="73">
        <v>0.45985274670093301</v>
      </c>
      <c r="BU22" s="73">
        <v>0</v>
      </c>
      <c r="BV22" s="73">
        <v>4226.2954547076097</v>
      </c>
      <c r="BW22" s="73">
        <v>74.047645813958496</v>
      </c>
      <c r="BX22" s="74">
        <v>0</v>
      </c>
      <c r="BY22" s="71">
        <v>4300.8242179523804</v>
      </c>
      <c r="BZ22" s="75">
        <v>14449.7212217251</v>
      </c>
    </row>
    <row r="23" spans="1:78" ht="15" customHeight="1" x14ac:dyDescent="0.3">
      <c r="A23" s="19" t="s">
        <v>41</v>
      </c>
      <c r="B23" s="11" t="s">
        <v>109</v>
      </c>
      <c r="C23" s="68">
        <v>0.96769162200288295</v>
      </c>
      <c r="D23" s="69">
        <v>0.35936044874617301</v>
      </c>
      <c r="E23" s="69">
        <v>4.9649964784147002E-2</v>
      </c>
      <c r="F23" s="69">
        <v>0.203752244342946</v>
      </c>
      <c r="G23" s="69">
        <v>0.78461840077816403</v>
      </c>
      <c r="H23" s="69">
        <v>1.06983826426546</v>
      </c>
      <c r="I23" s="69">
        <v>9.9364522225770802E-2</v>
      </c>
      <c r="J23" s="69">
        <v>4.5489047673864</v>
      </c>
      <c r="K23" s="69">
        <v>3.6729842294952103E-2</v>
      </c>
      <c r="L23" s="69">
        <v>5.9902151268338102</v>
      </c>
      <c r="M23" s="69">
        <v>10.0096425064492</v>
      </c>
      <c r="N23" s="69">
        <v>0.18926169702823001</v>
      </c>
      <c r="O23" s="69">
        <v>0.63496414533586998</v>
      </c>
      <c r="P23" s="69">
        <v>1.79881328958466</v>
      </c>
      <c r="Q23" s="69">
        <v>0.44952437047071803</v>
      </c>
      <c r="R23" s="69">
        <v>1.64182308453823</v>
      </c>
      <c r="S23" s="69">
        <v>14.175812240911</v>
      </c>
      <c r="T23" s="69">
        <v>40.491366163369797</v>
      </c>
      <c r="U23" s="69">
        <v>6.3235658481106294E-2</v>
      </c>
      <c r="V23" s="69">
        <v>2.5516901109923499E-2</v>
      </c>
      <c r="W23" s="69">
        <v>0.39966761545461399</v>
      </c>
      <c r="X23" s="69">
        <v>0.34008932836124001</v>
      </c>
      <c r="Y23" s="69">
        <v>1.10850761675008</v>
      </c>
      <c r="Z23" s="69">
        <v>0.35273401707559099</v>
      </c>
      <c r="AA23" s="69">
        <v>5.0477593255679798</v>
      </c>
      <c r="AB23" s="69">
        <v>1.5536788931544101</v>
      </c>
      <c r="AC23" s="69">
        <v>8.3504402152336593E-2</v>
      </c>
      <c r="AD23" s="69">
        <v>7.9625653881396693E-3</v>
      </c>
      <c r="AE23" s="69">
        <v>1.6220291649626599</v>
      </c>
      <c r="AF23" s="69">
        <v>3.8389520957272998</v>
      </c>
      <c r="AG23" s="69">
        <v>0.50453220963391798</v>
      </c>
      <c r="AH23" s="69">
        <v>2.5250410079081602</v>
      </c>
      <c r="AI23" s="69">
        <v>0.78933936741924704</v>
      </c>
      <c r="AJ23" s="69">
        <v>0.73470763170975595</v>
      </c>
      <c r="AK23" s="69">
        <v>7.0314713036009793E-2</v>
      </c>
      <c r="AL23" s="69">
        <v>3.47656883525829</v>
      </c>
      <c r="AM23" s="69">
        <v>1.32802925705902</v>
      </c>
      <c r="AN23" s="69">
        <v>0.217211629593586</v>
      </c>
      <c r="AO23" s="69">
        <v>0.46621296225860098</v>
      </c>
      <c r="AP23" s="69">
        <v>34.241553872747801</v>
      </c>
      <c r="AQ23" s="69">
        <v>403.354840724778</v>
      </c>
      <c r="AR23" s="69">
        <v>3.0748700121003498</v>
      </c>
      <c r="AS23" s="69">
        <v>0.194745186854554</v>
      </c>
      <c r="AT23" s="69">
        <v>5.2989033951497797</v>
      </c>
      <c r="AU23" s="69">
        <v>0.695129108161055</v>
      </c>
      <c r="AV23" s="69">
        <v>0.103762570110634</v>
      </c>
      <c r="AW23" s="69">
        <v>5.9671687124738497</v>
      </c>
      <c r="AX23" s="69">
        <v>229.6035779332</v>
      </c>
      <c r="AY23" s="69">
        <v>34.772687217882698</v>
      </c>
      <c r="AZ23" s="69">
        <v>21.119531003271401</v>
      </c>
      <c r="BA23" s="69">
        <v>166.50865756890499</v>
      </c>
      <c r="BB23" s="69">
        <v>308.58028104393298</v>
      </c>
      <c r="BC23" s="69">
        <v>59.781213919751103</v>
      </c>
      <c r="BD23" s="69">
        <v>112.75767568768801</v>
      </c>
      <c r="BE23" s="69">
        <v>53.999183452145601</v>
      </c>
      <c r="BF23" s="69">
        <v>908.35875619380101</v>
      </c>
      <c r="BG23" s="69">
        <v>15.265116128008801</v>
      </c>
      <c r="BH23" s="69">
        <v>330.11037175154701</v>
      </c>
      <c r="BI23" s="69">
        <v>1.08502060336785</v>
      </c>
      <c r="BJ23" s="69">
        <v>88.449846172205099</v>
      </c>
      <c r="BK23" s="69">
        <v>18.518677547014001</v>
      </c>
      <c r="BL23" s="69">
        <v>4.4698156743921302</v>
      </c>
      <c r="BM23" s="69">
        <v>11.720724424388299</v>
      </c>
      <c r="BN23" s="69">
        <v>30.097017602090101</v>
      </c>
      <c r="BO23" s="69">
        <v>60.102798632994499</v>
      </c>
      <c r="BP23" s="69">
        <v>70.366853563573002</v>
      </c>
      <c r="BQ23" s="70">
        <v>0</v>
      </c>
      <c r="BR23" s="71">
        <v>3086.6557076019399</v>
      </c>
      <c r="BS23" s="72">
        <v>0</v>
      </c>
      <c r="BT23" s="73">
        <v>0</v>
      </c>
      <c r="BU23" s="73">
        <v>0</v>
      </c>
      <c r="BV23" s="73">
        <v>150.081200607635</v>
      </c>
      <c r="BW23" s="73">
        <v>6.7464702232078704</v>
      </c>
      <c r="BX23" s="74">
        <v>0</v>
      </c>
      <c r="BY23" s="71">
        <v>156.827670830843</v>
      </c>
      <c r="BZ23" s="75">
        <v>3243.4833784327898</v>
      </c>
    </row>
    <row r="24" spans="1:78" ht="15" customHeight="1" x14ac:dyDescent="0.3">
      <c r="A24" s="19" t="s">
        <v>42</v>
      </c>
      <c r="B24" s="11" t="s">
        <v>110</v>
      </c>
      <c r="C24" s="68">
        <v>2365.9065004079698</v>
      </c>
      <c r="D24" s="69">
        <v>1415.4756371623901</v>
      </c>
      <c r="E24" s="69">
        <v>115.061210310645</v>
      </c>
      <c r="F24" s="69">
        <v>118.91555711846701</v>
      </c>
      <c r="G24" s="69">
        <v>763.87739870281405</v>
      </c>
      <c r="H24" s="69">
        <v>159.106089372572</v>
      </c>
      <c r="I24" s="69">
        <v>91.859179385662898</v>
      </c>
      <c r="J24" s="69">
        <v>171.21899493803701</v>
      </c>
      <c r="K24" s="69">
        <v>4.0942813746220899E-2</v>
      </c>
      <c r="L24" s="69">
        <v>153.62519106072</v>
      </c>
      <c r="M24" s="69">
        <v>25.8557035658072</v>
      </c>
      <c r="N24" s="69">
        <v>4.6205639972622601E-5</v>
      </c>
      <c r="O24" s="69">
        <v>17.1989951917583</v>
      </c>
      <c r="P24" s="69">
        <v>3.3270929110555199</v>
      </c>
      <c r="Q24" s="69">
        <v>12.171880846363999</v>
      </c>
      <c r="R24" s="69">
        <v>50.8818173196155</v>
      </c>
      <c r="S24" s="69">
        <v>388.95382850035003</v>
      </c>
      <c r="T24" s="69">
        <v>0.185436543214656</v>
      </c>
      <c r="U24" s="69">
        <v>49410.168521533597</v>
      </c>
      <c r="V24" s="69">
        <v>0.30205463595145898</v>
      </c>
      <c r="W24" s="69">
        <v>2386.4136537919298</v>
      </c>
      <c r="X24" s="69">
        <v>153.06873722972699</v>
      </c>
      <c r="Y24" s="69">
        <v>44.701157005738501</v>
      </c>
      <c r="Z24" s="69">
        <v>3.8361738146881601</v>
      </c>
      <c r="AA24" s="69">
        <v>228.069603796639</v>
      </c>
      <c r="AB24" s="69">
        <v>552.522417550657</v>
      </c>
      <c r="AC24" s="69">
        <v>445.33230308088099</v>
      </c>
      <c r="AD24" s="69">
        <v>515.20450647212101</v>
      </c>
      <c r="AE24" s="69">
        <v>23.640102168896998</v>
      </c>
      <c r="AF24" s="69">
        <v>4.7811279342108003E-3</v>
      </c>
      <c r="AG24" s="69">
        <v>90.493765981420594</v>
      </c>
      <c r="AH24" s="69">
        <v>46.092208070066697</v>
      </c>
      <c r="AI24" s="69">
        <v>12.2014972133257</v>
      </c>
      <c r="AJ24" s="69">
        <v>35.669926146148299</v>
      </c>
      <c r="AK24" s="69">
        <v>1.5604190065197301</v>
      </c>
      <c r="AL24" s="69">
        <v>15.623375441006299</v>
      </c>
      <c r="AM24" s="69">
        <v>43.109125728563697</v>
      </c>
      <c r="AN24" s="69">
        <v>400.489743712505</v>
      </c>
      <c r="AO24" s="69">
        <v>47.051480755691102</v>
      </c>
      <c r="AP24" s="69">
        <v>2803.1636561170299</v>
      </c>
      <c r="AQ24" s="69">
        <v>2468.8311413241699</v>
      </c>
      <c r="AR24" s="69">
        <v>8631.8725265170106</v>
      </c>
      <c r="AS24" s="69">
        <v>414.59631181349602</v>
      </c>
      <c r="AT24" s="69">
        <v>4100.6129111277096</v>
      </c>
      <c r="AU24" s="69">
        <v>156.377694096791</v>
      </c>
      <c r="AV24" s="69">
        <v>8.3834459190394899</v>
      </c>
      <c r="AW24" s="69">
        <v>383.66867394632999</v>
      </c>
      <c r="AX24" s="69">
        <v>9.6442215304496806</v>
      </c>
      <c r="AY24" s="69">
        <v>6.4508999802267297</v>
      </c>
      <c r="AZ24" s="69">
        <v>5.7307652040145198</v>
      </c>
      <c r="BA24" s="69">
        <v>104.503867591296</v>
      </c>
      <c r="BB24" s="69">
        <v>296.82483004319499</v>
      </c>
      <c r="BC24" s="69">
        <v>42.335375468509802</v>
      </c>
      <c r="BD24" s="69">
        <v>329.95705243419002</v>
      </c>
      <c r="BE24" s="69">
        <v>221.839128954416</v>
      </c>
      <c r="BF24" s="69">
        <v>75.043077402507294</v>
      </c>
      <c r="BG24" s="69">
        <v>346.94275865803502</v>
      </c>
      <c r="BH24" s="69">
        <v>257.83591004161798</v>
      </c>
      <c r="BI24" s="69">
        <v>187.764058514124</v>
      </c>
      <c r="BJ24" s="69">
        <v>406.712114901223</v>
      </c>
      <c r="BK24" s="69">
        <v>38.698416913208099</v>
      </c>
      <c r="BL24" s="69">
        <v>58.311425855698999</v>
      </c>
      <c r="BM24" s="69">
        <v>23.973009753048</v>
      </c>
      <c r="BN24" s="69">
        <v>121.325462807593</v>
      </c>
      <c r="BO24" s="69">
        <v>53.091381104807702</v>
      </c>
      <c r="BP24" s="69">
        <v>278.76611242548699</v>
      </c>
      <c r="BQ24" s="70">
        <v>0</v>
      </c>
      <c r="BR24" s="71">
        <v>82142.473287065994</v>
      </c>
      <c r="BS24" s="72">
        <v>0</v>
      </c>
      <c r="BT24" s="73">
        <v>0</v>
      </c>
      <c r="BU24" s="73">
        <v>0</v>
      </c>
      <c r="BV24" s="73">
        <v>59333.566133407599</v>
      </c>
      <c r="BW24" s="73">
        <v>0.237171982410947</v>
      </c>
      <c r="BX24" s="74">
        <v>0</v>
      </c>
      <c r="BY24" s="71">
        <v>59333.80330539</v>
      </c>
      <c r="BZ24" s="75">
        <v>141476.27659245601</v>
      </c>
    </row>
    <row r="25" spans="1:78" ht="15" customHeight="1" x14ac:dyDescent="0.3">
      <c r="A25" s="19" t="s">
        <v>43</v>
      </c>
      <c r="B25" s="11" t="s">
        <v>111</v>
      </c>
      <c r="C25" s="68">
        <v>32.085046010778697</v>
      </c>
      <c r="D25" s="69">
        <v>47.245853658169402</v>
      </c>
      <c r="E25" s="69">
        <v>2.2397132279651202</v>
      </c>
      <c r="F25" s="69">
        <v>3.0000117618376902E-2</v>
      </c>
      <c r="G25" s="69">
        <v>65.520746679539698</v>
      </c>
      <c r="H25" s="69">
        <v>1.43831485187362</v>
      </c>
      <c r="I25" s="69">
        <v>0.15376829401189199</v>
      </c>
      <c r="J25" s="69">
        <v>57.072976090928101</v>
      </c>
      <c r="K25" s="69">
        <v>13.352158340463401</v>
      </c>
      <c r="L25" s="69">
        <v>85.496978562184395</v>
      </c>
      <c r="M25" s="69">
        <v>8.5759632556886096</v>
      </c>
      <c r="N25" s="69">
        <v>6.5527998506628401E-4</v>
      </c>
      <c r="O25" s="69">
        <v>0.16832331554586299</v>
      </c>
      <c r="P25" s="69">
        <v>3.2899361147004903E-2</v>
      </c>
      <c r="Q25" s="69">
        <v>7.5216777643557498E-2</v>
      </c>
      <c r="R25" s="69">
        <v>3.6707193536986302E-2</v>
      </c>
      <c r="S25" s="69">
        <v>1.1951784989154299</v>
      </c>
      <c r="T25" s="69">
        <v>2.62063635694397E-2</v>
      </c>
      <c r="U25" s="69">
        <v>2544.8929368753702</v>
      </c>
      <c r="V25" s="69">
        <v>78.801107004850607</v>
      </c>
      <c r="W25" s="69">
        <v>64.507367310115598</v>
      </c>
      <c r="X25" s="69">
        <v>33.686998771030801</v>
      </c>
      <c r="Y25" s="69">
        <v>157.89563197728</v>
      </c>
      <c r="Z25" s="69">
        <v>71.461473889151506</v>
      </c>
      <c r="AA25" s="69">
        <v>0.32083866434805802</v>
      </c>
      <c r="AB25" s="69">
        <v>6.7675214181245197E-2</v>
      </c>
      <c r="AC25" s="69">
        <v>0.29614651999539798</v>
      </c>
      <c r="AD25" s="69">
        <v>0.11352565518473801</v>
      </c>
      <c r="AE25" s="69">
        <v>5.02690903126914</v>
      </c>
      <c r="AF25" s="69">
        <v>1.0296422544760901E-2</v>
      </c>
      <c r="AG25" s="69">
        <v>7.6677600890144595E-2</v>
      </c>
      <c r="AH25" s="69">
        <v>2.7265379074649698</v>
      </c>
      <c r="AI25" s="69">
        <v>2.9374612678238199</v>
      </c>
      <c r="AJ25" s="69">
        <v>2.0218517104538199E-2</v>
      </c>
      <c r="AK25" s="69">
        <v>4.1560751030921397E-2</v>
      </c>
      <c r="AL25" s="69">
        <v>5.14300264294947E-2</v>
      </c>
      <c r="AM25" s="69">
        <v>1.1962673667024699</v>
      </c>
      <c r="AN25" s="69">
        <v>4.2804600204437201E-2</v>
      </c>
      <c r="AO25" s="69">
        <v>0.10035676506126499</v>
      </c>
      <c r="AP25" s="69">
        <v>207.52543961837901</v>
      </c>
      <c r="AQ25" s="69">
        <v>236.29116125745199</v>
      </c>
      <c r="AR25" s="69">
        <v>246.248213202942</v>
      </c>
      <c r="AS25" s="69">
        <v>5.4592863772721101E-2</v>
      </c>
      <c r="AT25" s="69">
        <v>14.5185846560051</v>
      </c>
      <c r="AU25" s="69">
        <v>11.7356928534575</v>
      </c>
      <c r="AV25" s="69">
        <v>0.43329774227492202</v>
      </c>
      <c r="AW25" s="69">
        <v>58.827924886407502</v>
      </c>
      <c r="AX25" s="69">
        <v>2.5288161682708601E-2</v>
      </c>
      <c r="AY25" s="69">
        <v>0.1248026159629</v>
      </c>
      <c r="AZ25" s="69">
        <v>0.17094827876202001</v>
      </c>
      <c r="BA25" s="69">
        <v>51.7145029247894</v>
      </c>
      <c r="BB25" s="69">
        <v>59.509769221037601</v>
      </c>
      <c r="BC25" s="69">
        <v>2.2493751218641202E-2</v>
      </c>
      <c r="BD25" s="69">
        <v>68.081228437914703</v>
      </c>
      <c r="BE25" s="69">
        <v>86.006425888498399</v>
      </c>
      <c r="BF25" s="69">
        <v>37.262616685354097</v>
      </c>
      <c r="BG25" s="69">
        <v>86.905589220268894</v>
      </c>
      <c r="BH25" s="69">
        <v>104.613890876564</v>
      </c>
      <c r="BI25" s="69">
        <v>40.876761150743697</v>
      </c>
      <c r="BJ25" s="69">
        <v>95.978205799194001</v>
      </c>
      <c r="BK25" s="69">
        <v>12.0822322446356</v>
      </c>
      <c r="BL25" s="69">
        <v>0.92779241035037197</v>
      </c>
      <c r="BM25" s="69">
        <v>9.3077076322686292</v>
      </c>
      <c r="BN25" s="69">
        <v>45.671227058594603</v>
      </c>
      <c r="BO25" s="69">
        <v>0.605128975976993</v>
      </c>
      <c r="BP25" s="69">
        <v>85.837935569964998</v>
      </c>
      <c r="BQ25" s="70">
        <v>0</v>
      </c>
      <c r="BR25" s="71">
        <v>4840.3803820020803</v>
      </c>
      <c r="BS25" s="72">
        <v>0</v>
      </c>
      <c r="BT25" s="73">
        <v>2.4071054366546701E-2</v>
      </c>
      <c r="BU25" s="73">
        <v>0</v>
      </c>
      <c r="BV25" s="73">
        <v>10856.7800358642</v>
      </c>
      <c r="BW25" s="73">
        <v>5.2896076861116601</v>
      </c>
      <c r="BX25" s="74">
        <v>0</v>
      </c>
      <c r="BY25" s="71">
        <v>10862.0937146046</v>
      </c>
      <c r="BZ25" s="75">
        <v>15702.4740966067</v>
      </c>
    </row>
    <row r="26" spans="1:78" ht="15" customHeight="1" x14ac:dyDescent="0.3">
      <c r="A26" s="19" t="s">
        <v>44</v>
      </c>
      <c r="B26" s="32" t="s">
        <v>112</v>
      </c>
      <c r="C26" s="68">
        <v>11183.170651185001</v>
      </c>
      <c r="D26" s="69">
        <v>1739.66359308746</v>
      </c>
      <c r="E26" s="69">
        <v>61.618577695091098</v>
      </c>
      <c r="F26" s="69">
        <v>53.098321258443001</v>
      </c>
      <c r="G26" s="69">
        <v>667.69980662920602</v>
      </c>
      <c r="H26" s="69">
        <v>126.0313868771</v>
      </c>
      <c r="I26" s="69">
        <v>28.749648372427501</v>
      </c>
      <c r="J26" s="69">
        <v>70.621680505253906</v>
      </c>
      <c r="K26" s="69">
        <v>37.8668478182733</v>
      </c>
      <c r="L26" s="69">
        <v>147.01100491097199</v>
      </c>
      <c r="M26" s="69">
        <v>9.86423102177422</v>
      </c>
      <c r="N26" s="69">
        <v>2.8017419874308402E-3</v>
      </c>
      <c r="O26" s="69">
        <v>920.572948394479</v>
      </c>
      <c r="P26" s="69">
        <v>27.7041678680405</v>
      </c>
      <c r="Q26" s="69">
        <v>202.11482832460101</v>
      </c>
      <c r="R26" s="69">
        <v>203.21369786669899</v>
      </c>
      <c r="S26" s="69">
        <v>935.53690361603901</v>
      </c>
      <c r="T26" s="69">
        <v>8.7838091784878607</v>
      </c>
      <c r="U26" s="69">
        <v>815.87095495220399</v>
      </c>
      <c r="V26" s="69">
        <v>89.592401457304504</v>
      </c>
      <c r="W26" s="69">
        <v>6312.8109655690596</v>
      </c>
      <c r="X26" s="69">
        <v>2294.62661346082</v>
      </c>
      <c r="Y26" s="69">
        <v>753.45388536492499</v>
      </c>
      <c r="Z26" s="69">
        <v>316.46478031983798</v>
      </c>
      <c r="AA26" s="69">
        <v>3675.2066614882801</v>
      </c>
      <c r="AB26" s="69">
        <v>484.20784538135598</v>
      </c>
      <c r="AC26" s="69">
        <v>169.606562817422</v>
      </c>
      <c r="AD26" s="69">
        <v>168.255188661662</v>
      </c>
      <c r="AE26" s="69">
        <v>250.02686228053599</v>
      </c>
      <c r="AF26" s="69">
        <v>26.488541242873001</v>
      </c>
      <c r="AG26" s="69">
        <v>445.59312379295801</v>
      </c>
      <c r="AH26" s="69">
        <v>25.5741214844019</v>
      </c>
      <c r="AI26" s="69">
        <v>16.534703042703001</v>
      </c>
      <c r="AJ26" s="69">
        <v>199.740944270554</v>
      </c>
      <c r="AK26" s="69">
        <v>35.6737259984573</v>
      </c>
      <c r="AL26" s="69">
        <v>336.21510554377102</v>
      </c>
      <c r="AM26" s="69">
        <v>27.624583496642</v>
      </c>
      <c r="AN26" s="69">
        <v>14.660721674236999</v>
      </c>
      <c r="AO26" s="69">
        <v>96.498719275538804</v>
      </c>
      <c r="AP26" s="69">
        <v>128.79639681510301</v>
      </c>
      <c r="AQ26" s="69">
        <v>143.40242619953</v>
      </c>
      <c r="AR26" s="69">
        <v>27.460761107494701</v>
      </c>
      <c r="AS26" s="69">
        <v>0.49398531710413701</v>
      </c>
      <c r="AT26" s="69">
        <v>1.18111601977017</v>
      </c>
      <c r="AU26" s="69">
        <v>2.14886065003317</v>
      </c>
      <c r="AV26" s="69">
        <v>0.82567568595645002</v>
      </c>
      <c r="AW26" s="69">
        <v>9.7962868081065793</v>
      </c>
      <c r="AX26" s="69">
        <v>0.98951273196232103</v>
      </c>
      <c r="AY26" s="69">
        <v>0.98150296845015295</v>
      </c>
      <c r="AZ26" s="69">
        <v>0.77448569245115195</v>
      </c>
      <c r="BA26" s="69">
        <v>1.5417581147355</v>
      </c>
      <c r="BB26" s="69">
        <v>2.2675279610027501</v>
      </c>
      <c r="BC26" s="69">
        <v>9.3774983834560608</v>
      </c>
      <c r="BD26" s="69">
        <v>6.6937409444279199</v>
      </c>
      <c r="BE26" s="69">
        <v>4.8505703175727897</v>
      </c>
      <c r="BF26" s="69">
        <v>12.692533543691599</v>
      </c>
      <c r="BG26" s="69">
        <v>7.4509559692557401</v>
      </c>
      <c r="BH26" s="69">
        <v>69.396365792576802</v>
      </c>
      <c r="BI26" s="69">
        <v>0.40106335850945102</v>
      </c>
      <c r="BJ26" s="69">
        <v>9.6236904570730193</v>
      </c>
      <c r="BK26" s="69">
        <v>12.729772297627999</v>
      </c>
      <c r="BL26" s="69">
        <v>2.92426823405822</v>
      </c>
      <c r="BM26" s="69">
        <v>79.159392373495905</v>
      </c>
      <c r="BN26" s="69">
        <v>267.38873559558499</v>
      </c>
      <c r="BO26" s="69">
        <v>3.58600736300142</v>
      </c>
      <c r="BP26" s="69">
        <v>138.95469525784699</v>
      </c>
      <c r="BQ26" s="70">
        <v>0</v>
      </c>
      <c r="BR26" s="71">
        <v>33923.941503886701</v>
      </c>
      <c r="BS26" s="72">
        <v>3.1621725880580302E-3</v>
      </c>
      <c r="BT26" s="73">
        <v>1.24325630858492</v>
      </c>
      <c r="BU26" s="73">
        <v>0</v>
      </c>
      <c r="BV26" s="73">
        <v>1257.9862039346899</v>
      </c>
      <c r="BW26" s="73">
        <v>7.7160792327894701</v>
      </c>
      <c r="BX26" s="74">
        <v>0</v>
      </c>
      <c r="BY26" s="71">
        <v>1266.9487016486601</v>
      </c>
      <c r="BZ26" s="75">
        <v>35190.890205535397</v>
      </c>
    </row>
    <row r="27" spans="1:78" ht="15" customHeight="1" x14ac:dyDescent="0.3">
      <c r="A27" s="19" t="s">
        <v>45</v>
      </c>
      <c r="B27" s="11" t="s">
        <v>113</v>
      </c>
      <c r="C27" s="68">
        <v>5312.8702673872403</v>
      </c>
      <c r="D27" s="69">
        <v>623.30305481272103</v>
      </c>
      <c r="E27" s="69">
        <v>22.859359052064299</v>
      </c>
      <c r="F27" s="69">
        <v>385.32676864638501</v>
      </c>
      <c r="G27" s="69">
        <v>76.824204960085297</v>
      </c>
      <c r="H27" s="69">
        <v>104.566240113433</v>
      </c>
      <c r="I27" s="69">
        <v>24.2063773064678</v>
      </c>
      <c r="J27" s="69">
        <v>107.36159841038101</v>
      </c>
      <c r="K27" s="69">
        <v>0.81903549011563903</v>
      </c>
      <c r="L27" s="69">
        <v>291.758503003204</v>
      </c>
      <c r="M27" s="69">
        <v>15.7409565422859</v>
      </c>
      <c r="N27" s="69">
        <v>1.8089500716034601E-2</v>
      </c>
      <c r="O27" s="69">
        <v>54.332017747294501</v>
      </c>
      <c r="P27" s="69">
        <v>3.83405858452931</v>
      </c>
      <c r="Q27" s="69">
        <v>17.019764659190699</v>
      </c>
      <c r="R27" s="69">
        <v>196.97384944850299</v>
      </c>
      <c r="S27" s="69">
        <v>204.32305544114499</v>
      </c>
      <c r="T27" s="69">
        <v>76.565576310590004</v>
      </c>
      <c r="U27" s="69">
        <v>126.396866851666</v>
      </c>
      <c r="V27" s="69">
        <v>29.857218255228901</v>
      </c>
      <c r="W27" s="69">
        <v>311.33287465266102</v>
      </c>
      <c r="X27" s="69">
        <v>1461.1277970291601</v>
      </c>
      <c r="Y27" s="69">
        <v>188.391316655465</v>
      </c>
      <c r="Z27" s="69">
        <v>96.159149385515704</v>
      </c>
      <c r="AA27" s="69">
        <v>379.27350194152598</v>
      </c>
      <c r="AB27" s="69">
        <v>122.225935996704</v>
      </c>
      <c r="AC27" s="69">
        <v>44.639989081445698</v>
      </c>
      <c r="AD27" s="69">
        <v>14.3635324289293</v>
      </c>
      <c r="AE27" s="69">
        <v>106.318969512043</v>
      </c>
      <c r="AF27" s="69">
        <v>15.8679109995064</v>
      </c>
      <c r="AG27" s="69">
        <v>24.132045998955899</v>
      </c>
      <c r="AH27" s="69">
        <v>16.2245034768575</v>
      </c>
      <c r="AI27" s="69">
        <v>39.015656440182099</v>
      </c>
      <c r="AJ27" s="69">
        <v>19.881643354543101</v>
      </c>
      <c r="AK27" s="69">
        <v>5.2367198993536697</v>
      </c>
      <c r="AL27" s="69">
        <v>75.853895434121696</v>
      </c>
      <c r="AM27" s="69">
        <v>82.923569440096401</v>
      </c>
      <c r="AN27" s="69">
        <v>17.146427294784299</v>
      </c>
      <c r="AO27" s="69">
        <v>60.182496468931603</v>
      </c>
      <c r="AP27" s="69">
        <v>3018.7056172160601</v>
      </c>
      <c r="AQ27" s="69">
        <v>394.60115196106</v>
      </c>
      <c r="AR27" s="69">
        <v>54.1561869004709</v>
      </c>
      <c r="AS27" s="69">
        <v>0.17957206803595499</v>
      </c>
      <c r="AT27" s="69">
        <v>0.15033633095204599</v>
      </c>
      <c r="AU27" s="69">
        <v>6.0233846313666604</v>
      </c>
      <c r="AV27" s="69">
        <v>0.58507088380120797</v>
      </c>
      <c r="AW27" s="69">
        <v>4.3163634848900099</v>
      </c>
      <c r="AX27" s="69">
        <v>39.534898320349797</v>
      </c>
      <c r="AY27" s="69">
        <v>21.181011789663</v>
      </c>
      <c r="AZ27" s="69">
        <v>0.67353464791426698</v>
      </c>
      <c r="BA27" s="69">
        <v>1.3223389669733501</v>
      </c>
      <c r="BB27" s="69">
        <v>7.1861621155045103</v>
      </c>
      <c r="BC27" s="69">
        <v>342.78147011005098</v>
      </c>
      <c r="BD27" s="69">
        <v>2.6545732346642801</v>
      </c>
      <c r="BE27" s="69">
        <v>1.92563623466365</v>
      </c>
      <c r="BF27" s="69">
        <v>12.6385492000292</v>
      </c>
      <c r="BG27" s="69">
        <v>7.7028310883506501</v>
      </c>
      <c r="BH27" s="69">
        <v>712.57409890450106</v>
      </c>
      <c r="BI27" s="69">
        <v>0.110704015247836</v>
      </c>
      <c r="BJ27" s="69">
        <v>54.574546376589097</v>
      </c>
      <c r="BK27" s="69">
        <v>48.083429889364503</v>
      </c>
      <c r="BL27" s="69">
        <v>1.8335532473985101</v>
      </c>
      <c r="BM27" s="69">
        <v>194.49812088373</v>
      </c>
      <c r="BN27" s="69">
        <v>34.650577933033603</v>
      </c>
      <c r="BO27" s="69">
        <v>5.7727613751076801</v>
      </c>
      <c r="BP27" s="69">
        <v>40.468773249517</v>
      </c>
      <c r="BQ27" s="70">
        <v>0</v>
      </c>
      <c r="BR27" s="71">
        <v>15764.140053073301</v>
      </c>
      <c r="BS27" s="72">
        <v>4.72683191120103E-2</v>
      </c>
      <c r="BT27" s="73">
        <v>1.90389932458478</v>
      </c>
      <c r="BU27" s="73">
        <v>0</v>
      </c>
      <c r="BV27" s="73">
        <v>887.52231962279905</v>
      </c>
      <c r="BW27" s="73">
        <v>5.08764526003936</v>
      </c>
      <c r="BX27" s="74">
        <v>0</v>
      </c>
      <c r="BY27" s="71">
        <v>894.56113252653495</v>
      </c>
      <c r="BZ27" s="75">
        <v>16658.701185599901</v>
      </c>
    </row>
    <row r="28" spans="1:78" ht="15" customHeight="1" x14ac:dyDescent="0.3">
      <c r="A28" s="33" t="s">
        <v>46</v>
      </c>
      <c r="B28" s="11" t="s">
        <v>114</v>
      </c>
      <c r="C28" s="68">
        <v>132.645993263842</v>
      </c>
      <c r="D28" s="69">
        <v>23.650973025610799</v>
      </c>
      <c r="E28" s="69">
        <v>0.74212320678876298</v>
      </c>
      <c r="F28" s="69">
        <v>10.5128306958332</v>
      </c>
      <c r="G28" s="69">
        <v>17.887910288730399</v>
      </c>
      <c r="H28" s="69">
        <v>15.0801165914229</v>
      </c>
      <c r="I28" s="69">
        <v>1.2147084459216999</v>
      </c>
      <c r="J28" s="69">
        <v>6.2977419251042503</v>
      </c>
      <c r="K28" s="69">
        <v>0.29402310718076902</v>
      </c>
      <c r="L28" s="69">
        <v>19.9330560375261</v>
      </c>
      <c r="M28" s="69">
        <v>1.45414349129083</v>
      </c>
      <c r="N28" s="69">
        <v>0.170064869502489</v>
      </c>
      <c r="O28" s="69">
        <v>10.3558503891781</v>
      </c>
      <c r="P28" s="69">
        <v>3.1902346664785899</v>
      </c>
      <c r="Q28" s="69">
        <v>3.7252144134806202</v>
      </c>
      <c r="R28" s="69">
        <v>6.7355263681080801</v>
      </c>
      <c r="S28" s="69">
        <v>18.579515461813099</v>
      </c>
      <c r="T28" s="69">
        <v>2.3029945041881299</v>
      </c>
      <c r="U28" s="69">
        <v>36.539278073863798</v>
      </c>
      <c r="V28" s="69">
        <v>3.0126744302411899</v>
      </c>
      <c r="W28" s="69">
        <v>82.856398686502203</v>
      </c>
      <c r="X28" s="69">
        <v>77.449422125434893</v>
      </c>
      <c r="Y28" s="69">
        <v>152.97910778993099</v>
      </c>
      <c r="Z28" s="69">
        <v>10.032327119958699</v>
      </c>
      <c r="AA28" s="69">
        <v>34.069333304942099</v>
      </c>
      <c r="AB28" s="69">
        <v>6.6000118378534403</v>
      </c>
      <c r="AC28" s="69">
        <v>3.7744720961867899</v>
      </c>
      <c r="AD28" s="69">
        <v>2.29421934728569</v>
      </c>
      <c r="AE28" s="69">
        <v>59.280404311388097</v>
      </c>
      <c r="AF28" s="69">
        <v>0.77151510582113203</v>
      </c>
      <c r="AG28" s="69">
        <v>3.97357783343254</v>
      </c>
      <c r="AH28" s="69">
        <v>2.9243148570100801</v>
      </c>
      <c r="AI28" s="69">
        <v>1.79968740557339</v>
      </c>
      <c r="AJ28" s="69">
        <v>2.1035574194760098</v>
      </c>
      <c r="AK28" s="69">
        <v>0.51815232510139897</v>
      </c>
      <c r="AL28" s="69">
        <v>5.6089985679760304</v>
      </c>
      <c r="AM28" s="69">
        <v>2.98475508046194</v>
      </c>
      <c r="AN28" s="69">
        <v>1.90300832759028</v>
      </c>
      <c r="AO28" s="69">
        <v>6.34928517518125</v>
      </c>
      <c r="AP28" s="69">
        <v>95.683078891045099</v>
      </c>
      <c r="AQ28" s="69">
        <v>665.956069653648</v>
      </c>
      <c r="AR28" s="69">
        <v>80.3592145690329</v>
      </c>
      <c r="AS28" s="69">
        <v>0.26245845289505898</v>
      </c>
      <c r="AT28" s="69">
        <v>0.16301901922608</v>
      </c>
      <c r="AU28" s="69">
        <v>19.926176126132201</v>
      </c>
      <c r="AV28" s="69">
        <v>19.446655201371399</v>
      </c>
      <c r="AW28" s="69">
        <v>20.989282324013999</v>
      </c>
      <c r="AX28" s="69">
        <v>6.5505615388598102</v>
      </c>
      <c r="AY28" s="69">
        <v>16.371747447435901</v>
      </c>
      <c r="AZ28" s="69">
        <v>19.0741791590875</v>
      </c>
      <c r="BA28" s="69">
        <v>12.4656435582823</v>
      </c>
      <c r="BB28" s="69">
        <v>13.205731890014301</v>
      </c>
      <c r="BC28" s="69">
        <v>7.0185844559332997</v>
      </c>
      <c r="BD28" s="69">
        <v>126.687465875065</v>
      </c>
      <c r="BE28" s="69">
        <v>46.8835048006394</v>
      </c>
      <c r="BF28" s="69">
        <v>247.463527885313</v>
      </c>
      <c r="BG28" s="69">
        <v>55.738867107017597</v>
      </c>
      <c r="BH28" s="69">
        <v>831.63871176279497</v>
      </c>
      <c r="BI28" s="69">
        <v>1.3103573263948101</v>
      </c>
      <c r="BJ28" s="69">
        <v>29.7435640160563</v>
      </c>
      <c r="BK28" s="69">
        <v>25.058158275831801</v>
      </c>
      <c r="BL28" s="69">
        <v>73.272218920506006</v>
      </c>
      <c r="BM28" s="69">
        <v>21.805498081579</v>
      </c>
      <c r="BN28" s="69">
        <v>356.957998942232</v>
      </c>
      <c r="BO28" s="69">
        <v>75.423914307460095</v>
      </c>
      <c r="BP28" s="69">
        <v>634.86720197172701</v>
      </c>
      <c r="BQ28" s="70">
        <v>0</v>
      </c>
      <c r="BR28" s="71">
        <v>4276.9209135328101</v>
      </c>
      <c r="BS28" s="72">
        <v>0.161531390783718</v>
      </c>
      <c r="BT28" s="73">
        <v>0.97622651904160196</v>
      </c>
      <c r="BU28" s="73">
        <v>0</v>
      </c>
      <c r="BV28" s="73">
        <v>24101.501801162402</v>
      </c>
      <c r="BW28" s="73">
        <v>6.6575287873655498</v>
      </c>
      <c r="BX28" s="74">
        <v>0</v>
      </c>
      <c r="BY28" s="71">
        <v>24109.297087859599</v>
      </c>
      <c r="BZ28" s="75">
        <v>28386.218001392401</v>
      </c>
    </row>
    <row r="29" spans="1:78" ht="15" customHeight="1" x14ac:dyDescent="0.3">
      <c r="A29" s="33" t="s">
        <v>47</v>
      </c>
      <c r="B29" s="11" t="s">
        <v>115</v>
      </c>
      <c r="C29" s="68">
        <v>99.108258640803101</v>
      </c>
      <c r="D29" s="69">
        <v>647.58570355219604</v>
      </c>
      <c r="E29" s="69">
        <v>4.9507338245281103</v>
      </c>
      <c r="F29" s="69">
        <v>1.27194743221411</v>
      </c>
      <c r="G29" s="69">
        <v>48.356080539788898</v>
      </c>
      <c r="H29" s="69">
        <v>1.44375310031654</v>
      </c>
      <c r="I29" s="69">
        <v>0.19818303984883801</v>
      </c>
      <c r="J29" s="69">
        <v>4.7261470502330498</v>
      </c>
      <c r="K29" s="69">
        <v>2.5876112016459101E-2</v>
      </c>
      <c r="L29" s="69">
        <v>45.3095376424017</v>
      </c>
      <c r="M29" s="69">
        <v>0.51807533766396596</v>
      </c>
      <c r="N29" s="69">
        <v>1.7579145753220499E-3</v>
      </c>
      <c r="O29" s="69">
        <v>1.3011078255225601</v>
      </c>
      <c r="P29" s="69">
        <v>0.731500488882038</v>
      </c>
      <c r="Q29" s="69">
        <v>0.56012604308864</v>
      </c>
      <c r="R29" s="69">
        <v>0.47132442523901102</v>
      </c>
      <c r="S29" s="69">
        <v>2.3037530621345099</v>
      </c>
      <c r="T29" s="69">
        <v>0.14247195431039</v>
      </c>
      <c r="U29" s="69">
        <v>0.13785979568964701</v>
      </c>
      <c r="V29" s="69">
        <v>0.59992788443734402</v>
      </c>
      <c r="W29" s="69">
        <v>16.6008716882979</v>
      </c>
      <c r="X29" s="69">
        <v>58.751569353642303</v>
      </c>
      <c r="Y29" s="69">
        <v>6.44356766626544</v>
      </c>
      <c r="Z29" s="69">
        <v>619.11006481336096</v>
      </c>
      <c r="AA29" s="69">
        <v>3.7471455684951298</v>
      </c>
      <c r="AB29" s="69">
        <v>0.52158021106737795</v>
      </c>
      <c r="AC29" s="69">
        <v>0.69444202282131395</v>
      </c>
      <c r="AD29" s="69">
        <v>0.47501567657636401</v>
      </c>
      <c r="AE29" s="69">
        <v>1.54260976502595</v>
      </c>
      <c r="AF29" s="69">
        <v>0.66490211432833002</v>
      </c>
      <c r="AG29" s="69">
        <v>0.42418536613285202</v>
      </c>
      <c r="AH29" s="69">
        <v>0.57241373772441495</v>
      </c>
      <c r="AI29" s="69">
        <v>0.398188231213354</v>
      </c>
      <c r="AJ29" s="69">
        <v>0.217843794951951</v>
      </c>
      <c r="AK29" s="69">
        <v>3.9794505701521002E-2</v>
      </c>
      <c r="AL29" s="69">
        <v>0.68136287524461403</v>
      </c>
      <c r="AM29" s="69">
        <v>0.314277740612462</v>
      </c>
      <c r="AN29" s="69">
        <v>8.6972232739714994E-2</v>
      </c>
      <c r="AO29" s="69">
        <v>0.409987064068774</v>
      </c>
      <c r="AP29" s="69">
        <v>3.2313132844161201</v>
      </c>
      <c r="AQ29" s="69">
        <v>58.0317599937447</v>
      </c>
      <c r="AR29" s="69">
        <v>1.9574693203310201</v>
      </c>
      <c r="AS29" s="69">
        <v>6.8435210313834996E-2</v>
      </c>
      <c r="AT29" s="69">
        <v>2.9712352172002299E-2</v>
      </c>
      <c r="AU29" s="69">
        <v>0.52310319109587999</v>
      </c>
      <c r="AV29" s="69">
        <v>0.464128932393088</v>
      </c>
      <c r="AW29" s="69">
        <v>4.4496170748418402</v>
      </c>
      <c r="AX29" s="69">
        <v>4.4534848880749801E-2</v>
      </c>
      <c r="AY29" s="69">
        <v>0.369771649376607</v>
      </c>
      <c r="AZ29" s="69">
        <v>0.440301531581622</v>
      </c>
      <c r="BA29" s="69">
        <v>0.39390702045652198</v>
      </c>
      <c r="BB29" s="69">
        <v>0.33133172511938302</v>
      </c>
      <c r="BC29" s="69">
        <v>0.26837580724285998</v>
      </c>
      <c r="BD29" s="69">
        <v>2.7853999275170098</v>
      </c>
      <c r="BE29" s="69">
        <v>3.27242894871226</v>
      </c>
      <c r="BF29" s="69">
        <v>29.8288576090101</v>
      </c>
      <c r="BG29" s="69">
        <v>1.7809349771629599</v>
      </c>
      <c r="BH29" s="69">
        <v>18.705941116442698</v>
      </c>
      <c r="BI29" s="69">
        <v>3.5439024360270799E-2</v>
      </c>
      <c r="BJ29" s="69">
        <v>348.76994576572901</v>
      </c>
      <c r="BK29" s="69">
        <v>115.617794823849</v>
      </c>
      <c r="BL29" s="69">
        <v>152.018078234093</v>
      </c>
      <c r="BM29" s="69">
        <v>2821.4135987968698</v>
      </c>
      <c r="BN29" s="69">
        <v>5888.8015601294101</v>
      </c>
      <c r="BO29" s="69">
        <v>9.1902716907026303</v>
      </c>
      <c r="BP29" s="69">
        <v>410.647671596485</v>
      </c>
      <c r="BQ29" s="70">
        <v>0</v>
      </c>
      <c r="BR29" s="71">
        <v>11444.9126046765</v>
      </c>
      <c r="BS29" s="72">
        <v>0</v>
      </c>
      <c r="BT29" s="73">
        <v>679.67024498000603</v>
      </c>
      <c r="BU29" s="73">
        <v>0</v>
      </c>
      <c r="BV29" s="73">
        <v>21754.2474199356</v>
      </c>
      <c r="BW29" s="73">
        <v>4.3242453419825901</v>
      </c>
      <c r="BX29" s="74">
        <v>0</v>
      </c>
      <c r="BY29" s="71">
        <v>22438.2419102575</v>
      </c>
      <c r="BZ29" s="75">
        <v>33883.154514934002</v>
      </c>
    </row>
    <row r="30" spans="1:78" ht="15" customHeight="1" x14ac:dyDescent="0.3">
      <c r="A30" s="33" t="s">
        <v>48</v>
      </c>
      <c r="B30" s="11" t="s">
        <v>116</v>
      </c>
      <c r="C30" s="68">
        <v>188.53964996814199</v>
      </c>
      <c r="D30" s="69">
        <v>67.501523382415698</v>
      </c>
      <c r="E30" s="69">
        <v>13.0895005349252</v>
      </c>
      <c r="F30" s="69">
        <v>35.197894004385297</v>
      </c>
      <c r="G30" s="69">
        <v>49.605067642009203</v>
      </c>
      <c r="H30" s="69">
        <v>379.21100774079702</v>
      </c>
      <c r="I30" s="69">
        <v>22.9942379428132</v>
      </c>
      <c r="J30" s="69">
        <v>210.46334157642801</v>
      </c>
      <c r="K30" s="69">
        <v>11.674597623330801</v>
      </c>
      <c r="L30" s="69">
        <v>702.49888270029101</v>
      </c>
      <c r="M30" s="69">
        <v>181.140183871739</v>
      </c>
      <c r="N30" s="69">
        <v>0.37303876315097501</v>
      </c>
      <c r="O30" s="69">
        <v>67.474989639509104</v>
      </c>
      <c r="P30" s="69">
        <v>34.008579139693701</v>
      </c>
      <c r="Q30" s="69">
        <v>69.461076935213001</v>
      </c>
      <c r="R30" s="69">
        <v>53.456859730248503</v>
      </c>
      <c r="S30" s="69">
        <v>95.763364164387596</v>
      </c>
      <c r="T30" s="69">
        <v>57.7415299167901</v>
      </c>
      <c r="U30" s="69">
        <v>3.76753022732216</v>
      </c>
      <c r="V30" s="69">
        <v>5.78802781453272</v>
      </c>
      <c r="W30" s="69">
        <v>134.86871582139199</v>
      </c>
      <c r="X30" s="69">
        <v>58.808532133202</v>
      </c>
      <c r="Y30" s="69">
        <v>131.235289081178</v>
      </c>
      <c r="Z30" s="69">
        <v>27.281832670603599</v>
      </c>
      <c r="AA30" s="69">
        <v>1575.1161960720599</v>
      </c>
      <c r="AB30" s="69">
        <v>219.903558075098</v>
      </c>
      <c r="AC30" s="69">
        <v>60.188567947719697</v>
      </c>
      <c r="AD30" s="69">
        <v>8.1330863481835607</v>
      </c>
      <c r="AE30" s="69">
        <v>107.414323596217</v>
      </c>
      <c r="AF30" s="69">
        <v>74.889178289922498</v>
      </c>
      <c r="AG30" s="69">
        <v>167.25318591194099</v>
      </c>
      <c r="AH30" s="69">
        <v>294.06661935777697</v>
      </c>
      <c r="AI30" s="69">
        <v>832.18592528987699</v>
      </c>
      <c r="AJ30" s="69">
        <v>355.30928789075398</v>
      </c>
      <c r="AK30" s="69">
        <v>70.152335905646794</v>
      </c>
      <c r="AL30" s="69">
        <v>238.990080465657</v>
      </c>
      <c r="AM30" s="69">
        <v>153.11138170976901</v>
      </c>
      <c r="AN30" s="69">
        <v>28.9488253397124</v>
      </c>
      <c r="AO30" s="69">
        <v>102.423208958448</v>
      </c>
      <c r="AP30" s="69">
        <v>4214.59871638398</v>
      </c>
      <c r="AQ30" s="69">
        <v>1717.4735158343001</v>
      </c>
      <c r="AR30" s="69">
        <v>1378.51862132008</v>
      </c>
      <c r="AS30" s="69">
        <v>0.70451561326427803</v>
      </c>
      <c r="AT30" s="69">
        <v>160.312382242013</v>
      </c>
      <c r="AU30" s="69">
        <v>22.323900319902499</v>
      </c>
      <c r="AV30" s="69">
        <v>2.5223013317036602</v>
      </c>
      <c r="AW30" s="69">
        <v>126.01947739467199</v>
      </c>
      <c r="AX30" s="69">
        <v>4.4939207630639997</v>
      </c>
      <c r="AY30" s="69">
        <v>0.91441458439058199</v>
      </c>
      <c r="AZ30" s="69">
        <v>0.77739722735003702</v>
      </c>
      <c r="BA30" s="69">
        <v>6.1559068677846502</v>
      </c>
      <c r="BB30" s="69">
        <v>28.2401399138272</v>
      </c>
      <c r="BC30" s="69">
        <v>32.395133351873703</v>
      </c>
      <c r="BD30" s="69">
        <v>190.39871526101001</v>
      </c>
      <c r="BE30" s="69">
        <v>6.4945406614909196</v>
      </c>
      <c r="BF30" s="69">
        <v>10.965982296418201</v>
      </c>
      <c r="BG30" s="69">
        <v>133.63085677639299</v>
      </c>
      <c r="BH30" s="69">
        <v>232.655201368815</v>
      </c>
      <c r="BI30" s="69">
        <v>0.57261092956549597</v>
      </c>
      <c r="BJ30" s="69">
        <v>21.954002805116001</v>
      </c>
      <c r="BK30" s="69">
        <v>25.7012363100601</v>
      </c>
      <c r="BL30" s="69">
        <v>2.3941338510860199</v>
      </c>
      <c r="BM30" s="69">
        <v>130.66001308856099</v>
      </c>
      <c r="BN30" s="69">
        <v>198.27543166643801</v>
      </c>
      <c r="BO30" s="69">
        <v>1.6579799507448001</v>
      </c>
      <c r="BP30" s="69">
        <v>49.052138385355001</v>
      </c>
      <c r="BQ30" s="70">
        <v>0</v>
      </c>
      <c r="BR30" s="71">
        <v>15589.8942006825</v>
      </c>
      <c r="BS30" s="72">
        <v>0.37832399091694802</v>
      </c>
      <c r="BT30" s="73">
        <v>0.125467290679665</v>
      </c>
      <c r="BU30" s="73">
        <v>0</v>
      </c>
      <c r="BV30" s="73">
        <v>6059.4082966686401</v>
      </c>
      <c r="BW30" s="73">
        <v>114.983212141862</v>
      </c>
      <c r="BX30" s="74">
        <v>0</v>
      </c>
      <c r="BY30" s="71">
        <v>6174.8953000920901</v>
      </c>
      <c r="BZ30" s="75">
        <v>21764.789500774601</v>
      </c>
    </row>
    <row r="31" spans="1:78" ht="15" customHeight="1" x14ac:dyDescent="0.3">
      <c r="A31" s="33" t="s">
        <v>49</v>
      </c>
      <c r="B31" s="11" t="s">
        <v>117</v>
      </c>
      <c r="C31" s="68">
        <v>478.34275142612302</v>
      </c>
      <c r="D31" s="69">
        <v>330.52618015882598</v>
      </c>
      <c r="E31" s="69">
        <v>12.704413702857901</v>
      </c>
      <c r="F31" s="69">
        <v>12.038726611709601</v>
      </c>
      <c r="G31" s="69">
        <v>7.6193705514640104</v>
      </c>
      <c r="H31" s="69">
        <v>3.86704766868292</v>
      </c>
      <c r="I31" s="69">
        <v>0.56833306009505902</v>
      </c>
      <c r="J31" s="69">
        <v>2.5795555143083302</v>
      </c>
      <c r="K31" s="69">
        <v>11.629312025546101</v>
      </c>
      <c r="L31" s="69">
        <v>180.679065364281</v>
      </c>
      <c r="M31" s="69">
        <v>195.57765794679699</v>
      </c>
      <c r="N31" s="69">
        <v>3.4294684713784003E-2</v>
      </c>
      <c r="O31" s="69">
        <v>5.2991499459999201</v>
      </c>
      <c r="P31" s="69">
        <v>21.132225263021098</v>
      </c>
      <c r="Q31" s="69">
        <v>2.9393438251223998</v>
      </c>
      <c r="R31" s="69">
        <v>3.0713714708533799</v>
      </c>
      <c r="S31" s="69">
        <v>26.475165854729799</v>
      </c>
      <c r="T31" s="69">
        <v>1.40019165360177</v>
      </c>
      <c r="U31" s="69">
        <v>3.15970125686251</v>
      </c>
      <c r="V31" s="69">
        <v>1.2808966473191401</v>
      </c>
      <c r="W31" s="69">
        <v>75.395058188823398</v>
      </c>
      <c r="X31" s="69">
        <v>17.2855163819968</v>
      </c>
      <c r="Y31" s="69">
        <v>38.640196195263599</v>
      </c>
      <c r="Z31" s="69">
        <v>5.6991239574689097</v>
      </c>
      <c r="AA31" s="69">
        <v>48.115032955591502</v>
      </c>
      <c r="AB31" s="69">
        <v>679.77722531873303</v>
      </c>
      <c r="AC31" s="69">
        <v>25.269407316188001</v>
      </c>
      <c r="AD31" s="69">
        <v>2.3110001885142899</v>
      </c>
      <c r="AE31" s="69">
        <v>18.915776912047299</v>
      </c>
      <c r="AF31" s="69">
        <v>1.60933812169531</v>
      </c>
      <c r="AG31" s="69">
        <v>32.374182779209001</v>
      </c>
      <c r="AH31" s="69">
        <v>26.840102754522899</v>
      </c>
      <c r="AI31" s="69">
        <v>165.823592577905</v>
      </c>
      <c r="AJ31" s="69">
        <v>10.820324314193099</v>
      </c>
      <c r="AK31" s="69">
        <v>6.0824335708278996</v>
      </c>
      <c r="AL31" s="69">
        <v>56.719238296991897</v>
      </c>
      <c r="AM31" s="69">
        <v>24.749509371557</v>
      </c>
      <c r="AN31" s="69">
        <v>70.092145588281497</v>
      </c>
      <c r="AO31" s="69">
        <v>51.471685281190197</v>
      </c>
      <c r="AP31" s="69">
        <v>11438.562712983001</v>
      </c>
      <c r="AQ31" s="69">
        <v>79.907329210523699</v>
      </c>
      <c r="AR31" s="69">
        <v>8.9202944056912994</v>
      </c>
      <c r="AS31" s="69">
        <v>0.18648235893769299</v>
      </c>
      <c r="AT31" s="69">
        <v>1.64059927206937E-2</v>
      </c>
      <c r="AU31" s="69">
        <v>0.55319059434193596</v>
      </c>
      <c r="AV31" s="69">
        <v>26.2651738103025</v>
      </c>
      <c r="AW31" s="69">
        <v>117.10384858650001</v>
      </c>
      <c r="AX31" s="69">
        <v>0.83003176866739603</v>
      </c>
      <c r="AY31" s="69">
        <v>0.44199393270097098</v>
      </c>
      <c r="AZ31" s="69">
        <v>0.25480288148186198</v>
      </c>
      <c r="BA31" s="69">
        <v>0.78904793165459297</v>
      </c>
      <c r="BB31" s="69">
        <v>0.94316544312741202</v>
      </c>
      <c r="BC31" s="69">
        <v>356.88808904725403</v>
      </c>
      <c r="BD31" s="69">
        <v>2.3504430162213801</v>
      </c>
      <c r="BE31" s="69">
        <v>3.00522051478162</v>
      </c>
      <c r="BF31" s="69">
        <v>1.2537877762026199</v>
      </c>
      <c r="BG31" s="69">
        <v>1.8814657687837</v>
      </c>
      <c r="BH31" s="69">
        <v>44.506368418113198</v>
      </c>
      <c r="BI31" s="69">
        <v>8.4424053490719603E-2</v>
      </c>
      <c r="BJ31" s="69">
        <v>44.383400624832298</v>
      </c>
      <c r="BK31" s="69">
        <v>13.955893116138499</v>
      </c>
      <c r="BL31" s="69">
        <v>0.64896892636861303</v>
      </c>
      <c r="BM31" s="69">
        <v>40.8102348337206</v>
      </c>
      <c r="BN31" s="69">
        <v>69.740695156274896</v>
      </c>
      <c r="BO31" s="69">
        <v>0.44285372084848101</v>
      </c>
      <c r="BP31" s="69">
        <v>56.375053289278</v>
      </c>
      <c r="BQ31" s="70">
        <v>0</v>
      </c>
      <c r="BR31" s="71">
        <v>14970.017022865801</v>
      </c>
      <c r="BS31" s="72">
        <v>0.126860554729604</v>
      </c>
      <c r="BT31" s="73">
        <v>1.3576604902599001</v>
      </c>
      <c r="BU31" s="73">
        <v>0</v>
      </c>
      <c r="BV31" s="73">
        <v>1384.5352573130101</v>
      </c>
      <c r="BW31" s="73">
        <v>22.2051434421744</v>
      </c>
      <c r="BX31" s="74">
        <v>0</v>
      </c>
      <c r="BY31" s="71">
        <v>1408.22492180017</v>
      </c>
      <c r="BZ31" s="75">
        <v>16378.241944666001</v>
      </c>
    </row>
    <row r="32" spans="1:78" ht="15" customHeight="1" x14ac:dyDescent="0.3">
      <c r="A32" s="33" t="s">
        <v>50</v>
      </c>
      <c r="B32" s="11" t="s">
        <v>118</v>
      </c>
      <c r="C32" s="68">
        <v>49.004736419313801</v>
      </c>
      <c r="D32" s="69">
        <v>115.153405667035</v>
      </c>
      <c r="E32" s="69">
        <v>5.8130366912256397</v>
      </c>
      <c r="F32" s="69">
        <v>19.765976600712499</v>
      </c>
      <c r="G32" s="69">
        <v>1759.57160450681</v>
      </c>
      <c r="H32" s="69">
        <v>22.570262163778199</v>
      </c>
      <c r="I32" s="69">
        <v>6.4518717695375596</v>
      </c>
      <c r="J32" s="69">
        <v>48.770721969356103</v>
      </c>
      <c r="K32" s="69">
        <v>0.64995630131276505</v>
      </c>
      <c r="L32" s="69">
        <v>22.066690384188401</v>
      </c>
      <c r="M32" s="69">
        <v>18.890924565298</v>
      </c>
      <c r="N32" s="69">
        <v>2.9403589073487101E-4</v>
      </c>
      <c r="O32" s="69">
        <v>5.79997452923996</v>
      </c>
      <c r="P32" s="69">
        <v>0.62750057307484297</v>
      </c>
      <c r="Q32" s="69">
        <v>1.2768966492613201</v>
      </c>
      <c r="R32" s="69">
        <v>16.135774460204001</v>
      </c>
      <c r="S32" s="69">
        <v>32.0192006733187</v>
      </c>
      <c r="T32" s="69">
        <v>1.48962079772886</v>
      </c>
      <c r="U32" s="69">
        <v>19.426637917675599</v>
      </c>
      <c r="V32" s="69">
        <v>0.43254997159537101</v>
      </c>
      <c r="W32" s="69">
        <v>24.8917164685293</v>
      </c>
      <c r="X32" s="69">
        <v>12.855611851509799</v>
      </c>
      <c r="Y32" s="69">
        <v>8.4744180161663305</v>
      </c>
      <c r="Z32" s="69">
        <v>1.80832662111328</v>
      </c>
      <c r="AA32" s="69">
        <v>174.36273283287699</v>
      </c>
      <c r="AB32" s="69">
        <v>105.131296305109</v>
      </c>
      <c r="AC32" s="69">
        <v>1365.0432450297201</v>
      </c>
      <c r="AD32" s="69">
        <v>91.923012704428402</v>
      </c>
      <c r="AE32" s="69">
        <v>3009.8329750170101</v>
      </c>
      <c r="AF32" s="69">
        <v>12.255742445557001</v>
      </c>
      <c r="AG32" s="69">
        <v>425.53157000715902</v>
      </c>
      <c r="AH32" s="69">
        <v>1320.6361957885399</v>
      </c>
      <c r="AI32" s="69">
        <v>692.35446033209996</v>
      </c>
      <c r="AJ32" s="69">
        <v>1078.35783926106</v>
      </c>
      <c r="AK32" s="69">
        <v>86.617948397273196</v>
      </c>
      <c r="AL32" s="69">
        <v>203.886474429407</v>
      </c>
      <c r="AM32" s="69">
        <v>170.49956266648999</v>
      </c>
      <c r="AN32" s="69">
        <v>45.028400217765501</v>
      </c>
      <c r="AO32" s="69">
        <v>14.199424158059401</v>
      </c>
      <c r="AP32" s="69">
        <v>4158.1029722216599</v>
      </c>
      <c r="AQ32" s="69">
        <v>309.37216194428498</v>
      </c>
      <c r="AR32" s="69">
        <v>6.7413031682829896</v>
      </c>
      <c r="AS32" s="69">
        <v>9.0737276003802506E-2</v>
      </c>
      <c r="AT32" s="69">
        <v>6.93764022817768E-2</v>
      </c>
      <c r="AU32" s="69">
        <v>0.56878337884360197</v>
      </c>
      <c r="AV32" s="69">
        <v>3.5481607993105202</v>
      </c>
      <c r="AW32" s="69">
        <v>46.596749027340302</v>
      </c>
      <c r="AX32" s="69">
        <v>1.4559182136322801E-2</v>
      </c>
      <c r="AY32" s="69">
        <v>0.13271201928363</v>
      </c>
      <c r="AZ32" s="69">
        <v>0.36173354278317399</v>
      </c>
      <c r="BA32" s="69">
        <v>6.2351703038594</v>
      </c>
      <c r="BB32" s="69">
        <v>0.32622917354988601</v>
      </c>
      <c r="BC32" s="69">
        <v>7.2958105490596203</v>
      </c>
      <c r="BD32" s="69">
        <v>2.9563138129754298</v>
      </c>
      <c r="BE32" s="69">
        <v>1.0362663295555601</v>
      </c>
      <c r="BF32" s="69">
        <v>0.32099027434468702</v>
      </c>
      <c r="BG32" s="69">
        <v>85.985206102229</v>
      </c>
      <c r="BH32" s="69">
        <v>7.0218337191427196</v>
      </c>
      <c r="BI32" s="69">
        <v>1.5767659420497599</v>
      </c>
      <c r="BJ32" s="69">
        <v>26.898994827592698</v>
      </c>
      <c r="BK32" s="69">
        <v>4.4456081076328102</v>
      </c>
      <c r="BL32" s="69">
        <v>0.19782893046052999</v>
      </c>
      <c r="BM32" s="69">
        <v>4.3054681336873903</v>
      </c>
      <c r="BN32" s="69">
        <v>2.3793448452622501</v>
      </c>
      <c r="BO32" s="69">
        <v>0.22331789338460101</v>
      </c>
      <c r="BP32" s="69">
        <v>2.2243478275135602</v>
      </c>
      <c r="BQ32" s="70">
        <v>0</v>
      </c>
      <c r="BR32" s="71">
        <v>15668.6373349309</v>
      </c>
      <c r="BS32" s="72">
        <v>5.1120290729972897</v>
      </c>
      <c r="BT32" s="73">
        <v>0</v>
      </c>
      <c r="BU32" s="73">
        <v>0</v>
      </c>
      <c r="BV32" s="73">
        <v>280.183545274067</v>
      </c>
      <c r="BW32" s="73">
        <v>75.859482770186901</v>
      </c>
      <c r="BX32" s="74">
        <v>0</v>
      </c>
      <c r="BY32" s="71">
        <v>361.15505711725098</v>
      </c>
      <c r="BZ32" s="75">
        <v>16029.792392048201</v>
      </c>
    </row>
    <row r="33" spans="1:78" ht="15" customHeight="1" x14ac:dyDescent="0.3">
      <c r="A33" s="33" t="s">
        <v>51</v>
      </c>
      <c r="B33" s="11" t="s">
        <v>119</v>
      </c>
      <c r="C33" s="68">
        <v>89.628724392651606</v>
      </c>
      <c r="D33" s="69">
        <v>34.675520207407999</v>
      </c>
      <c r="E33" s="69">
        <v>1.3239181400403099</v>
      </c>
      <c r="F33" s="69">
        <v>0.66482120278021295</v>
      </c>
      <c r="G33" s="69">
        <v>20.943341807415798</v>
      </c>
      <c r="H33" s="69">
        <v>9.6483189569589101</v>
      </c>
      <c r="I33" s="69">
        <v>9.9447571451093495</v>
      </c>
      <c r="J33" s="69">
        <v>43.2506154398394</v>
      </c>
      <c r="K33" s="69">
        <v>1.32936737209289</v>
      </c>
      <c r="L33" s="69">
        <v>109.612293940825</v>
      </c>
      <c r="M33" s="69">
        <v>5.2008947094184403</v>
      </c>
      <c r="N33" s="69">
        <v>1.32751997063313E-2</v>
      </c>
      <c r="O33" s="69">
        <v>1.43525842909546</v>
      </c>
      <c r="P33" s="69">
        <v>0.30095143805468799</v>
      </c>
      <c r="Q33" s="69">
        <v>0.78242444805857903</v>
      </c>
      <c r="R33" s="69">
        <v>3.9940909306646701</v>
      </c>
      <c r="S33" s="69">
        <v>55.221770106870302</v>
      </c>
      <c r="T33" s="69">
        <v>93.003685957890497</v>
      </c>
      <c r="U33" s="69">
        <v>0.57692545901344405</v>
      </c>
      <c r="V33" s="69">
        <v>1.6972924815224801E-2</v>
      </c>
      <c r="W33" s="69">
        <v>199.441437781736</v>
      </c>
      <c r="X33" s="69">
        <v>36.353574920940503</v>
      </c>
      <c r="Y33" s="69">
        <v>6.3253823860814098</v>
      </c>
      <c r="Z33" s="69">
        <v>0.94336467209924502</v>
      </c>
      <c r="AA33" s="69">
        <v>19.053316355976499</v>
      </c>
      <c r="AB33" s="69">
        <v>35.817779000161202</v>
      </c>
      <c r="AC33" s="69">
        <v>201.17476295994399</v>
      </c>
      <c r="AD33" s="69">
        <v>1457.62870157157</v>
      </c>
      <c r="AE33" s="69">
        <v>430.28368725866102</v>
      </c>
      <c r="AF33" s="69">
        <v>16.210256189982701</v>
      </c>
      <c r="AG33" s="69">
        <v>815.419171242012</v>
      </c>
      <c r="AH33" s="69">
        <v>195.24686672744801</v>
      </c>
      <c r="AI33" s="69">
        <v>79.650206550366406</v>
      </c>
      <c r="AJ33" s="69">
        <v>351.66659066104501</v>
      </c>
      <c r="AK33" s="69">
        <v>74.589106012872406</v>
      </c>
      <c r="AL33" s="69">
        <v>349.47719613462698</v>
      </c>
      <c r="AM33" s="69">
        <v>102.208344870293</v>
      </c>
      <c r="AN33" s="69">
        <v>7.7717066758797504</v>
      </c>
      <c r="AO33" s="69">
        <v>20.511139500823699</v>
      </c>
      <c r="AP33" s="69">
        <v>1440.38078600215</v>
      </c>
      <c r="AQ33" s="69">
        <v>66.613508592290202</v>
      </c>
      <c r="AR33" s="69">
        <v>8.6804228282249305</v>
      </c>
      <c r="AS33" s="69">
        <v>0.123164775052496</v>
      </c>
      <c r="AT33" s="69">
        <v>3.1279423008405702E-3</v>
      </c>
      <c r="AU33" s="69">
        <v>0.41244278321406802</v>
      </c>
      <c r="AV33" s="69">
        <v>1.06546072610219</v>
      </c>
      <c r="AW33" s="69">
        <v>13.8511176355745</v>
      </c>
      <c r="AX33" s="69">
        <v>0.112883825410709</v>
      </c>
      <c r="AY33" s="69">
        <v>6.7630241761843707E-2</v>
      </c>
      <c r="AZ33" s="69">
        <v>0.34231479247337698</v>
      </c>
      <c r="BA33" s="69">
        <v>0.53178376386785198</v>
      </c>
      <c r="BB33" s="69">
        <v>0.28974571502332602</v>
      </c>
      <c r="BC33" s="69">
        <v>20.0642252628185</v>
      </c>
      <c r="BD33" s="69">
        <v>1.65000061799779</v>
      </c>
      <c r="BE33" s="69">
        <v>0.51076879186814095</v>
      </c>
      <c r="BF33" s="69">
        <v>0.56694366455018197</v>
      </c>
      <c r="BG33" s="69">
        <v>1.2361136169023901</v>
      </c>
      <c r="BH33" s="69">
        <v>3.86425460865226</v>
      </c>
      <c r="BI33" s="69">
        <v>0.459605392124464</v>
      </c>
      <c r="BJ33" s="69">
        <v>6.9624969430182597</v>
      </c>
      <c r="BK33" s="69">
        <v>1.15246507415688</v>
      </c>
      <c r="BL33" s="69">
        <v>0.298649057532208</v>
      </c>
      <c r="BM33" s="69">
        <v>2.7157698904532102</v>
      </c>
      <c r="BN33" s="69">
        <v>13.2326830694767</v>
      </c>
      <c r="BO33" s="69">
        <v>0.245629472375755</v>
      </c>
      <c r="BP33" s="69">
        <v>7.7607879411560097</v>
      </c>
      <c r="BQ33" s="70">
        <v>0</v>
      </c>
      <c r="BR33" s="71">
        <v>6474.5353027077599</v>
      </c>
      <c r="BS33" s="72">
        <v>1.45513569100914</v>
      </c>
      <c r="BT33" s="73">
        <v>0</v>
      </c>
      <c r="BU33" s="73">
        <v>0</v>
      </c>
      <c r="BV33" s="73">
        <v>117.349399789198</v>
      </c>
      <c r="BW33" s="73">
        <v>46.751983227969397</v>
      </c>
      <c r="BX33" s="74">
        <v>0</v>
      </c>
      <c r="BY33" s="71">
        <v>165.55651870817599</v>
      </c>
      <c r="BZ33" s="75">
        <v>6640.0918214159301</v>
      </c>
    </row>
    <row r="34" spans="1:78" ht="15" customHeight="1" x14ac:dyDescent="0.3">
      <c r="A34" s="33" t="s">
        <v>52</v>
      </c>
      <c r="B34" s="11" t="s">
        <v>120</v>
      </c>
      <c r="C34" s="68">
        <v>129.00573198033999</v>
      </c>
      <c r="D34" s="69">
        <v>187.075679256999</v>
      </c>
      <c r="E34" s="69">
        <v>15.96391683105</v>
      </c>
      <c r="F34" s="69">
        <v>7.2372320173433398</v>
      </c>
      <c r="G34" s="69">
        <v>392.69689241896401</v>
      </c>
      <c r="H34" s="69">
        <v>293.19498579977</v>
      </c>
      <c r="I34" s="69">
        <v>52.567798439279898</v>
      </c>
      <c r="J34" s="69">
        <v>261.68782191148102</v>
      </c>
      <c r="K34" s="69">
        <v>7.5397734919598598</v>
      </c>
      <c r="L34" s="69">
        <v>199.050483673114</v>
      </c>
      <c r="M34" s="69">
        <v>284.07721947211502</v>
      </c>
      <c r="N34" s="69">
        <v>1.2055471520129701E-3</v>
      </c>
      <c r="O34" s="69">
        <v>10.505267234737</v>
      </c>
      <c r="P34" s="69">
        <v>10.135731994165599</v>
      </c>
      <c r="Q34" s="69">
        <v>2.64653941899885</v>
      </c>
      <c r="R34" s="69">
        <v>228.16814485814999</v>
      </c>
      <c r="S34" s="69">
        <v>13.861982496190199</v>
      </c>
      <c r="T34" s="69">
        <v>2.1846765983629801</v>
      </c>
      <c r="U34" s="69">
        <v>33.927273398177498</v>
      </c>
      <c r="V34" s="69">
        <v>0.23068646494043901</v>
      </c>
      <c r="W34" s="69">
        <v>53.151640471785399</v>
      </c>
      <c r="X34" s="69">
        <v>65.059151340158394</v>
      </c>
      <c r="Y34" s="69">
        <v>74.969713406910401</v>
      </c>
      <c r="Z34" s="69">
        <v>4.1096695775465397</v>
      </c>
      <c r="AA34" s="69">
        <v>33.141905208305303</v>
      </c>
      <c r="AB34" s="69">
        <v>32.780267746038</v>
      </c>
      <c r="AC34" s="69">
        <v>208.68119328341601</v>
      </c>
      <c r="AD34" s="69">
        <v>60.300495215701801</v>
      </c>
      <c r="AE34" s="69">
        <v>1302.6381218597901</v>
      </c>
      <c r="AF34" s="69">
        <v>86.785780645441207</v>
      </c>
      <c r="AG34" s="69">
        <v>270.89842864947002</v>
      </c>
      <c r="AH34" s="69">
        <v>719.62851833078298</v>
      </c>
      <c r="AI34" s="69">
        <v>448.51096049970602</v>
      </c>
      <c r="AJ34" s="69">
        <v>261.95056370366501</v>
      </c>
      <c r="AK34" s="69">
        <v>128.57254023780601</v>
      </c>
      <c r="AL34" s="69">
        <v>233.05575007480499</v>
      </c>
      <c r="AM34" s="69">
        <v>444.16589204328</v>
      </c>
      <c r="AN34" s="69">
        <v>352.40462676359698</v>
      </c>
      <c r="AO34" s="69">
        <v>64.745165798489595</v>
      </c>
      <c r="AP34" s="69">
        <v>5564.21791110506</v>
      </c>
      <c r="AQ34" s="69">
        <v>608.19578912168504</v>
      </c>
      <c r="AR34" s="69">
        <v>54.990241448609602</v>
      </c>
      <c r="AS34" s="69">
        <v>0.84475799647364203</v>
      </c>
      <c r="AT34" s="69">
        <v>0.57701943038675696</v>
      </c>
      <c r="AU34" s="69">
        <v>2.05725714990652</v>
      </c>
      <c r="AV34" s="69">
        <v>58.211701912159498</v>
      </c>
      <c r="AW34" s="69">
        <v>742.486746242305</v>
      </c>
      <c r="AX34" s="69">
        <v>8.3571617789074598E-2</v>
      </c>
      <c r="AY34" s="69">
        <v>2.0026954778977801</v>
      </c>
      <c r="AZ34" s="69">
        <v>3.2126292677025399</v>
      </c>
      <c r="BA34" s="69">
        <v>3.7470415285294298</v>
      </c>
      <c r="BB34" s="69">
        <v>1.23820851390178</v>
      </c>
      <c r="BC34" s="69">
        <v>100.943809267714</v>
      </c>
      <c r="BD34" s="69">
        <v>7.01821062117045</v>
      </c>
      <c r="BE34" s="69">
        <v>5.5723180352000297</v>
      </c>
      <c r="BF34" s="69">
        <v>2.44293498705545</v>
      </c>
      <c r="BG34" s="69">
        <v>5.6120617138878304</v>
      </c>
      <c r="BH34" s="69">
        <v>54.750877515072702</v>
      </c>
      <c r="BI34" s="69">
        <v>26.5444927804052</v>
      </c>
      <c r="BJ34" s="69">
        <v>197.76221171776601</v>
      </c>
      <c r="BK34" s="69">
        <v>46.352290502339102</v>
      </c>
      <c r="BL34" s="69">
        <v>0.43701096014533902</v>
      </c>
      <c r="BM34" s="69">
        <v>26.299717435748299</v>
      </c>
      <c r="BN34" s="69">
        <v>31.367832083862901</v>
      </c>
      <c r="BO34" s="69">
        <v>1.2043569511638701</v>
      </c>
      <c r="BP34" s="69">
        <v>23.252519911922398</v>
      </c>
      <c r="BQ34" s="70">
        <v>0</v>
      </c>
      <c r="BR34" s="71">
        <v>14548.735643455901</v>
      </c>
      <c r="BS34" s="72">
        <v>85.3306082558627</v>
      </c>
      <c r="BT34" s="73">
        <v>0</v>
      </c>
      <c r="BU34" s="73">
        <v>0</v>
      </c>
      <c r="BV34" s="73">
        <v>3702.41633913235</v>
      </c>
      <c r="BW34" s="73">
        <v>805.79484163316101</v>
      </c>
      <c r="BX34" s="74">
        <v>0</v>
      </c>
      <c r="BY34" s="71">
        <v>4593.5417890213703</v>
      </c>
      <c r="BZ34" s="75">
        <v>19142.2774324772</v>
      </c>
    </row>
    <row r="35" spans="1:78" ht="15" customHeight="1" x14ac:dyDescent="0.3">
      <c r="A35" s="33" t="s">
        <v>53</v>
      </c>
      <c r="B35" s="11" t="s">
        <v>121</v>
      </c>
      <c r="C35" s="68">
        <v>1.26093059668353</v>
      </c>
      <c r="D35" s="69">
        <v>1.5555134933138</v>
      </c>
      <c r="E35" s="69">
        <v>0.182401287194877</v>
      </c>
      <c r="F35" s="69">
        <v>2.37986357250576</v>
      </c>
      <c r="G35" s="69">
        <v>197.25980048860001</v>
      </c>
      <c r="H35" s="69">
        <v>68.606572316184</v>
      </c>
      <c r="I35" s="69">
        <v>7.0831306312836002</v>
      </c>
      <c r="J35" s="69">
        <v>9.8755485604294293</v>
      </c>
      <c r="K35" s="69">
        <v>0.34629543801212398</v>
      </c>
      <c r="L35" s="69">
        <v>2.8492593539148099</v>
      </c>
      <c r="M35" s="69">
        <v>0.79391215031995899</v>
      </c>
      <c r="N35" s="69">
        <v>1.8090578913904299E-2</v>
      </c>
      <c r="O35" s="69">
        <v>0.98694597305613696</v>
      </c>
      <c r="P35" s="69">
        <v>2.0463907858466599</v>
      </c>
      <c r="Q35" s="69">
        <v>0.48947219390451802</v>
      </c>
      <c r="R35" s="69">
        <v>2.0388495480952198</v>
      </c>
      <c r="S35" s="69">
        <v>1.96078983286387</v>
      </c>
      <c r="T35" s="69">
        <v>95.761051822700097</v>
      </c>
      <c r="U35" s="69">
        <v>0.408198176711279</v>
      </c>
      <c r="V35" s="69">
        <v>0.29921378521623199</v>
      </c>
      <c r="W35" s="69">
        <v>2.8904024980892902</v>
      </c>
      <c r="X35" s="69">
        <v>1.87044048032013</v>
      </c>
      <c r="Y35" s="69">
        <v>0.90887258450757602</v>
      </c>
      <c r="Z35" s="69">
        <v>0.655965099348782</v>
      </c>
      <c r="AA35" s="69">
        <v>6.6330780937222897</v>
      </c>
      <c r="AB35" s="69">
        <v>2.0210752437163402</v>
      </c>
      <c r="AC35" s="69">
        <v>2.1084085812125899</v>
      </c>
      <c r="AD35" s="69">
        <v>1.4889211343470501</v>
      </c>
      <c r="AE35" s="69">
        <v>2.18205881495716</v>
      </c>
      <c r="AF35" s="69">
        <v>4764.78588167609</v>
      </c>
      <c r="AG35" s="69">
        <v>180.53317846435499</v>
      </c>
      <c r="AH35" s="69">
        <v>287.85403737813601</v>
      </c>
      <c r="AI35" s="69">
        <v>47.758581915202299</v>
      </c>
      <c r="AJ35" s="69">
        <v>84.472516739556099</v>
      </c>
      <c r="AK35" s="69">
        <v>12.461642844900901</v>
      </c>
      <c r="AL35" s="69">
        <v>28.860875182947701</v>
      </c>
      <c r="AM35" s="69">
        <v>302.56295038985502</v>
      </c>
      <c r="AN35" s="69">
        <v>83.008870678819804</v>
      </c>
      <c r="AO35" s="69">
        <v>4.3377872321343798</v>
      </c>
      <c r="AP35" s="69">
        <v>428.41688125854802</v>
      </c>
      <c r="AQ35" s="69">
        <v>150.65014369759399</v>
      </c>
      <c r="AR35" s="69">
        <v>20.828478960008901</v>
      </c>
      <c r="AS35" s="69">
        <v>2.1665781550820999</v>
      </c>
      <c r="AT35" s="69">
        <v>2.7806284333926801</v>
      </c>
      <c r="AU35" s="69">
        <v>177.79467589262899</v>
      </c>
      <c r="AV35" s="69">
        <v>0.38205989796779299</v>
      </c>
      <c r="AW35" s="69">
        <v>1.4762365045221499</v>
      </c>
      <c r="AX35" s="69">
        <v>0.51100740849471504</v>
      </c>
      <c r="AY35" s="69">
        <v>171.294664570463</v>
      </c>
      <c r="AZ35" s="69">
        <v>199.76443085746499</v>
      </c>
      <c r="BA35" s="69">
        <v>2673.0277132927599</v>
      </c>
      <c r="BB35" s="69">
        <v>423.32280023493701</v>
      </c>
      <c r="BC35" s="69">
        <v>4.7137537924255799</v>
      </c>
      <c r="BD35" s="69">
        <v>277.76024266086301</v>
      </c>
      <c r="BE35" s="69">
        <v>941.29604835403404</v>
      </c>
      <c r="BF35" s="69">
        <v>150.193276371396</v>
      </c>
      <c r="BG35" s="69">
        <v>45.217253734463497</v>
      </c>
      <c r="BH35" s="69">
        <v>2338.6791333060901</v>
      </c>
      <c r="BI35" s="69">
        <v>282.43705500910698</v>
      </c>
      <c r="BJ35" s="69">
        <v>64.101316194431703</v>
      </c>
      <c r="BK35" s="69">
        <v>167.67189418522801</v>
      </c>
      <c r="BL35" s="69">
        <v>100.71564531288</v>
      </c>
      <c r="BM35" s="69">
        <v>103.84508539210699</v>
      </c>
      <c r="BN35" s="69">
        <v>110.54679679257001</v>
      </c>
      <c r="BO35" s="69">
        <v>77.535663807325193</v>
      </c>
      <c r="BP35" s="69">
        <v>699.41556870892202</v>
      </c>
      <c r="BQ35" s="70">
        <v>0</v>
      </c>
      <c r="BR35" s="71">
        <v>15830.1428084037</v>
      </c>
      <c r="BS35" s="72">
        <v>7.8723743448805797E-2</v>
      </c>
      <c r="BT35" s="73">
        <v>0</v>
      </c>
      <c r="BU35" s="73">
        <v>0</v>
      </c>
      <c r="BV35" s="73">
        <v>25437.661149656698</v>
      </c>
      <c r="BW35" s="73">
        <v>5189.1637835524598</v>
      </c>
      <c r="BX35" s="74">
        <v>0</v>
      </c>
      <c r="BY35" s="71">
        <v>30626.9036569526</v>
      </c>
      <c r="BZ35" s="75">
        <v>46457.046465356303</v>
      </c>
    </row>
    <row r="36" spans="1:78" ht="15" customHeight="1" x14ac:dyDescent="0.3">
      <c r="A36" s="33" t="s">
        <v>54</v>
      </c>
      <c r="B36" s="11" t="s">
        <v>122</v>
      </c>
      <c r="C36" s="68">
        <v>17.6408567819906</v>
      </c>
      <c r="D36" s="69">
        <v>34.854278166494502</v>
      </c>
      <c r="E36" s="69">
        <v>4.3489493666451704</v>
      </c>
      <c r="F36" s="69">
        <v>8.8820983303460608</v>
      </c>
      <c r="G36" s="69">
        <v>91.311333056903706</v>
      </c>
      <c r="H36" s="69">
        <v>50.7824019217624</v>
      </c>
      <c r="I36" s="69">
        <v>7.0591258629904798</v>
      </c>
      <c r="J36" s="69">
        <v>11.189805643428899</v>
      </c>
      <c r="K36" s="69">
        <v>5.8259823001604802</v>
      </c>
      <c r="L36" s="69">
        <v>8.1621459840361901</v>
      </c>
      <c r="M36" s="69">
        <v>5.5054290616762698</v>
      </c>
      <c r="N36" s="69">
        <v>7.0604753992183703E-3</v>
      </c>
      <c r="O36" s="69">
        <v>7.4575352604509302</v>
      </c>
      <c r="P36" s="69">
        <v>0.23843783364780399</v>
      </c>
      <c r="Q36" s="69">
        <v>0.34206638259411198</v>
      </c>
      <c r="R36" s="69">
        <v>8.2764460935701205</v>
      </c>
      <c r="S36" s="69">
        <v>13.6047213099503</v>
      </c>
      <c r="T36" s="69">
        <v>2.7176895052226602</v>
      </c>
      <c r="U36" s="69">
        <v>0.45323952761346697</v>
      </c>
      <c r="V36" s="69">
        <v>0.20439566076506299</v>
      </c>
      <c r="W36" s="69">
        <v>32.506436987105602</v>
      </c>
      <c r="X36" s="69">
        <v>1.40883575282221</v>
      </c>
      <c r="Y36" s="69">
        <v>1.25000563554578</v>
      </c>
      <c r="Z36" s="69">
        <v>0.36841256811345502</v>
      </c>
      <c r="AA36" s="69">
        <v>23.392136677997499</v>
      </c>
      <c r="AB36" s="69">
        <v>26.110411122484098</v>
      </c>
      <c r="AC36" s="69">
        <v>13.655199082247499</v>
      </c>
      <c r="AD36" s="69">
        <v>27.621407508447302</v>
      </c>
      <c r="AE36" s="69">
        <v>32.252797562136799</v>
      </c>
      <c r="AF36" s="69">
        <v>352.54751377861197</v>
      </c>
      <c r="AG36" s="69">
        <v>1582.2177193193299</v>
      </c>
      <c r="AH36" s="69">
        <v>561.48929932600504</v>
      </c>
      <c r="AI36" s="69">
        <v>131.43046456761601</v>
      </c>
      <c r="AJ36" s="69">
        <v>199.82884055289099</v>
      </c>
      <c r="AK36" s="69">
        <v>33.823523600092997</v>
      </c>
      <c r="AL36" s="69">
        <v>58.100686134403098</v>
      </c>
      <c r="AM36" s="69">
        <v>439.10511604618699</v>
      </c>
      <c r="AN36" s="69">
        <v>1057.11363251433</v>
      </c>
      <c r="AO36" s="69">
        <v>52.103075236591103</v>
      </c>
      <c r="AP36" s="69">
        <v>3650.78286715489</v>
      </c>
      <c r="AQ36" s="69">
        <v>613.61604782196798</v>
      </c>
      <c r="AR36" s="69">
        <v>626.22921859412804</v>
      </c>
      <c r="AS36" s="69">
        <v>9.2309296204172906</v>
      </c>
      <c r="AT36" s="69">
        <v>0.10015337138083601</v>
      </c>
      <c r="AU36" s="69">
        <v>36.982183418744199</v>
      </c>
      <c r="AV36" s="69">
        <v>9.9141755405372596</v>
      </c>
      <c r="AW36" s="69">
        <v>11.924662511400999</v>
      </c>
      <c r="AX36" s="69">
        <v>1.67356689407211</v>
      </c>
      <c r="AY36" s="69">
        <v>21.887270875583599</v>
      </c>
      <c r="AZ36" s="69">
        <v>164.876328288791</v>
      </c>
      <c r="BA36" s="69">
        <v>31.183786386236299</v>
      </c>
      <c r="BB36" s="69">
        <v>43.6081944479931</v>
      </c>
      <c r="BC36" s="69">
        <v>145.74859265648499</v>
      </c>
      <c r="BD36" s="69">
        <v>426.89888688272498</v>
      </c>
      <c r="BE36" s="69">
        <v>42.326353296383203</v>
      </c>
      <c r="BF36" s="69">
        <v>40.851363361540002</v>
      </c>
      <c r="BG36" s="69">
        <v>24.3482063755323</v>
      </c>
      <c r="BH36" s="69">
        <v>301.59813229707697</v>
      </c>
      <c r="BI36" s="69">
        <v>1.5859877079465601</v>
      </c>
      <c r="BJ36" s="69">
        <v>13.7207053414936</v>
      </c>
      <c r="BK36" s="69">
        <v>8.5407677468016203</v>
      </c>
      <c r="BL36" s="69">
        <v>0.42390938336725098</v>
      </c>
      <c r="BM36" s="69">
        <v>2.8502882172547199</v>
      </c>
      <c r="BN36" s="69">
        <v>3.3597461397568402</v>
      </c>
      <c r="BO36" s="69">
        <v>33.892555322424997</v>
      </c>
      <c r="BP36" s="69">
        <v>611.8568181828</v>
      </c>
      <c r="BQ36" s="70">
        <v>0</v>
      </c>
      <c r="BR36" s="71">
        <v>11785.201210336299</v>
      </c>
      <c r="BS36" s="72">
        <v>0.57613746001705601</v>
      </c>
      <c r="BT36" s="73">
        <v>0</v>
      </c>
      <c r="BU36" s="73">
        <v>0</v>
      </c>
      <c r="BV36" s="73">
        <v>12600.9455021014</v>
      </c>
      <c r="BW36" s="73">
        <v>3043.1227332807298</v>
      </c>
      <c r="BX36" s="74">
        <v>0</v>
      </c>
      <c r="BY36" s="71">
        <v>15644.6443728421</v>
      </c>
      <c r="BZ36" s="75">
        <v>27429.8455831785</v>
      </c>
    </row>
    <row r="37" spans="1:78" ht="15" customHeight="1" x14ac:dyDescent="0.3">
      <c r="A37" s="33" t="s">
        <v>55</v>
      </c>
      <c r="B37" s="11" t="s">
        <v>123</v>
      </c>
      <c r="C37" s="68">
        <v>11.0175152202373</v>
      </c>
      <c r="D37" s="69">
        <v>12.7758252471441</v>
      </c>
      <c r="E37" s="69">
        <v>0.69587400728839599</v>
      </c>
      <c r="F37" s="69">
        <v>16.796974257328401</v>
      </c>
      <c r="G37" s="69">
        <v>1151.8015755307199</v>
      </c>
      <c r="H37" s="69">
        <v>1476.85397881009</v>
      </c>
      <c r="I37" s="69">
        <v>160.52310085366199</v>
      </c>
      <c r="J37" s="69">
        <v>8.5797150224506602</v>
      </c>
      <c r="K37" s="69">
        <v>1.6901806121404299</v>
      </c>
      <c r="L37" s="69">
        <v>9.2221973964457096</v>
      </c>
      <c r="M37" s="69">
        <v>7.7486935624314697</v>
      </c>
      <c r="N37" s="69">
        <v>1.6114889898831999E-2</v>
      </c>
      <c r="O37" s="69">
        <v>3.92651223114644</v>
      </c>
      <c r="P37" s="69">
        <v>2.0125992923924398</v>
      </c>
      <c r="Q37" s="69">
        <v>1.3361389385361999</v>
      </c>
      <c r="R37" s="69">
        <v>19.9491446669754</v>
      </c>
      <c r="S37" s="69">
        <v>5.8654433451493801</v>
      </c>
      <c r="T37" s="69">
        <v>3.0840723546322302</v>
      </c>
      <c r="U37" s="69">
        <v>2.1159930142971199</v>
      </c>
      <c r="V37" s="69">
        <v>1.26310158869906</v>
      </c>
      <c r="W37" s="69">
        <v>5.22070983729194</v>
      </c>
      <c r="X37" s="69">
        <v>3.1280557490383698</v>
      </c>
      <c r="Y37" s="69">
        <v>2.57196020204701</v>
      </c>
      <c r="Z37" s="69">
        <v>1.26346115336163</v>
      </c>
      <c r="AA37" s="69">
        <v>21.721152802370501</v>
      </c>
      <c r="AB37" s="69">
        <v>7.1967829131051397</v>
      </c>
      <c r="AC37" s="69">
        <v>16.2887864503044</v>
      </c>
      <c r="AD37" s="69">
        <v>12.413760101462699</v>
      </c>
      <c r="AE37" s="69">
        <v>30.719493076256299</v>
      </c>
      <c r="AF37" s="69">
        <v>32.794215185279199</v>
      </c>
      <c r="AG37" s="69">
        <v>104.42741605195999</v>
      </c>
      <c r="AH37" s="69">
        <v>3463.9408008865798</v>
      </c>
      <c r="AI37" s="69">
        <v>222.704361551544</v>
      </c>
      <c r="AJ37" s="69">
        <v>35.297384231076499</v>
      </c>
      <c r="AK37" s="69">
        <v>44.358727358444497</v>
      </c>
      <c r="AL37" s="69">
        <v>15.3167788469668</v>
      </c>
      <c r="AM37" s="69">
        <v>1463.48726538247</v>
      </c>
      <c r="AN37" s="69">
        <v>39.221404840713603</v>
      </c>
      <c r="AO37" s="69">
        <v>15.910404945390001</v>
      </c>
      <c r="AP37" s="69">
        <v>1500.1469832524299</v>
      </c>
      <c r="AQ37" s="69">
        <v>225.249755328437</v>
      </c>
      <c r="AR37" s="69">
        <v>59.329645154292102</v>
      </c>
      <c r="AS37" s="69">
        <v>31.021252913735299</v>
      </c>
      <c r="AT37" s="69">
        <v>1.3582849570713</v>
      </c>
      <c r="AU37" s="69">
        <v>39.046533592305998</v>
      </c>
      <c r="AV37" s="69">
        <v>1.68687518861462</v>
      </c>
      <c r="AW37" s="69">
        <v>16.3749996512622</v>
      </c>
      <c r="AX37" s="69">
        <v>0.68535583222077801</v>
      </c>
      <c r="AY37" s="69">
        <v>2.2781597264503199</v>
      </c>
      <c r="AZ37" s="69">
        <v>10.8147411346207</v>
      </c>
      <c r="BA37" s="69">
        <v>18.669418708151198</v>
      </c>
      <c r="BB37" s="69">
        <v>3.49154860424794</v>
      </c>
      <c r="BC37" s="69">
        <v>7.4830738335157401</v>
      </c>
      <c r="BD37" s="69">
        <v>16.115471966251299</v>
      </c>
      <c r="BE37" s="69">
        <v>24.6647933717034</v>
      </c>
      <c r="BF37" s="69">
        <v>3.51242634606594</v>
      </c>
      <c r="BG37" s="69">
        <v>5.1704485114445298</v>
      </c>
      <c r="BH37" s="69">
        <v>454.90824266745602</v>
      </c>
      <c r="BI37" s="69">
        <v>1.12241686006353</v>
      </c>
      <c r="BJ37" s="69">
        <v>17.947596541664499</v>
      </c>
      <c r="BK37" s="69">
        <v>4.6538048549151396</v>
      </c>
      <c r="BL37" s="69">
        <v>0.75059441717742703</v>
      </c>
      <c r="BM37" s="69">
        <v>32.749269914946801</v>
      </c>
      <c r="BN37" s="69">
        <v>17.183004289555601</v>
      </c>
      <c r="BO37" s="69">
        <v>3.42648111882795</v>
      </c>
      <c r="BP37" s="69">
        <v>28.511445832481801</v>
      </c>
      <c r="BQ37" s="70">
        <v>0</v>
      </c>
      <c r="BR37" s="71">
        <v>10963.6102969772</v>
      </c>
      <c r="BS37" s="72">
        <v>1.6697456413027001</v>
      </c>
      <c r="BT37" s="73">
        <v>0</v>
      </c>
      <c r="BU37" s="73">
        <v>0</v>
      </c>
      <c r="BV37" s="73">
        <v>3067.0903202480599</v>
      </c>
      <c r="BW37" s="73">
        <v>10954.5574867261</v>
      </c>
      <c r="BX37" s="74">
        <v>0</v>
      </c>
      <c r="BY37" s="71">
        <v>14023.317552615499</v>
      </c>
      <c r="BZ37" s="75">
        <v>24986.927849592801</v>
      </c>
    </row>
    <row r="38" spans="1:78" ht="15" customHeight="1" x14ac:dyDescent="0.3">
      <c r="A38" s="33" t="s">
        <v>56</v>
      </c>
      <c r="B38" s="11" t="s">
        <v>124</v>
      </c>
      <c r="C38" s="68">
        <v>0.73497167003146502</v>
      </c>
      <c r="D38" s="69">
        <v>0.78551831205821798</v>
      </c>
      <c r="E38" s="69">
        <v>9.7052506356742396E-2</v>
      </c>
      <c r="F38" s="69">
        <v>0.28612927204880201</v>
      </c>
      <c r="G38" s="69">
        <v>10.242714157202</v>
      </c>
      <c r="H38" s="69">
        <v>11.318541849031201</v>
      </c>
      <c r="I38" s="69">
        <v>1.1622393065029999</v>
      </c>
      <c r="J38" s="69">
        <v>0.60052262698664005</v>
      </c>
      <c r="K38" s="69">
        <v>5.83359298975848</v>
      </c>
      <c r="L38" s="69">
        <v>0.77107898174510803</v>
      </c>
      <c r="M38" s="69">
        <v>0.36580837965195301</v>
      </c>
      <c r="N38" s="69">
        <v>1.86712790616643E-3</v>
      </c>
      <c r="O38" s="69">
        <v>1.0853528073110099</v>
      </c>
      <c r="P38" s="69">
        <v>0.237135563984747</v>
      </c>
      <c r="Q38" s="69">
        <v>0.22147368731608899</v>
      </c>
      <c r="R38" s="69">
        <v>0.34320792624827201</v>
      </c>
      <c r="S38" s="69">
        <v>0.36358057603412502</v>
      </c>
      <c r="T38" s="69">
        <v>4.8822605844803302E-2</v>
      </c>
      <c r="U38" s="69">
        <v>2.70825849578533E-2</v>
      </c>
      <c r="V38" s="69">
        <v>1.71971080988675E-2</v>
      </c>
      <c r="W38" s="69">
        <v>0.73493273380064805</v>
      </c>
      <c r="X38" s="69">
        <v>3.0451463280784901</v>
      </c>
      <c r="Y38" s="69">
        <v>0.18336583929195999</v>
      </c>
      <c r="Z38" s="69">
        <v>0.18328545550188799</v>
      </c>
      <c r="AA38" s="69">
        <v>1.5211358937083299</v>
      </c>
      <c r="AB38" s="69">
        <v>0.632532674447986</v>
      </c>
      <c r="AC38" s="69">
        <v>0.43902130702408199</v>
      </c>
      <c r="AD38" s="69">
        <v>0.42762948534447798</v>
      </c>
      <c r="AE38" s="69">
        <v>1.2947687577741001</v>
      </c>
      <c r="AF38" s="69">
        <v>5.6096578994386199</v>
      </c>
      <c r="AG38" s="69">
        <v>25.724645376637099</v>
      </c>
      <c r="AH38" s="69">
        <v>34.332262223863303</v>
      </c>
      <c r="AI38" s="69">
        <v>869.83914290816995</v>
      </c>
      <c r="AJ38" s="69">
        <v>30.372238543544398</v>
      </c>
      <c r="AK38" s="69">
        <v>13.3479815806055</v>
      </c>
      <c r="AL38" s="69">
        <v>1.27780710534019</v>
      </c>
      <c r="AM38" s="69">
        <v>18.5412600673477</v>
      </c>
      <c r="AN38" s="69">
        <v>19.067918714465101</v>
      </c>
      <c r="AO38" s="69">
        <v>1.12436396898088</v>
      </c>
      <c r="AP38" s="69">
        <v>79.885335687673901</v>
      </c>
      <c r="AQ38" s="69">
        <v>166.38483264022199</v>
      </c>
      <c r="AR38" s="69">
        <v>188.951271591612</v>
      </c>
      <c r="AS38" s="69">
        <v>0.39848089106242501</v>
      </c>
      <c r="AT38" s="69">
        <v>3.5552119724728401E-3</v>
      </c>
      <c r="AU38" s="69">
        <v>0.92685632960125597</v>
      </c>
      <c r="AV38" s="69">
        <v>0.240572894998899</v>
      </c>
      <c r="AW38" s="69">
        <v>0.58026887391704796</v>
      </c>
      <c r="AX38" s="69">
        <v>3.23749994761343E-2</v>
      </c>
      <c r="AY38" s="69">
        <v>0.37747289910473197</v>
      </c>
      <c r="AZ38" s="69">
        <v>3.05359296990492</v>
      </c>
      <c r="BA38" s="69">
        <v>0.35184758253062998</v>
      </c>
      <c r="BB38" s="69">
        <v>0.76370118423498801</v>
      </c>
      <c r="BC38" s="69">
        <v>2.6721294897836398</v>
      </c>
      <c r="BD38" s="69">
        <v>7.7905049122870302</v>
      </c>
      <c r="BE38" s="69">
        <v>1.31621022157917</v>
      </c>
      <c r="BF38" s="69">
        <v>0.71086483309384896</v>
      </c>
      <c r="BG38" s="69">
        <v>1.9184971767135599</v>
      </c>
      <c r="BH38" s="69">
        <v>8.8875040027589005</v>
      </c>
      <c r="BI38" s="69">
        <v>1.3923967315498101E-2</v>
      </c>
      <c r="BJ38" s="69">
        <v>3.0271687234887601</v>
      </c>
      <c r="BK38" s="69">
        <v>0.872694865006443</v>
      </c>
      <c r="BL38" s="69">
        <v>9.7426012265103504E-3</v>
      </c>
      <c r="BM38" s="69">
        <v>1.08911088489323</v>
      </c>
      <c r="BN38" s="69">
        <v>0.17202708408615899</v>
      </c>
      <c r="BO38" s="69">
        <v>0.61859466853161205</v>
      </c>
      <c r="BP38" s="69">
        <v>7.5744124613920203</v>
      </c>
      <c r="BQ38" s="70">
        <v>0</v>
      </c>
      <c r="BR38" s="71">
        <v>1540.86653655091</v>
      </c>
      <c r="BS38" s="72">
        <v>3.1088357285515698E-2</v>
      </c>
      <c r="BT38" s="73">
        <v>0</v>
      </c>
      <c r="BU38" s="73">
        <v>0</v>
      </c>
      <c r="BV38" s="73">
        <v>34208.522362357799</v>
      </c>
      <c r="BW38" s="73">
        <v>8696.6213624087595</v>
      </c>
      <c r="BX38" s="74">
        <v>0</v>
      </c>
      <c r="BY38" s="71">
        <v>42905.1748131239</v>
      </c>
      <c r="BZ38" s="75">
        <v>44446.041349674801</v>
      </c>
    </row>
    <row r="39" spans="1:78" ht="15" customHeight="1" x14ac:dyDescent="0.3">
      <c r="A39" s="33" t="s">
        <v>57</v>
      </c>
      <c r="B39" s="11" t="s">
        <v>125</v>
      </c>
      <c r="C39" s="68">
        <v>4.1912677926868396</v>
      </c>
      <c r="D39" s="69">
        <v>3.4852895035627198</v>
      </c>
      <c r="E39" s="69">
        <v>0.245838675315559</v>
      </c>
      <c r="F39" s="69">
        <v>1.80986867237692</v>
      </c>
      <c r="G39" s="69">
        <v>32.670747620399602</v>
      </c>
      <c r="H39" s="69">
        <v>35.424950231674899</v>
      </c>
      <c r="I39" s="69">
        <v>4.0274444200775603</v>
      </c>
      <c r="J39" s="69">
        <v>3.6072205278396301</v>
      </c>
      <c r="K39" s="69">
        <v>0.287521348704459</v>
      </c>
      <c r="L39" s="69">
        <v>6.0580701254832201</v>
      </c>
      <c r="M39" s="69">
        <v>3.8584066774014398</v>
      </c>
      <c r="N39" s="69">
        <v>4.2176019567765196E-3</v>
      </c>
      <c r="O39" s="69">
        <v>1.37351716701792</v>
      </c>
      <c r="P39" s="69">
        <v>0.358990216694973</v>
      </c>
      <c r="Q39" s="69">
        <v>0.71020688262728005</v>
      </c>
      <c r="R39" s="69">
        <v>2.71992861466599</v>
      </c>
      <c r="S39" s="69">
        <v>1.1286720209779999</v>
      </c>
      <c r="T39" s="69">
        <v>1.3656409536232501</v>
      </c>
      <c r="U39" s="69">
        <v>3.0930065135704599</v>
      </c>
      <c r="V39" s="69">
        <v>0.127131551809372</v>
      </c>
      <c r="W39" s="69">
        <v>1.7204667024167599</v>
      </c>
      <c r="X39" s="69">
        <v>1.7782426007327801</v>
      </c>
      <c r="Y39" s="69">
        <v>1.5398619602770101</v>
      </c>
      <c r="Z39" s="69">
        <v>0.52726194604024001</v>
      </c>
      <c r="AA39" s="69">
        <v>7.1392042764311396</v>
      </c>
      <c r="AB39" s="69">
        <v>3.3723371049865798</v>
      </c>
      <c r="AC39" s="69">
        <v>3.8803978941537101</v>
      </c>
      <c r="AD39" s="69">
        <v>3.5476587420026302</v>
      </c>
      <c r="AE39" s="69">
        <v>15.027751089584299</v>
      </c>
      <c r="AF39" s="69">
        <v>22.2980819669115</v>
      </c>
      <c r="AG39" s="69">
        <v>17.211746273031402</v>
      </c>
      <c r="AH39" s="69">
        <v>85.269696492349695</v>
      </c>
      <c r="AI39" s="69">
        <v>4605.4359564693405</v>
      </c>
      <c r="AJ39" s="69">
        <v>1296.1778223957499</v>
      </c>
      <c r="AK39" s="69">
        <v>7.6127467242865103</v>
      </c>
      <c r="AL39" s="69">
        <v>4.48055610747521</v>
      </c>
      <c r="AM39" s="69">
        <v>40.473245580318803</v>
      </c>
      <c r="AN39" s="69">
        <v>10.5675736947101</v>
      </c>
      <c r="AO39" s="69">
        <v>1.67341952516712</v>
      </c>
      <c r="AP39" s="69">
        <v>153.572401252693</v>
      </c>
      <c r="AQ39" s="69">
        <v>3493.00950998596</v>
      </c>
      <c r="AR39" s="69">
        <v>2831.48258171013</v>
      </c>
      <c r="AS39" s="69">
        <v>0.75384613897836605</v>
      </c>
      <c r="AT39" s="69">
        <v>0.59941779491747904</v>
      </c>
      <c r="AU39" s="69">
        <v>2.0014829992403</v>
      </c>
      <c r="AV39" s="69">
        <v>0.71249861534362002</v>
      </c>
      <c r="AW39" s="69">
        <v>7.1924753666544499</v>
      </c>
      <c r="AX39" s="69">
        <v>6.9092012667783004E-2</v>
      </c>
      <c r="AY39" s="69">
        <v>0.64353604884215998</v>
      </c>
      <c r="AZ39" s="69">
        <v>1.4767151243705701</v>
      </c>
      <c r="BA39" s="69">
        <v>3.2302410991176198</v>
      </c>
      <c r="BB39" s="69">
        <v>0.54984222497252799</v>
      </c>
      <c r="BC39" s="69">
        <v>3.0946956668702499</v>
      </c>
      <c r="BD39" s="69">
        <v>3.9964378611618199</v>
      </c>
      <c r="BE39" s="69">
        <v>16.064672582289099</v>
      </c>
      <c r="BF39" s="69">
        <v>0.51516398522070395</v>
      </c>
      <c r="BG39" s="69">
        <v>81.365627963049207</v>
      </c>
      <c r="BH39" s="69">
        <v>15.013389198781701</v>
      </c>
      <c r="BI39" s="69">
        <v>0.34854528231720899</v>
      </c>
      <c r="BJ39" s="69">
        <v>111.881186537845</v>
      </c>
      <c r="BK39" s="69">
        <v>39.317038147235799</v>
      </c>
      <c r="BL39" s="69">
        <v>8.4940175021511702E-2</v>
      </c>
      <c r="BM39" s="69">
        <v>43.990490534162099</v>
      </c>
      <c r="BN39" s="69">
        <v>1.1278173262496001</v>
      </c>
      <c r="BO39" s="69">
        <v>0.41420368659199602</v>
      </c>
      <c r="BP39" s="69">
        <v>5.2977203335313003</v>
      </c>
      <c r="BQ39" s="70">
        <v>0</v>
      </c>
      <c r="BR39" s="71">
        <v>13054.0875343186</v>
      </c>
      <c r="BS39" s="72">
        <v>0.67242173040450504</v>
      </c>
      <c r="BT39" s="73">
        <v>0</v>
      </c>
      <c r="BU39" s="73">
        <v>0</v>
      </c>
      <c r="BV39" s="73">
        <v>448.36602230043002</v>
      </c>
      <c r="BW39" s="73">
        <v>302.95819196685801</v>
      </c>
      <c r="BX39" s="74">
        <v>0</v>
      </c>
      <c r="BY39" s="71">
        <v>751.99663599769303</v>
      </c>
      <c r="BZ39" s="75">
        <v>13806.084170316301</v>
      </c>
    </row>
    <row r="40" spans="1:78" ht="15" customHeight="1" x14ac:dyDescent="0.3">
      <c r="A40" s="33" t="s">
        <v>58</v>
      </c>
      <c r="B40" s="11" t="s">
        <v>126</v>
      </c>
      <c r="C40" s="68">
        <v>0.33881152559746702</v>
      </c>
      <c r="D40" s="69">
        <v>0.328345910387005</v>
      </c>
      <c r="E40" s="69">
        <v>8.6590492288555101E-2</v>
      </c>
      <c r="F40" s="69">
        <v>0.45701547746133397</v>
      </c>
      <c r="G40" s="69">
        <v>7.7157054728068601</v>
      </c>
      <c r="H40" s="69">
        <v>8.8818989296181794</v>
      </c>
      <c r="I40" s="69">
        <v>1.0869551478307899</v>
      </c>
      <c r="J40" s="69">
        <v>0.99136187536713904</v>
      </c>
      <c r="K40" s="69">
        <v>0.38728996594381498</v>
      </c>
      <c r="L40" s="69">
        <v>0.88078651311584399</v>
      </c>
      <c r="M40" s="69">
        <v>0.63325268716491201</v>
      </c>
      <c r="N40" s="69">
        <v>4.20051272478388E-4</v>
      </c>
      <c r="O40" s="69">
        <v>0.17100534835812101</v>
      </c>
      <c r="P40" s="69">
        <v>1.9790144744207601</v>
      </c>
      <c r="Q40" s="69">
        <v>0.30074550216493301</v>
      </c>
      <c r="R40" s="69">
        <v>0.71720114891884601</v>
      </c>
      <c r="S40" s="69">
        <v>1.3471675872100699</v>
      </c>
      <c r="T40" s="69">
        <v>0.445545674889125</v>
      </c>
      <c r="U40" s="69">
        <v>0.46499175030275902</v>
      </c>
      <c r="V40" s="69">
        <v>0.36988820235320702</v>
      </c>
      <c r="W40" s="69">
        <v>0.98181098068574002</v>
      </c>
      <c r="X40" s="69">
        <v>0.38967808426360101</v>
      </c>
      <c r="Y40" s="69">
        <v>0.26331667449846202</v>
      </c>
      <c r="Z40" s="69">
        <v>0.35781017719258501</v>
      </c>
      <c r="AA40" s="69">
        <v>1.0436323107351499</v>
      </c>
      <c r="AB40" s="69">
        <v>1.2023085110240299</v>
      </c>
      <c r="AC40" s="69">
        <v>3.51205605228053</v>
      </c>
      <c r="AD40" s="69">
        <v>0.98364548542067998</v>
      </c>
      <c r="AE40" s="69">
        <v>2.1329666177315301</v>
      </c>
      <c r="AF40" s="69">
        <v>0.31520701059315498</v>
      </c>
      <c r="AG40" s="69">
        <v>2.32435260592439</v>
      </c>
      <c r="AH40" s="69">
        <v>17.704800589589599</v>
      </c>
      <c r="AI40" s="69">
        <v>6.567123797112</v>
      </c>
      <c r="AJ40" s="69">
        <v>2.30422142568105</v>
      </c>
      <c r="AK40" s="69">
        <v>368.50753014725399</v>
      </c>
      <c r="AL40" s="69">
        <v>1.36790171979847</v>
      </c>
      <c r="AM40" s="69">
        <v>14.1661049707969</v>
      </c>
      <c r="AN40" s="69">
        <v>1.4703301936175299</v>
      </c>
      <c r="AO40" s="69">
        <v>0.70982885094508597</v>
      </c>
      <c r="AP40" s="69">
        <v>18.801123017554001</v>
      </c>
      <c r="AQ40" s="69">
        <v>35.138755140389499</v>
      </c>
      <c r="AR40" s="69">
        <v>60.388724700450297</v>
      </c>
      <c r="AS40" s="69">
        <v>0.73127433276835396</v>
      </c>
      <c r="AT40" s="69">
        <v>9.5288981961528296E-2</v>
      </c>
      <c r="AU40" s="69">
        <v>1.6174003379467501</v>
      </c>
      <c r="AV40" s="69">
        <v>7.2771078214660598E-2</v>
      </c>
      <c r="AW40" s="69">
        <v>1.06236259762944</v>
      </c>
      <c r="AX40" s="69">
        <v>0.14458726248557999</v>
      </c>
      <c r="AY40" s="69">
        <v>0.104340898178076</v>
      </c>
      <c r="AZ40" s="69">
        <v>0.280092849497943</v>
      </c>
      <c r="BA40" s="69">
        <v>0.938939490360857</v>
      </c>
      <c r="BB40" s="69">
        <v>0.54553558695462401</v>
      </c>
      <c r="BC40" s="69">
        <v>0.59729033809481802</v>
      </c>
      <c r="BD40" s="69">
        <v>1.24196628147927</v>
      </c>
      <c r="BE40" s="69">
        <v>1.4997202124414499</v>
      </c>
      <c r="BF40" s="69">
        <v>1.0723351409966699</v>
      </c>
      <c r="BG40" s="69">
        <v>1.9469939132907601</v>
      </c>
      <c r="BH40" s="69">
        <v>3.4250151016214301</v>
      </c>
      <c r="BI40" s="69">
        <v>0.150855914870763</v>
      </c>
      <c r="BJ40" s="69">
        <v>21.4246942122927</v>
      </c>
      <c r="BK40" s="69">
        <v>0.73259282354071698</v>
      </c>
      <c r="BL40" s="69">
        <v>7.4296624270592096E-2</v>
      </c>
      <c r="BM40" s="69">
        <v>3.1601684456273902</v>
      </c>
      <c r="BN40" s="69">
        <v>23.268576120936601</v>
      </c>
      <c r="BO40" s="69">
        <v>0.52030864864408199</v>
      </c>
      <c r="BP40" s="69">
        <v>54.013326003501398</v>
      </c>
      <c r="BQ40" s="70">
        <v>0</v>
      </c>
      <c r="BR40" s="71">
        <v>686.93795599861699</v>
      </c>
      <c r="BS40" s="72">
        <v>9.72764727966135E-2</v>
      </c>
      <c r="BT40" s="73">
        <v>0</v>
      </c>
      <c r="BU40" s="73">
        <v>0</v>
      </c>
      <c r="BV40" s="73">
        <v>5329.25940442927</v>
      </c>
      <c r="BW40" s="73">
        <v>1681.53670598498</v>
      </c>
      <c r="BX40" s="74">
        <v>0</v>
      </c>
      <c r="BY40" s="71">
        <v>7010.8933868870499</v>
      </c>
      <c r="BZ40" s="75">
        <v>7697.83134288567</v>
      </c>
    </row>
    <row r="41" spans="1:78" ht="15" customHeight="1" x14ac:dyDescent="0.3">
      <c r="A41" s="33" t="s">
        <v>59</v>
      </c>
      <c r="B41" s="11" t="s">
        <v>127</v>
      </c>
      <c r="C41" s="68">
        <v>7.5933857213940303</v>
      </c>
      <c r="D41" s="69">
        <v>8.16618946857065</v>
      </c>
      <c r="E41" s="69">
        <v>2.9061419358181899</v>
      </c>
      <c r="F41" s="69">
        <v>1.2996504098429</v>
      </c>
      <c r="G41" s="69">
        <v>23.476653706888001</v>
      </c>
      <c r="H41" s="69">
        <v>14.283746756953001</v>
      </c>
      <c r="I41" s="69">
        <v>1.3441366474923999</v>
      </c>
      <c r="J41" s="69">
        <v>4.2415605100967699</v>
      </c>
      <c r="K41" s="69">
        <v>0.40582508119377197</v>
      </c>
      <c r="L41" s="69">
        <v>8.5985680233118593</v>
      </c>
      <c r="M41" s="69">
        <v>4.3494804436730803</v>
      </c>
      <c r="N41" s="69">
        <v>3.6956792518513401E-2</v>
      </c>
      <c r="O41" s="69">
        <v>12.408407842633499</v>
      </c>
      <c r="P41" s="69">
        <v>269.076835716608</v>
      </c>
      <c r="Q41" s="69">
        <v>36.295208632931299</v>
      </c>
      <c r="R41" s="69">
        <v>9.6091701107798109</v>
      </c>
      <c r="S41" s="69">
        <v>3.2651246298370098</v>
      </c>
      <c r="T41" s="69">
        <v>2.3403780144032398</v>
      </c>
      <c r="U41" s="69">
        <v>3.4439239612709298</v>
      </c>
      <c r="V41" s="69">
        <v>0.12883707513614501</v>
      </c>
      <c r="W41" s="69">
        <v>14.5631724049759</v>
      </c>
      <c r="X41" s="69">
        <v>6.4872628454846799</v>
      </c>
      <c r="Y41" s="69">
        <v>2.8959285395374801</v>
      </c>
      <c r="Z41" s="69">
        <v>4.6810795499593203</v>
      </c>
      <c r="AA41" s="69">
        <v>21.101599231716101</v>
      </c>
      <c r="AB41" s="69">
        <v>21.298486112911199</v>
      </c>
      <c r="AC41" s="69">
        <v>2.1838730303788298</v>
      </c>
      <c r="AD41" s="69">
        <v>1.6722150194479899</v>
      </c>
      <c r="AE41" s="69">
        <v>11.042461624742501</v>
      </c>
      <c r="AF41" s="69">
        <v>17.553041054142199</v>
      </c>
      <c r="AG41" s="69">
        <v>6.9920262205356796</v>
      </c>
      <c r="AH41" s="69">
        <v>94.244419451472794</v>
      </c>
      <c r="AI41" s="69">
        <v>32.669401675083101</v>
      </c>
      <c r="AJ41" s="69">
        <v>19.139044113332499</v>
      </c>
      <c r="AK41" s="69">
        <v>3.19394100946699</v>
      </c>
      <c r="AL41" s="69">
        <v>584.442709574937</v>
      </c>
      <c r="AM41" s="69">
        <v>27.308864597995701</v>
      </c>
      <c r="AN41" s="69">
        <v>8.4001599419820003</v>
      </c>
      <c r="AO41" s="69">
        <v>4.8739627238788996</v>
      </c>
      <c r="AP41" s="69">
        <v>407.41306507126802</v>
      </c>
      <c r="AQ41" s="69">
        <v>124.276328051273</v>
      </c>
      <c r="AR41" s="69">
        <v>34.171435803520602</v>
      </c>
      <c r="AS41" s="69">
        <v>30.293474800214899</v>
      </c>
      <c r="AT41" s="69">
        <v>0.773719566960413</v>
      </c>
      <c r="AU41" s="69">
        <v>35.565468614277698</v>
      </c>
      <c r="AV41" s="69">
        <v>1.0296057535917</v>
      </c>
      <c r="AW41" s="69">
        <v>9.2806517614465793</v>
      </c>
      <c r="AX41" s="69">
        <v>1.3551720978151001</v>
      </c>
      <c r="AY41" s="69">
        <v>8.8817519495144097</v>
      </c>
      <c r="AZ41" s="69">
        <v>0.34678277797264201</v>
      </c>
      <c r="BA41" s="69">
        <v>57.407435607960601</v>
      </c>
      <c r="BB41" s="69">
        <v>79.868176018314401</v>
      </c>
      <c r="BC41" s="69">
        <v>68.828177914715695</v>
      </c>
      <c r="BD41" s="69">
        <v>125.52032592013001</v>
      </c>
      <c r="BE41" s="69">
        <v>214.253669984531</v>
      </c>
      <c r="BF41" s="69">
        <v>203.76561347939801</v>
      </c>
      <c r="BG41" s="69">
        <v>290.35310690384301</v>
      </c>
      <c r="BH41" s="69">
        <v>92.097902191786105</v>
      </c>
      <c r="BI41" s="69">
        <v>7.4242392589815998</v>
      </c>
      <c r="BJ41" s="69">
        <v>133.89407301073501</v>
      </c>
      <c r="BK41" s="69">
        <v>144.47259063504899</v>
      </c>
      <c r="BL41" s="69">
        <v>15.636168640177001</v>
      </c>
      <c r="BM41" s="69">
        <v>549.23939595395996</v>
      </c>
      <c r="BN41" s="69">
        <v>4828.3147056901698</v>
      </c>
      <c r="BO41" s="69">
        <v>73.637026975369906</v>
      </c>
      <c r="BP41" s="69">
        <v>56.3927111185127</v>
      </c>
      <c r="BQ41" s="70">
        <v>0</v>
      </c>
      <c r="BR41" s="71">
        <v>8892.5066057548192</v>
      </c>
      <c r="BS41" s="72">
        <v>0.62577854665038002</v>
      </c>
      <c r="BT41" s="73">
        <v>4.5267365338534198</v>
      </c>
      <c r="BU41" s="73">
        <v>0</v>
      </c>
      <c r="BV41" s="73">
        <v>19295.119736322798</v>
      </c>
      <c r="BW41" s="73">
        <v>2506.78464614616</v>
      </c>
      <c r="BX41" s="74">
        <v>0</v>
      </c>
      <c r="BY41" s="71">
        <v>21807.056897549501</v>
      </c>
      <c r="BZ41" s="75">
        <v>30699.5635033043</v>
      </c>
    </row>
    <row r="42" spans="1:78" ht="15" customHeight="1" x14ac:dyDescent="0.3">
      <c r="A42" s="33" t="s">
        <v>60</v>
      </c>
      <c r="B42" s="11" t="s">
        <v>128</v>
      </c>
      <c r="C42" s="68">
        <v>9.0370536774803405</v>
      </c>
      <c r="D42" s="69">
        <v>4.5336797162710702</v>
      </c>
      <c r="E42" s="69">
        <v>7.2349462912163096</v>
      </c>
      <c r="F42" s="69">
        <v>54.195338108811299</v>
      </c>
      <c r="G42" s="69">
        <v>205.70713024851199</v>
      </c>
      <c r="H42" s="69">
        <v>159.29426526866999</v>
      </c>
      <c r="I42" s="69">
        <v>36.206130670417501</v>
      </c>
      <c r="J42" s="69">
        <v>75.093223703869299</v>
      </c>
      <c r="K42" s="69">
        <v>56.394456765901097</v>
      </c>
      <c r="L42" s="69">
        <v>37.998036639879501</v>
      </c>
      <c r="M42" s="69">
        <v>25.328066300109601</v>
      </c>
      <c r="N42" s="69">
        <v>8.2960126314481498E-4</v>
      </c>
      <c r="O42" s="69">
        <v>7.6782948217807698</v>
      </c>
      <c r="P42" s="69">
        <v>12.3861850038885</v>
      </c>
      <c r="Q42" s="69">
        <v>8.1186466357134108</v>
      </c>
      <c r="R42" s="69">
        <v>53.049875171611497</v>
      </c>
      <c r="S42" s="69">
        <v>196.25612988762501</v>
      </c>
      <c r="T42" s="69">
        <v>63.975306261011397</v>
      </c>
      <c r="U42" s="69">
        <v>65.015152273244894</v>
      </c>
      <c r="V42" s="69">
        <v>55.934711010006502</v>
      </c>
      <c r="W42" s="69">
        <v>115.32367718908201</v>
      </c>
      <c r="X42" s="69">
        <v>42.3355838329664</v>
      </c>
      <c r="Y42" s="69">
        <v>10.9800816131189</v>
      </c>
      <c r="Z42" s="69">
        <v>36.834906596243002</v>
      </c>
      <c r="AA42" s="69">
        <v>35.7060303536135</v>
      </c>
      <c r="AB42" s="69">
        <v>147.35469267930901</v>
      </c>
      <c r="AC42" s="69">
        <v>484.47016032301002</v>
      </c>
      <c r="AD42" s="69">
        <v>130.33124090514201</v>
      </c>
      <c r="AE42" s="69">
        <v>46.719277722442797</v>
      </c>
      <c r="AF42" s="69">
        <v>14.9148305733206</v>
      </c>
      <c r="AG42" s="69">
        <v>40.628363889529098</v>
      </c>
      <c r="AH42" s="69">
        <v>124.289541146408</v>
      </c>
      <c r="AI42" s="69">
        <v>13.8192827605742</v>
      </c>
      <c r="AJ42" s="69">
        <v>38.609481747830998</v>
      </c>
      <c r="AK42" s="69">
        <v>13.3535071759655</v>
      </c>
      <c r="AL42" s="69">
        <v>43.806586433458598</v>
      </c>
      <c r="AM42" s="69">
        <v>61.8902758976283</v>
      </c>
      <c r="AN42" s="69">
        <v>94.660140575351704</v>
      </c>
      <c r="AO42" s="69">
        <v>74.429562697826796</v>
      </c>
      <c r="AP42" s="69">
        <v>173.90397747407999</v>
      </c>
      <c r="AQ42" s="69">
        <v>335.219578072025</v>
      </c>
      <c r="AR42" s="69">
        <v>47.4750231925996</v>
      </c>
      <c r="AS42" s="69">
        <v>66.730055603533501</v>
      </c>
      <c r="AT42" s="69">
        <v>14.077262998613699</v>
      </c>
      <c r="AU42" s="69">
        <v>194.71810468021599</v>
      </c>
      <c r="AV42" s="69">
        <v>0.26032427002271202</v>
      </c>
      <c r="AW42" s="69">
        <v>18.770661650399301</v>
      </c>
      <c r="AX42" s="69">
        <v>21.2704966139414</v>
      </c>
      <c r="AY42" s="69">
        <v>9.4281182493770999</v>
      </c>
      <c r="AZ42" s="69">
        <v>23.074862416295399</v>
      </c>
      <c r="BA42" s="69">
        <v>102.056885262099</v>
      </c>
      <c r="BB42" s="69">
        <v>21.981216942976499</v>
      </c>
      <c r="BC42" s="69">
        <v>12.642783106895999</v>
      </c>
      <c r="BD42" s="69">
        <v>55.840039584712997</v>
      </c>
      <c r="BE42" s="69">
        <v>23.1954161200537</v>
      </c>
      <c r="BF42" s="69">
        <v>12.248193721308199</v>
      </c>
      <c r="BG42" s="69">
        <v>66.322910060159401</v>
      </c>
      <c r="BH42" s="69">
        <v>78.218572013203897</v>
      </c>
      <c r="BI42" s="69">
        <v>13.632505780112499</v>
      </c>
      <c r="BJ42" s="69">
        <v>72.737170488003699</v>
      </c>
      <c r="BK42" s="69">
        <v>7.3856447642825103</v>
      </c>
      <c r="BL42" s="69">
        <v>5.79840468658206E-2</v>
      </c>
      <c r="BM42" s="69">
        <v>67.662194555205502</v>
      </c>
      <c r="BN42" s="69">
        <v>42.7276151399168</v>
      </c>
      <c r="BO42" s="69">
        <v>26.985751509483698</v>
      </c>
      <c r="BP42" s="69">
        <v>37.605726702995</v>
      </c>
      <c r="BQ42" s="70">
        <v>0</v>
      </c>
      <c r="BR42" s="71">
        <v>4250.1237571894799</v>
      </c>
      <c r="BS42" s="72">
        <v>0.150427535252495</v>
      </c>
      <c r="BT42" s="73">
        <v>0</v>
      </c>
      <c r="BU42" s="73">
        <v>0</v>
      </c>
      <c r="BV42" s="73">
        <v>109.79885871059599</v>
      </c>
      <c r="BW42" s="73">
        <v>709.50106771594903</v>
      </c>
      <c r="BX42" s="74">
        <v>0</v>
      </c>
      <c r="BY42" s="71">
        <v>819.45035396179696</v>
      </c>
      <c r="BZ42" s="75">
        <v>5069.5741111512798</v>
      </c>
    </row>
    <row r="43" spans="1:78" ht="15" customHeight="1" x14ac:dyDescent="0.3">
      <c r="A43" s="33" t="s">
        <v>61</v>
      </c>
      <c r="B43" s="11" t="s">
        <v>129</v>
      </c>
      <c r="C43" s="68">
        <v>1394.1453999556099</v>
      </c>
      <c r="D43" s="69">
        <v>1469.09747951444</v>
      </c>
      <c r="E43" s="69">
        <v>63.712569121385698</v>
      </c>
      <c r="F43" s="69">
        <v>59.581007483405998</v>
      </c>
      <c r="G43" s="69">
        <v>16.596751511929</v>
      </c>
      <c r="H43" s="69">
        <v>104.721624700349</v>
      </c>
      <c r="I43" s="69">
        <v>19.072569301148299</v>
      </c>
      <c r="J43" s="69">
        <v>119.84844862851</v>
      </c>
      <c r="K43" s="69">
        <v>4.9666555209743102</v>
      </c>
      <c r="L43" s="69">
        <v>292.02019513559901</v>
      </c>
      <c r="M43" s="69">
        <v>44.1603446531564</v>
      </c>
      <c r="N43" s="69">
        <v>3.2710941113228</v>
      </c>
      <c r="O43" s="69">
        <v>150.76307468461599</v>
      </c>
      <c r="P43" s="69">
        <v>28.730520105113602</v>
      </c>
      <c r="Q43" s="69">
        <v>18.057016162397101</v>
      </c>
      <c r="R43" s="69">
        <v>174.377151468205</v>
      </c>
      <c r="S43" s="69">
        <v>152.75013277249599</v>
      </c>
      <c r="T43" s="69">
        <v>11.4867180075905</v>
      </c>
      <c r="U43" s="69">
        <v>3.72592763151679</v>
      </c>
      <c r="V43" s="69">
        <v>27.6479291003287</v>
      </c>
      <c r="W43" s="69">
        <v>347.169992314578</v>
      </c>
      <c r="X43" s="69">
        <v>37.339877406847599</v>
      </c>
      <c r="Y43" s="69">
        <v>18.588004674220901</v>
      </c>
      <c r="Z43" s="69">
        <v>15.296462378005801</v>
      </c>
      <c r="AA43" s="69">
        <v>151.31480592893001</v>
      </c>
      <c r="AB43" s="69">
        <v>357.506327710969</v>
      </c>
      <c r="AC43" s="69">
        <v>177.57739850998601</v>
      </c>
      <c r="AD43" s="69">
        <v>177.36935008606</v>
      </c>
      <c r="AE43" s="69">
        <v>192.46824205398599</v>
      </c>
      <c r="AF43" s="69">
        <v>11.537960178526401</v>
      </c>
      <c r="AG43" s="69">
        <v>31.741408866728499</v>
      </c>
      <c r="AH43" s="69">
        <v>33.373625460148197</v>
      </c>
      <c r="AI43" s="69">
        <v>25.380602113794001</v>
      </c>
      <c r="AJ43" s="69">
        <v>61.238093631683498</v>
      </c>
      <c r="AK43" s="69">
        <v>10.6106265758508</v>
      </c>
      <c r="AL43" s="69">
        <v>37.767053932075903</v>
      </c>
      <c r="AM43" s="69">
        <v>53.957826337038398</v>
      </c>
      <c r="AN43" s="69">
        <v>7037.2354758712499</v>
      </c>
      <c r="AO43" s="69">
        <v>1801.3122922295199</v>
      </c>
      <c r="AP43" s="69">
        <v>263.32293540066399</v>
      </c>
      <c r="AQ43" s="69">
        <v>10858.7931758704</v>
      </c>
      <c r="AR43" s="69">
        <v>702.56521879974002</v>
      </c>
      <c r="AS43" s="69">
        <v>31.347023372805999</v>
      </c>
      <c r="AT43" s="69">
        <v>12.8780567189526</v>
      </c>
      <c r="AU43" s="69">
        <v>671.62080075634196</v>
      </c>
      <c r="AV43" s="69">
        <v>660.93383528470895</v>
      </c>
      <c r="AW43" s="69">
        <v>649.94844688933404</v>
      </c>
      <c r="AX43" s="69">
        <v>51.713349125979498</v>
      </c>
      <c r="AY43" s="69">
        <v>206.16084135457299</v>
      </c>
      <c r="AZ43" s="69">
        <v>902.69856302130802</v>
      </c>
      <c r="BA43" s="69">
        <v>470.50429886749902</v>
      </c>
      <c r="BB43" s="69">
        <v>1003.13813360721</v>
      </c>
      <c r="BC43" s="69">
        <v>426.03527151176098</v>
      </c>
      <c r="BD43" s="69">
        <v>608.57174654773996</v>
      </c>
      <c r="BE43" s="69">
        <v>137.552115766507</v>
      </c>
      <c r="BF43" s="69">
        <v>161.63612185340099</v>
      </c>
      <c r="BG43" s="69">
        <v>92.332543320038098</v>
      </c>
      <c r="BH43" s="69">
        <v>3530.8762407134</v>
      </c>
      <c r="BI43" s="69">
        <v>46.691965972263702</v>
      </c>
      <c r="BJ43" s="69">
        <v>830.10191364014997</v>
      </c>
      <c r="BK43" s="69">
        <v>258.16865608934199</v>
      </c>
      <c r="BL43" s="69">
        <v>1285.73764261358</v>
      </c>
      <c r="BM43" s="69">
        <v>224.89102063787399</v>
      </c>
      <c r="BN43" s="69">
        <v>781.29545896322099</v>
      </c>
      <c r="BO43" s="69">
        <v>496.49804037777801</v>
      </c>
      <c r="BP43" s="69">
        <v>1383.1147733417999</v>
      </c>
      <c r="BQ43" s="70">
        <v>0</v>
      </c>
      <c r="BR43" s="71">
        <v>41486.646226248697</v>
      </c>
      <c r="BS43" s="72">
        <v>0</v>
      </c>
      <c r="BT43" s="73">
        <v>0</v>
      </c>
      <c r="BU43" s="73">
        <v>0</v>
      </c>
      <c r="BV43" s="73">
        <v>43890.442026998098</v>
      </c>
      <c r="BW43" s="73">
        <v>0</v>
      </c>
      <c r="BX43" s="74">
        <v>0</v>
      </c>
      <c r="BY43" s="71">
        <v>43890.442026998098</v>
      </c>
      <c r="BZ43" s="75">
        <v>85377.088253246795</v>
      </c>
    </row>
    <row r="44" spans="1:78" ht="15" customHeight="1" x14ac:dyDescent="0.3">
      <c r="A44" s="33" t="s">
        <v>62</v>
      </c>
      <c r="B44" s="11" t="s">
        <v>130</v>
      </c>
      <c r="C44" s="68">
        <v>0.64808254701736601</v>
      </c>
      <c r="D44" s="69">
        <v>0.118963417247578</v>
      </c>
      <c r="E44" s="69">
        <v>5.3918835349544898E-2</v>
      </c>
      <c r="F44" s="69">
        <v>5.0837136550175299E-2</v>
      </c>
      <c r="G44" s="69">
        <v>9.3289628529014994</v>
      </c>
      <c r="H44" s="69">
        <v>35.445366120104801</v>
      </c>
      <c r="I44" s="69">
        <v>3.89076103994842</v>
      </c>
      <c r="J44" s="69">
        <v>9.45556277340736</v>
      </c>
      <c r="K44" s="69">
        <v>2.9701006821838498</v>
      </c>
      <c r="L44" s="69">
        <v>12.5212009308367</v>
      </c>
      <c r="M44" s="69">
        <v>34.699512070555599</v>
      </c>
      <c r="N44" s="69">
        <v>7.3543820924070703E-3</v>
      </c>
      <c r="O44" s="69">
        <v>2.82312605684649</v>
      </c>
      <c r="P44" s="69">
        <v>2.1543434420946999</v>
      </c>
      <c r="Q44" s="69">
        <v>3.5691762158976903E-2</v>
      </c>
      <c r="R44" s="69">
        <v>18.854432328028899</v>
      </c>
      <c r="S44" s="69">
        <v>19.896062263506799</v>
      </c>
      <c r="T44" s="69">
        <v>2.0121656245974999E-2</v>
      </c>
      <c r="U44" s="69">
        <v>30.7244097627968</v>
      </c>
      <c r="V44" s="69">
        <v>12.0151091589837</v>
      </c>
      <c r="W44" s="69">
        <v>60.212432854566998</v>
      </c>
      <c r="X44" s="69">
        <v>32.9607391940228</v>
      </c>
      <c r="Y44" s="69">
        <v>7.5688753676263403</v>
      </c>
      <c r="Z44" s="69">
        <v>4.8299728358516001</v>
      </c>
      <c r="AA44" s="69">
        <v>17.963590857520099</v>
      </c>
      <c r="AB44" s="69">
        <v>34.075358501754899</v>
      </c>
      <c r="AC44" s="69">
        <v>157.98376394847199</v>
      </c>
      <c r="AD44" s="69">
        <v>68.408240820577902</v>
      </c>
      <c r="AE44" s="69">
        <v>7.4992824934066098</v>
      </c>
      <c r="AF44" s="69">
        <v>6.4230476478623205E-2</v>
      </c>
      <c r="AG44" s="69">
        <v>4.3380034771542402</v>
      </c>
      <c r="AH44" s="69">
        <v>2.4136426975601202</v>
      </c>
      <c r="AI44" s="69">
        <v>2.7109816663928799</v>
      </c>
      <c r="AJ44" s="69">
        <v>15.2672261743744</v>
      </c>
      <c r="AK44" s="69">
        <v>1.57358859235631</v>
      </c>
      <c r="AL44" s="69">
        <v>2.3825522393621901</v>
      </c>
      <c r="AM44" s="69">
        <v>6.6937856313807999E-3</v>
      </c>
      <c r="AN44" s="69">
        <v>3.1677674892660099</v>
      </c>
      <c r="AO44" s="69">
        <v>70.652316338097094</v>
      </c>
      <c r="AP44" s="69">
        <v>10.979458712963201</v>
      </c>
      <c r="AQ44" s="69">
        <v>259.30687515877599</v>
      </c>
      <c r="AR44" s="69">
        <v>16.969845872616801</v>
      </c>
      <c r="AS44" s="69">
        <v>0.51366100605842901</v>
      </c>
      <c r="AT44" s="69">
        <v>1.1156169901631501E-2</v>
      </c>
      <c r="AU44" s="69">
        <v>52.823366347945502</v>
      </c>
      <c r="AV44" s="69">
        <v>21.535621465077298</v>
      </c>
      <c r="AW44" s="69">
        <v>49.310442172475199</v>
      </c>
      <c r="AX44" s="69">
        <v>1.8058521930462601</v>
      </c>
      <c r="AY44" s="69">
        <v>3.0542966339152402</v>
      </c>
      <c r="AZ44" s="69">
        <v>2.4534291285886098</v>
      </c>
      <c r="BA44" s="69">
        <v>7.1620137581936003</v>
      </c>
      <c r="BB44" s="69">
        <v>29.766012596817301</v>
      </c>
      <c r="BC44" s="69">
        <v>26.937633515766699</v>
      </c>
      <c r="BD44" s="69">
        <v>32.771145290048302</v>
      </c>
      <c r="BE44" s="69">
        <v>4.9170924525723301</v>
      </c>
      <c r="BF44" s="69">
        <v>5.4446205626700799</v>
      </c>
      <c r="BG44" s="69">
        <v>3.71386496725931</v>
      </c>
      <c r="BH44" s="69">
        <v>290.16855819863099</v>
      </c>
      <c r="BI44" s="69">
        <v>1.52136472034119E-2</v>
      </c>
      <c r="BJ44" s="69">
        <v>558.47443370124199</v>
      </c>
      <c r="BK44" s="69">
        <v>47.847315664899902</v>
      </c>
      <c r="BL44" s="69">
        <v>12.1482460294229</v>
      </c>
      <c r="BM44" s="69">
        <v>104.55434879963001</v>
      </c>
      <c r="BN44" s="69">
        <v>114.321352795295</v>
      </c>
      <c r="BO44" s="69">
        <v>4.3185033507940798</v>
      </c>
      <c r="BP44" s="69">
        <v>89.170132548397802</v>
      </c>
      <c r="BQ44" s="70">
        <v>0</v>
      </c>
      <c r="BR44" s="71">
        <v>2440.2876717695399</v>
      </c>
      <c r="BS44" s="72">
        <v>0</v>
      </c>
      <c r="BT44" s="73">
        <v>0</v>
      </c>
      <c r="BU44" s="73">
        <v>0</v>
      </c>
      <c r="BV44" s="73">
        <v>1596.14522178468</v>
      </c>
      <c r="BW44" s="73">
        <v>0</v>
      </c>
      <c r="BX44" s="74">
        <v>0</v>
      </c>
      <c r="BY44" s="71">
        <v>1596.14522178468</v>
      </c>
      <c r="BZ44" s="75">
        <v>4036.4328935542198</v>
      </c>
    </row>
    <row r="45" spans="1:78" ht="15" customHeight="1" x14ac:dyDescent="0.3">
      <c r="A45" s="33" t="s">
        <v>63</v>
      </c>
      <c r="B45" s="11" t="s">
        <v>131</v>
      </c>
      <c r="C45" s="68">
        <v>2.4040031863726101</v>
      </c>
      <c r="D45" s="69">
        <v>8.9904526824924904</v>
      </c>
      <c r="E45" s="69">
        <v>0.18098293658877501</v>
      </c>
      <c r="F45" s="69">
        <v>0.40171807466967902</v>
      </c>
      <c r="G45" s="69">
        <v>127.752384549504</v>
      </c>
      <c r="H45" s="69">
        <v>237.09846001795401</v>
      </c>
      <c r="I45" s="69">
        <v>17.3910461691822</v>
      </c>
      <c r="J45" s="69">
        <v>1.1913943002980201</v>
      </c>
      <c r="K45" s="69">
        <v>1.2282438595488601</v>
      </c>
      <c r="L45" s="69">
        <v>3.2003712761844501</v>
      </c>
      <c r="M45" s="69">
        <v>0.718554977026438</v>
      </c>
      <c r="N45" s="69">
        <v>0.31798935156319302</v>
      </c>
      <c r="O45" s="69">
        <v>0.120919221405861</v>
      </c>
      <c r="P45" s="69">
        <v>0.39608031052096798</v>
      </c>
      <c r="Q45" s="69">
        <v>0.230937342060443</v>
      </c>
      <c r="R45" s="69">
        <v>0.36716094877408001</v>
      </c>
      <c r="S45" s="69">
        <v>6.7019181516929303</v>
      </c>
      <c r="T45" s="69">
        <v>0.21841127320652901</v>
      </c>
      <c r="U45" s="69">
        <v>1.3868384224855199</v>
      </c>
      <c r="V45" s="69">
        <v>5.9883928763414396</v>
      </c>
      <c r="W45" s="69">
        <v>11.8310244944998</v>
      </c>
      <c r="X45" s="69">
        <v>2.0412708838637599</v>
      </c>
      <c r="Y45" s="69">
        <v>0.253677686990952</v>
      </c>
      <c r="Z45" s="69">
        <v>0.607223256748326</v>
      </c>
      <c r="AA45" s="69">
        <v>3.7340029294605199</v>
      </c>
      <c r="AB45" s="69">
        <v>0.94166569092041696</v>
      </c>
      <c r="AC45" s="69">
        <v>8.3277125167611494</v>
      </c>
      <c r="AD45" s="69">
        <v>89.818293621899599</v>
      </c>
      <c r="AE45" s="69">
        <v>8.1605052696465794</v>
      </c>
      <c r="AF45" s="69">
        <v>9.5042290894618606</v>
      </c>
      <c r="AG45" s="69">
        <v>0.72816620157050604</v>
      </c>
      <c r="AH45" s="69">
        <v>7.5690971539255196</v>
      </c>
      <c r="AI45" s="69">
        <v>30.502103075514199</v>
      </c>
      <c r="AJ45" s="69">
        <v>6.21578185547581</v>
      </c>
      <c r="AK45" s="69">
        <v>24.206077396986299</v>
      </c>
      <c r="AL45" s="69">
        <v>3.2070929613213601</v>
      </c>
      <c r="AM45" s="69">
        <v>0.62308743271673805</v>
      </c>
      <c r="AN45" s="69">
        <v>0.89371217126661195</v>
      </c>
      <c r="AO45" s="69">
        <v>196.954821882446</v>
      </c>
      <c r="AP45" s="69">
        <v>3192.17497788428</v>
      </c>
      <c r="AQ45" s="69">
        <v>173.71298223211201</v>
      </c>
      <c r="AR45" s="69">
        <v>17.8751796445192</v>
      </c>
      <c r="AS45" s="69">
        <v>2.14101307799706</v>
      </c>
      <c r="AT45" s="69">
        <v>2.4581285629608498</v>
      </c>
      <c r="AU45" s="69">
        <v>94.863210704125294</v>
      </c>
      <c r="AV45" s="69">
        <v>28.575321495017299</v>
      </c>
      <c r="AW45" s="69">
        <v>19.4682545963222</v>
      </c>
      <c r="AX45" s="69">
        <v>3.9165678866061402</v>
      </c>
      <c r="AY45" s="69">
        <v>25.7289943090842</v>
      </c>
      <c r="AZ45" s="69">
        <v>127.87553335267199</v>
      </c>
      <c r="BA45" s="69">
        <v>162.41039520432901</v>
      </c>
      <c r="BB45" s="69">
        <v>53.607841631993402</v>
      </c>
      <c r="BC45" s="69">
        <v>64.132649674946094</v>
      </c>
      <c r="BD45" s="69">
        <v>17.6949352981974</v>
      </c>
      <c r="BE45" s="69">
        <v>44.594764019335898</v>
      </c>
      <c r="BF45" s="69">
        <v>1.1103907356774301</v>
      </c>
      <c r="BG45" s="69">
        <v>27.485666614320898</v>
      </c>
      <c r="BH45" s="69">
        <v>173.03244026599799</v>
      </c>
      <c r="BI45" s="69">
        <v>0.43729052250487099</v>
      </c>
      <c r="BJ45" s="69">
        <v>901.27341404629794</v>
      </c>
      <c r="BK45" s="69">
        <v>153.86043497339301</v>
      </c>
      <c r="BL45" s="69">
        <v>54.087242587076702</v>
      </c>
      <c r="BM45" s="69">
        <v>332.83316557859899</v>
      </c>
      <c r="BN45" s="69">
        <v>1.41449741238397</v>
      </c>
      <c r="BO45" s="69">
        <v>4.7430979004119296</v>
      </c>
      <c r="BP45" s="69">
        <v>29.675879291964399</v>
      </c>
      <c r="BQ45" s="70">
        <v>0</v>
      </c>
      <c r="BR45" s="71">
        <v>6533.5900750024703</v>
      </c>
      <c r="BS45" s="72">
        <v>0</v>
      </c>
      <c r="BT45" s="73">
        <v>0</v>
      </c>
      <c r="BU45" s="73">
        <v>0</v>
      </c>
      <c r="BV45" s="73">
        <v>5.9570210675566297</v>
      </c>
      <c r="BW45" s="73">
        <v>31047.165005508599</v>
      </c>
      <c r="BX45" s="74">
        <v>0</v>
      </c>
      <c r="BY45" s="71">
        <v>31053.122026576199</v>
      </c>
      <c r="BZ45" s="75">
        <v>37586.712101578603</v>
      </c>
    </row>
    <row r="46" spans="1:78" ht="15" customHeight="1" x14ac:dyDescent="0.3">
      <c r="A46" s="33" t="s">
        <v>64</v>
      </c>
      <c r="B46" s="11" t="s">
        <v>132</v>
      </c>
      <c r="C46" s="68">
        <v>237.368563640725</v>
      </c>
      <c r="D46" s="69">
        <v>173.7539259893</v>
      </c>
      <c r="E46" s="69">
        <v>5.9542223131612397</v>
      </c>
      <c r="F46" s="69">
        <v>9.9715117179231498</v>
      </c>
      <c r="G46" s="69">
        <v>149.52512697849701</v>
      </c>
      <c r="H46" s="69">
        <v>146.68891554379201</v>
      </c>
      <c r="I46" s="69">
        <v>10.935183520286699</v>
      </c>
      <c r="J46" s="69">
        <v>412.22428184115603</v>
      </c>
      <c r="K46" s="69">
        <v>23.862060372808902</v>
      </c>
      <c r="L46" s="69">
        <v>359.41732663366201</v>
      </c>
      <c r="M46" s="69">
        <v>51.696772918745502</v>
      </c>
      <c r="N46" s="69">
        <v>5.0317925303501996</v>
      </c>
      <c r="O46" s="69">
        <v>13.6591771174527</v>
      </c>
      <c r="P46" s="69">
        <v>25.428042630865999</v>
      </c>
      <c r="Q46" s="69">
        <v>18.8700605287756</v>
      </c>
      <c r="R46" s="69">
        <v>25.318288048654502</v>
      </c>
      <c r="S46" s="69">
        <v>86.669828006582804</v>
      </c>
      <c r="T46" s="69">
        <v>9.0212462449616204</v>
      </c>
      <c r="U46" s="69">
        <v>918.54304943216903</v>
      </c>
      <c r="V46" s="69">
        <v>32.804524117400902</v>
      </c>
      <c r="W46" s="69">
        <v>63.588901285581699</v>
      </c>
      <c r="X46" s="69">
        <v>47.843074404603399</v>
      </c>
      <c r="Y46" s="69">
        <v>17.347840390622899</v>
      </c>
      <c r="Z46" s="69">
        <v>124.623018026251</v>
      </c>
      <c r="AA46" s="69">
        <v>80.131774546856093</v>
      </c>
      <c r="AB46" s="69">
        <v>65.542608182877999</v>
      </c>
      <c r="AC46" s="69">
        <v>88.148519755920503</v>
      </c>
      <c r="AD46" s="69">
        <v>29.579379619276299</v>
      </c>
      <c r="AE46" s="69">
        <v>60.035721374535797</v>
      </c>
      <c r="AF46" s="69">
        <v>86.438632978579307</v>
      </c>
      <c r="AG46" s="69">
        <v>42.938778558112297</v>
      </c>
      <c r="AH46" s="69">
        <v>248.779757497285</v>
      </c>
      <c r="AI46" s="69">
        <v>148.70116760238901</v>
      </c>
      <c r="AJ46" s="69">
        <v>34.210261024721497</v>
      </c>
      <c r="AK46" s="69">
        <v>18.343963901986001</v>
      </c>
      <c r="AL46" s="69">
        <v>50.306179638808999</v>
      </c>
      <c r="AM46" s="69">
        <v>36.956438736284497</v>
      </c>
      <c r="AN46" s="69">
        <v>32.428944482648703</v>
      </c>
      <c r="AO46" s="69">
        <v>52.2501803286723</v>
      </c>
      <c r="AP46" s="69">
        <v>353.58331184058898</v>
      </c>
      <c r="AQ46" s="69">
        <v>683.76046055212703</v>
      </c>
      <c r="AR46" s="69">
        <v>339.18582847790299</v>
      </c>
      <c r="AS46" s="69">
        <v>20.586167844426299</v>
      </c>
      <c r="AT46" s="69">
        <v>20.0216107370874</v>
      </c>
      <c r="AU46" s="69">
        <v>62.4741128902564</v>
      </c>
      <c r="AV46" s="69">
        <v>8.4168845183903596</v>
      </c>
      <c r="AW46" s="69">
        <v>364.67914135603098</v>
      </c>
      <c r="AX46" s="69">
        <v>24.0484886864628</v>
      </c>
      <c r="AY46" s="69">
        <v>42.7359297926929</v>
      </c>
      <c r="AZ46" s="69">
        <v>122.607853481576</v>
      </c>
      <c r="BA46" s="69">
        <v>250.89012112379999</v>
      </c>
      <c r="BB46" s="69">
        <v>79.280033300564298</v>
      </c>
      <c r="BC46" s="69">
        <v>14.601417151926499</v>
      </c>
      <c r="BD46" s="69">
        <v>66.971129260822806</v>
      </c>
      <c r="BE46" s="69">
        <v>61.488351990474598</v>
      </c>
      <c r="BF46" s="69">
        <v>42.857505711618799</v>
      </c>
      <c r="BG46" s="69">
        <v>64.736910813667805</v>
      </c>
      <c r="BH46" s="69">
        <v>111.512845591972</v>
      </c>
      <c r="BI46" s="69">
        <v>15.8779640557952</v>
      </c>
      <c r="BJ46" s="69">
        <v>190.54815580089499</v>
      </c>
      <c r="BK46" s="69">
        <v>69.486456397040001</v>
      </c>
      <c r="BL46" s="69">
        <v>66.453827280813698</v>
      </c>
      <c r="BM46" s="69">
        <v>518.15009748706802</v>
      </c>
      <c r="BN46" s="69">
        <v>967.68934760646403</v>
      </c>
      <c r="BO46" s="69">
        <v>14.7727639417601</v>
      </c>
      <c r="BP46" s="69">
        <v>145.353376003151</v>
      </c>
      <c r="BQ46" s="70">
        <v>0</v>
      </c>
      <c r="BR46" s="71">
        <v>8767.7091361586608</v>
      </c>
      <c r="BS46" s="72">
        <v>1.0320160426040099</v>
      </c>
      <c r="BT46" s="73">
        <v>96.899610265177998</v>
      </c>
      <c r="BU46" s="73">
        <v>0</v>
      </c>
      <c r="BV46" s="73">
        <v>15118.1521848664</v>
      </c>
      <c r="BW46" s="73">
        <v>397.55038820779498</v>
      </c>
      <c r="BX46" s="74">
        <v>0</v>
      </c>
      <c r="BY46" s="71">
        <v>15613.634199382001</v>
      </c>
      <c r="BZ46" s="75">
        <v>24381.343335540601</v>
      </c>
    </row>
    <row r="47" spans="1:78" ht="15" customHeight="1" x14ac:dyDescent="0.3">
      <c r="A47" s="33" t="s">
        <v>65</v>
      </c>
      <c r="B47" s="11" t="s">
        <v>133</v>
      </c>
      <c r="C47" s="68">
        <v>572.26785500952803</v>
      </c>
      <c r="D47" s="69">
        <v>109.237622188668</v>
      </c>
      <c r="E47" s="69">
        <v>48.939960435057799</v>
      </c>
      <c r="F47" s="69">
        <v>44.620815867806499</v>
      </c>
      <c r="G47" s="69">
        <v>1581.2821552304899</v>
      </c>
      <c r="H47" s="69">
        <v>359.97890904554299</v>
      </c>
      <c r="I47" s="69">
        <v>46.961767906456402</v>
      </c>
      <c r="J47" s="69">
        <v>1167.9679029994199</v>
      </c>
      <c r="K47" s="69">
        <v>207.85232500211001</v>
      </c>
      <c r="L47" s="69">
        <v>838.91900375142495</v>
      </c>
      <c r="M47" s="69">
        <v>165.876074899407</v>
      </c>
      <c r="N47" s="69">
        <v>8.4842397664954898</v>
      </c>
      <c r="O47" s="69">
        <v>54.1159320244235</v>
      </c>
      <c r="P47" s="69">
        <v>39.028082700034602</v>
      </c>
      <c r="Q47" s="69">
        <v>35.576471248962299</v>
      </c>
      <c r="R47" s="69">
        <v>187.57530459650999</v>
      </c>
      <c r="S47" s="69">
        <v>821.77606381816202</v>
      </c>
      <c r="T47" s="69">
        <v>18.144863840579799</v>
      </c>
      <c r="U47" s="69">
        <v>158.81037863130501</v>
      </c>
      <c r="V47" s="69">
        <v>89.990836730966606</v>
      </c>
      <c r="W47" s="69">
        <v>634.62646613786399</v>
      </c>
      <c r="X47" s="69">
        <v>100.82060998657801</v>
      </c>
      <c r="Y47" s="69">
        <v>82.503031075929101</v>
      </c>
      <c r="Z47" s="69">
        <v>143.46426943437899</v>
      </c>
      <c r="AA47" s="69">
        <v>152.045748974709</v>
      </c>
      <c r="AB47" s="69">
        <v>170.577864561571</v>
      </c>
      <c r="AC47" s="69">
        <v>412.73222876838702</v>
      </c>
      <c r="AD47" s="69">
        <v>38.273333691582899</v>
      </c>
      <c r="AE47" s="69">
        <v>155.790065601018</v>
      </c>
      <c r="AF47" s="69">
        <v>65.607471340765798</v>
      </c>
      <c r="AG47" s="69">
        <v>77.574299135599006</v>
      </c>
      <c r="AH47" s="69">
        <v>202.115950067488</v>
      </c>
      <c r="AI47" s="69">
        <v>198.043018897808</v>
      </c>
      <c r="AJ47" s="69">
        <v>97.479522083323204</v>
      </c>
      <c r="AK47" s="69">
        <v>58.545703523920203</v>
      </c>
      <c r="AL47" s="69">
        <v>71.053274594992999</v>
      </c>
      <c r="AM47" s="69">
        <v>8.8966721637397104</v>
      </c>
      <c r="AN47" s="69">
        <v>143.39397992368799</v>
      </c>
      <c r="AO47" s="69">
        <v>16.835464384798499</v>
      </c>
      <c r="AP47" s="69">
        <v>278.63968676312197</v>
      </c>
      <c r="AQ47" s="69">
        <v>3609.3876593077998</v>
      </c>
      <c r="AR47" s="69">
        <v>2870.3836851061701</v>
      </c>
      <c r="AS47" s="69">
        <v>453.44802860399699</v>
      </c>
      <c r="AT47" s="69">
        <v>19.829010831018302</v>
      </c>
      <c r="AU47" s="69">
        <v>331.74530048873601</v>
      </c>
      <c r="AV47" s="69">
        <v>2.07815508646111</v>
      </c>
      <c r="AW47" s="69">
        <v>85.094991974491293</v>
      </c>
      <c r="AX47" s="69">
        <v>50.421853031544401</v>
      </c>
      <c r="AY47" s="69">
        <v>19.995017125813401</v>
      </c>
      <c r="AZ47" s="69">
        <v>24.5485966756839</v>
      </c>
      <c r="BA47" s="69">
        <v>131.661304637169</v>
      </c>
      <c r="BB47" s="69">
        <v>187.19464387302801</v>
      </c>
      <c r="BC47" s="69">
        <v>13.9236088983785</v>
      </c>
      <c r="BD47" s="69">
        <v>126.573348665681</v>
      </c>
      <c r="BE47" s="69">
        <v>193.257617956763</v>
      </c>
      <c r="BF47" s="69">
        <v>44.0178776075267</v>
      </c>
      <c r="BG47" s="69">
        <v>87.676017334314196</v>
      </c>
      <c r="BH47" s="69">
        <v>162.08839559348601</v>
      </c>
      <c r="BI47" s="69">
        <v>18.785435825499</v>
      </c>
      <c r="BJ47" s="69">
        <v>154.23413858418701</v>
      </c>
      <c r="BK47" s="69">
        <v>70.020878368324404</v>
      </c>
      <c r="BL47" s="69">
        <v>227.05857089958599</v>
      </c>
      <c r="BM47" s="69">
        <v>77.723618528574804</v>
      </c>
      <c r="BN47" s="69">
        <v>0.59441286204764598</v>
      </c>
      <c r="BO47" s="69">
        <v>22.843191845433001</v>
      </c>
      <c r="BP47" s="69">
        <v>363.569579413079</v>
      </c>
      <c r="BQ47" s="70">
        <v>0</v>
      </c>
      <c r="BR47" s="71">
        <v>19014.580165929401</v>
      </c>
      <c r="BS47" s="72">
        <v>0</v>
      </c>
      <c r="BT47" s="73">
        <v>0</v>
      </c>
      <c r="BU47" s="73">
        <v>0</v>
      </c>
      <c r="BV47" s="73">
        <v>6298.3323620670299</v>
      </c>
      <c r="BW47" s="73">
        <v>0.356115402898944</v>
      </c>
      <c r="BX47" s="74">
        <v>0</v>
      </c>
      <c r="BY47" s="71">
        <v>6298.6884774699301</v>
      </c>
      <c r="BZ47" s="75">
        <v>25313.2686433993</v>
      </c>
    </row>
    <row r="48" spans="1:78" ht="15" customHeight="1" x14ac:dyDescent="0.3">
      <c r="A48" s="33" t="s">
        <v>66</v>
      </c>
      <c r="B48" s="11" t="s">
        <v>134</v>
      </c>
      <c r="C48" s="68">
        <v>48.047646199596699</v>
      </c>
      <c r="D48" s="69">
        <v>8.8197286115983804</v>
      </c>
      <c r="E48" s="69">
        <v>3.9974431286448802</v>
      </c>
      <c r="F48" s="69">
        <v>3.7689716564731901</v>
      </c>
      <c r="G48" s="69">
        <v>132.82498640201101</v>
      </c>
      <c r="H48" s="69">
        <v>28.767374369002201</v>
      </c>
      <c r="I48" s="69">
        <v>3.7296269313114299</v>
      </c>
      <c r="J48" s="69">
        <v>97.152193665911994</v>
      </c>
      <c r="K48" s="69">
        <v>17.001633022239201</v>
      </c>
      <c r="L48" s="69">
        <v>68.439518250582694</v>
      </c>
      <c r="M48" s="69">
        <v>10.6384767024452</v>
      </c>
      <c r="N48" s="69">
        <v>0.54524034078510097</v>
      </c>
      <c r="O48" s="69">
        <v>4.5512444372226497</v>
      </c>
      <c r="P48" s="69">
        <v>3.0146590458308302</v>
      </c>
      <c r="Q48" s="69">
        <v>2.6461214984836201</v>
      </c>
      <c r="R48" s="69">
        <v>12.5784895808118</v>
      </c>
      <c r="S48" s="69">
        <v>69.214687632238494</v>
      </c>
      <c r="T48" s="69">
        <v>1.4917825278677099</v>
      </c>
      <c r="U48" s="69">
        <v>12.7751681514568</v>
      </c>
      <c r="V48" s="69">
        <v>7.1886157225043901</v>
      </c>
      <c r="W48" s="69">
        <v>53.463349345867499</v>
      </c>
      <c r="X48" s="69">
        <v>7.9756677752573601</v>
      </c>
      <c r="Y48" s="69">
        <v>6.2044055991799398</v>
      </c>
      <c r="Z48" s="69">
        <v>10.7195410094574</v>
      </c>
      <c r="AA48" s="69">
        <v>12.284209425641199</v>
      </c>
      <c r="AB48" s="69">
        <v>13.3462605892328</v>
      </c>
      <c r="AC48" s="69">
        <v>34.417558034329502</v>
      </c>
      <c r="AD48" s="69">
        <v>3.2084383767709901</v>
      </c>
      <c r="AE48" s="69">
        <v>12.326743190561</v>
      </c>
      <c r="AF48" s="69">
        <v>4.7619292068263501</v>
      </c>
      <c r="AG48" s="69">
        <v>6.0513856834336304</v>
      </c>
      <c r="AH48" s="69">
        <v>16.066064100433</v>
      </c>
      <c r="AI48" s="69">
        <v>14.5949791429443</v>
      </c>
      <c r="AJ48" s="69">
        <v>7.8766036712421501</v>
      </c>
      <c r="AK48" s="69">
        <v>4.8260686473749903</v>
      </c>
      <c r="AL48" s="69">
        <v>5.7520682048849503</v>
      </c>
      <c r="AM48" s="69">
        <v>0.49626493605283001</v>
      </c>
      <c r="AN48" s="69">
        <v>10.9322514101401</v>
      </c>
      <c r="AO48" s="69">
        <v>1.3123249256445799</v>
      </c>
      <c r="AP48" s="69">
        <v>21.771834456088801</v>
      </c>
      <c r="AQ48" s="69">
        <v>291.67380292004299</v>
      </c>
      <c r="AR48" s="69">
        <v>241.43534535137499</v>
      </c>
      <c r="AS48" s="69">
        <v>38.0818807715292</v>
      </c>
      <c r="AT48" s="69">
        <v>0.82709788566766895</v>
      </c>
      <c r="AU48" s="69">
        <v>26.530713558587699</v>
      </c>
      <c r="AV48" s="69">
        <v>1.67403850852492E-2</v>
      </c>
      <c r="AW48" s="69">
        <v>6.9276711910700897</v>
      </c>
      <c r="AX48" s="69">
        <v>3.9540527244122998</v>
      </c>
      <c r="AY48" s="69">
        <v>0.53138606646795505</v>
      </c>
      <c r="AZ48" s="69">
        <v>0.65801612476665905</v>
      </c>
      <c r="BA48" s="69">
        <v>5.4844260583679603</v>
      </c>
      <c r="BB48" s="69">
        <v>6.4572783954459299</v>
      </c>
      <c r="BC48" s="69">
        <v>0.38740016234897801</v>
      </c>
      <c r="BD48" s="69">
        <v>8.2287878603155704</v>
      </c>
      <c r="BE48" s="69">
        <v>4.84261862141721</v>
      </c>
      <c r="BF48" s="69">
        <v>1.34208063554624</v>
      </c>
      <c r="BG48" s="69">
        <v>6.5113761844326596</v>
      </c>
      <c r="BH48" s="69">
        <v>10.1395579737785</v>
      </c>
      <c r="BI48" s="69">
        <v>1.1279117785213699</v>
      </c>
      <c r="BJ48" s="69">
        <v>3.7893461396796901</v>
      </c>
      <c r="BK48" s="69">
        <v>0.67509317543033198</v>
      </c>
      <c r="BL48" s="69">
        <v>6.0823600712727799E-2</v>
      </c>
      <c r="BM48" s="69">
        <v>1.86600331881227</v>
      </c>
      <c r="BN48" s="69">
        <v>8.6186844869842696E-2</v>
      </c>
      <c r="BO48" s="69">
        <v>0.97593897050932299</v>
      </c>
      <c r="BP48" s="69">
        <v>1.9994586028952599</v>
      </c>
      <c r="BQ48" s="70">
        <v>0</v>
      </c>
      <c r="BR48" s="71">
        <v>1450.1925509104699</v>
      </c>
      <c r="BS48" s="72">
        <v>0</v>
      </c>
      <c r="BT48" s="73">
        <v>0</v>
      </c>
      <c r="BU48" s="73">
        <v>0</v>
      </c>
      <c r="BV48" s="73">
        <v>26.031124955387298</v>
      </c>
      <c r="BW48" s="73">
        <v>0</v>
      </c>
      <c r="BX48" s="74">
        <v>0</v>
      </c>
      <c r="BY48" s="71">
        <v>26.031124955387298</v>
      </c>
      <c r="BZ48" s="75">
        <v>1476.2236758658601</v>
      </c>
    </row>
    <row r="49" spans="1:78" ht="15" customHeight="1" x14ac:dyDescent="0.3">
      <c r="A49" s="33" t="s">
        <v>67</v>
      </c>
      <c r="B49" s="11" t="s">
        <v>135</v>
      </c>
      <c r="C49" s="68">
        <v>2.9349921178236402E-4</v>
      </c>
      <c r="D49" s="69">
        <v>1.2677668475608801E-4</v>
      </c>
      <c r="E49" s="69">
        <v>0</v>
      </c>
      <c r="F49" s="69">
        <v>1.16618564076128E-4</v>
      </c>
      <c r="G49" s="69">
        <v>77.136584923225001</v>
      </c>
      <c r="H49" s="69">
        <v>3.1888188255996298E-3</v>
      </c>
      <c r="I49" s="69">
        <v>1.15285876448512E-4</v>
      </c>
      <c r="J49" s="69">
        <v>8.4214149308447599</v>
      </c>
      <c r="K49" s="69">
        <v>3.94572130630368E-4</v>
      </c>
      <c r="L49" s="69">
        <v>5.7856815374973696</v>
      </c>
      <c r="M49" s="69">
        <v>1.6854551265076301</v>
      </c>
      <c r="N49" s="69">
        <v>1.38616919917868E-4</v>
      </c>
      <c r="O49" s="69">
        <v>3.2804612142846201E-3</v>
      </c>
      <c r="P49" s="69">
        <v>3.4804299499315901E-3</v>
      </c>
      <c r="Q49" s="69">
        <v>6.1863351461828001E-4</v>
      </c>
      <c r="R49" s="69">
        <v>4.7614759323132599E-4</v>
      </c>
      <c r="S49" s="69">
        <v>2.04012654304668</v>
      </c>
      <c r="T49" s="69">
        <v>0</v>
      </c>
      <c r="U49" s="69">
        <v>2.2482409589449999</v>
      </c>
      <c r="V49" s="69">
        <v>6.2807719460035102E-4</v>
      </c>
      <c r="W49" s="69">
        <v>8.4655689871279591</v>
      </c>
      <c r="X49" s="69">
        <v>9.5694694183452995</v>
      </c>
      <c r="Y49" s="69">
        <v>1.13448534973381E-4</v>
      </c>
      <c r="Z49" s="69">
        <v>3.4928456917825801</v>
      </c>
      <c r="AA49" s="69">
        <v>5.3081484442527001E-3</v>
      </c>
      <c r="AB49" s="69">
        <v>3.0287275408840602</v>
      </c>
      <c r="AC49" s="69">
        <v>1.8769045125801</v>
      </c>
      <c r="AD49" s="69">
        <v>5.4223179318765695E-4</v>
      </c>
      <c r="AE49" s="69">
        <v>1.26809128196046E-3</v>
      </c>
      <c r="AF49" s="69">
        <v>2.33680616950753</v>
      </c>
      <c r="AG49" s="69">
        <v>3.2364540289928301</v>
      </c>
      <c r="AH49" s="69">
        <v>4.7611470172172599</v>
      </c>
      <c r="AI49" s="69">
        <v>5.8534738951765997</v>
      </c>
      <c r="AJ49" s="69">
        <v>2.28099187621036</v>
      </c>
      <c r="AK49" s="69">
        <v>0.60689480439480403</v>
      </c>
      <c r="AL49" s="69">
        <v>6.22303897147245E-4</v>
      </c>
      <c r="AM49" s="69">
        <v>9.8205334451699895E-5</v>
      </c>
      <c r="AN49" s="69">
        <v>12.4368025409773</v>
      </c>
      <c r="AO49" s="69">
        <v>1.2470122667568499E-3</v>
      </c>
      <c r="AP49" s="69">
        <v>35.0297786949303</v>
      </c>
      <c r="AQ49" s="69">
        <v>113.69728773295699</v>
      </c>
      <c r="AR49" s="69">
        <v>2.42565255129924</v>
      </c>
      <c r="AS49" s="69">
        <v>2.5436122918285702</v>
      </c>
      <c r="AT49" s="69">
        <v>0</v>
      </c>
      <c r="AU49" s="69">
        <v>28.560357724972999</v>
      </c>
      <c r="AV49" s="69">
        <v>1.1723294551116701</v>
      </c>
      <c r="AW49" s="69">
        <v>1.5587805119968501</v>
      </c>
      <c r="AX49" s="69">
        <v>0.49156061036808402</v>
      </c>
      <c r="AY49" s="69">
        <v>2.8583255097630702</v>
      </c>
      <c r="AZ49" s="69">
        <v>3.2175248242741401</v>
      </c>
      <c r="BA49" s="69">
        <v>32.444066356365802</v>
      </c>
      <c r="BB49" s="69">
        <v>68.591698880504794</v>
      </c>
      <c r="BC49" s="69">
        <v>2.1203470531860802</v>
      </c>
      <c r="BD49" s="69">
        <v>28.8549068941279</v>
      </c>
      <c r="BE49" s="69">
        <v>11.1810972424533</v>
      </c>
      <c r="BF49" s="69">
        <v>23.202008901156201</v>
      </c>
      <c r="BG49" s="69">
        <v>4.7174220419420303</v>
      </c>
      <c r="BH49" s="69">
        <v>13.0971736498123</v>
      </c>
      <c r="BI49" s="69">
        <v>0.79334956422134095</v>
      </c>
      <c r="BJ49" s="69">
        <v>34.057894861371203</v>
      </c>
      <c r="BK49" s="69">
        <v>6.3758034757103497</v>
      </c>
      <c r="BL49" s="69">
        <v>71.079968218650606</v>
      </c>
      <c r="BM49" s="69">
        <v>15.902731641602101</v>
      </c>
      <c r="BN49" s="69">
        <v>3.8545426740242701E-2</v>
      </c>
      <c r="BO49" s="69">
        <v>2.2642615607593601</v>
      </c>
      <c r="BP49" s="69">
        <v>239.927959782286</v>
      </c>
      <c r="BQ49" s="70">
        <v>0</v>
      </c>
      <c r="BR49" s="71">
        <v>901.49009334088703</v>
      </c>
      <c r="BS49" s="72">
        <v>0</v>
      </c>
      <c r="BT49" s="73">
        <v>0</v>
      </c>
      <c r="BU49" s="73">
        <v>0</v>
      </c>
      <c r="BV49" s="73">
        <v>242.275671675946</v>
      </c>
      <c r="BW49" s="73">
        <v>0</v>
      </c>
      <c r="BX49" s="74">
        <v>0</v>
      </c>
      <c r="BY49" s="71">
        <v>242.275671675946</v>
      </c>
      <c r="BZ49" s="75">
        <v>1143.7657650168301</v>
      </c>
    </row>
    <row r="50" spans="1:78" ht="15" customHeight="1" x14ac:dyDescent="0.3">
      <c r="A50" s="33" t="s">
        <v>68</v>
      </c>
      <c r="B50" s="11" t="s">
        <v>136</v>
      </c>
      <c r="C50" s="68">
        <v>229.19197742497801</v>
      </c>
      <c r="D50" s="69">
        <v>3.6444447697782998</v>
      </c>
      <c r="E50" s="69">
        <v>15.7035841590868</v>
      </c>
      <c r="F50" s="69">
        <v>2.9217506831478399</v>
      </c>
      <c r="G50" s="69">
        <v>230.06264782509101</v>
      </c>
      <c r="H50" s="69">
        <v>282.61950818038503</v>
      </c>
      <c r="I50" s="69">
        <v>27.007246039167502</v>
      </c>
      <c r="J50" s="69">
        <v>268.72014106536699</v>
      </c>
      <c r="K50" s="69">
        <v>222.879225693156</v>
      </c>
      <c r="L50" s="69">
        <v>277.42947743760402</v>
      </c>
      <c r="M50" s="69">
        <v>165.54045230986</v>
      </c>
      <c r="N50" s="69">
        <v>2.9052286669271599</v>
      </c>
      <c r="O50" s="69">
        <v>15.640773117176201</v>
      </c>
      <c r="P50" s="69">
        <v>10.649489221194299</v>
      </c>
      <c r="Q50" s="69">
        <v>10.0968140204818</v>
      </c>
      <c r="R50" s="69">
        <v>26.631133424691701</v>
      </c>
      <c r="S50" s="69">
        <v>151.33498109330199</v>
      </c>
      <c r="T50" s="69">
        <v>13.846625484791399</v>
      </c>
      <c r="U50" s="69">
        <v>74.295653397823799</v>
      </c>
      <c r="V50" s="69">
        <v>139.97473589373399</v>
      </c>
      <c r="W50" s="69">
        <v>104.55496234751899</v>
      </c>
      <c r="X50" s="69">
        <v>71.704759798486606</v>
      </c>
      <c r="Y50" s="69">
        <v>27.211808133397401</v>
      </c>
      <c r="Z50" s="69">
        <v>51.9681939411252</v>
      </c>
      <c r="AA50" s="69">
        <v>20.193056458814301</v>
      </c>
      <c r="AB50" s="69">
        <v>30.954147194694301</v>
      </c>
      <c r="AC50" s="69">
        <v>241.42363357020201</v>
      </c>
      <c r="AD50" s="69">
        <v>12.307021175100701</v>
      </c>
      <c r="AE50" s="69">
        <v>79.322424391787607</v>
      </c>
      <c r="AF50" s="69">
        <v>48.973474302080099</v>
      </c>
      <c r="AG50" s="69">
        <v>68.522601036272505</v>
      </c>
      <c r="AH50" s="69">
        <v>26.988276388833199</v>
      </c>
      <c r="AI50" s="69">
        <v>191.005520634611</v>
      </c>
      <c r="AJ50" s="69">
        <v>47.9688071984895</v>
      </c>
      <c r="AK50" s="69">
        <v>17.943640632944401</v>
      </c>
      <c r="AL50" s="69">
        <v>33.477673722104299</v>
      </c>
      <c r="AM50" s="69">
        <v>16.545095718205001</v>
      </c>
      <c r="AN50" s="69">
        <v>35.2745756914682</v>
      </c>
      <c r="AO50" s="69">
        <v>9.0166360998758799E-2</v>
      </c>
      <c r="AP50" s="69">
        <v>49.659718139913103</v>
      </c>
      <c r="AQ50" s="69">
        <v>1516.2133972531899</v>
      </c>
      <c r="AR50" s="69">
        <v>724.42671094295702</v>
      </c>
      <c r="AS50" s="69">
        <v>215.462131494522</v>
      </c>
      <c r="AT50" s="69">
        <v>335.08425285817401</v>
      </c>
      <c r="AU50" s="69">
        <v>459.48332610664102</v>
      </c>
      <c r="AV50" s="69">
        <v>5.0106432894037898</v>
      </c>
      <c r="AW50" s="69">
        <v>19.381584568968499</v>
      </c>
      <c r="AX50" s="69">
        <v>3.26128430452489</v>
      </c>
      <c r="AY50" s="69">
        <v>6.77208727149086</v>
      </c>
      <c r="AZ50" s="69">
        <v>38.6851545193582</v>
      </c>
      <c r="BA50" s="69">
        <v>22.369569323126701</v>
      </c>
      <c r="BB50" s="69">
        <v>267.891222411564</v>
      </c>
      <c r="BC50" s="69">
        <v>14.3712693604449</v>
      </c>
      <c r="BD50" s="69">
        <v>54.463207639407102</v>
      </c>
      <c r="BE50" s="69">
        <v>18.035011179849199</v>
      </c>
      <c r="BF50" s="69">
        <v>26.284188307041401</v>
      </c>
      <c r="BG50" s="69">
        <v>21.9544755022267</v>
      </c>
      <c r="BH50" s="69">
        <v>74.535128449679306</v>
      </c>
      <c r="BI50" s="69">
        <v>6.0812870183795802</v>
      </c>
      <c r="BJ50" s="69">
        <v>247.80784032953801</v>
      </c>
      <c r="BK50" s="69">
        <v>21.195562839812801</v>
      </c>
      <c r="BL50" s="69">
        <v>41.513455432573402</v>
      </c>
      <c r="BM50" s="69">
        <v>37.085378416597898</v>
      </c>
      <c r="BN50" s="69">
        <v>24.028012172836501</v>
      </c>
      <c r="BO50" s="69">
        <v>5.6622970074278198</v>
      </c>
      <c r="BP50" s="69">
        <v>111.720654033426</v>
      </c>
      <c r="BQ50" s="70">
        <v>0</v>
      </c>
      <c r="BR50" s="71">
        <v>7665.96457877795</v>
      </c>
      <c r="BS50" s="72">
        <v>0</v>
      </c>
      <c r="BT50" s="73">
        <v>0</v>
      </c>
      <c r="BU50" s="73">
        <v>0</v>
      </c>
      <c r="BV50" s="73">
        <v>2136.15702036836</v>
      </c>
      <c r="BW50" s="73">
        <v>2.5915427112770799</v>
      </c>
      <c r="BX50" s="74">
        <v>0</v>
      </c>
      <c r="BY50" s="71">
        <v>2138.74856307963</v>
      </c>
      <c r="BZ50" s="75">
        <v>9804.7131418575791</v>
      </c>
    </row>
    <row r="51" spans="1:78" ht="15" customHeight="1" x14ac:dyDescent="0.3">
      <c r="A51" s="33" t="s">
        <v>69</v>
      </c>
      <c r="B51" s="11" t="s">
        <v>137</v>
      </c>
      <c r="C51" s="68">
        <v>2.80158338519529E-4</v>
      </c>
      <c r="D51" s="69">
        <v>1.21014108176266E-4</v>
      </c>
      <c r="E51" s="69">
        <v>0</v>
      </c>
      <c r="F51" s="69">
        <v>1.11317720254486E-4</v>
      </c>
      <c r="G51" s="69">
        <v>45.984613195159902</v>
      </c>
      <c r="H51" s="69">
        <v>32.035318265395603</v>
      </c>
      <c r="I51" s="69">
        <v>2.5499107612191398</v>
      </c>
      <c r="J51" s="69">
        <v>53.3305913668244</v>
      </c>
      <c r="K51" s="69">
        <v>9.6100558870342496</v>
      </c>
      <c r="L51" s="69">
        <v>55.250300370857197</v>
      </c>
      <c r="M51" s="69">
        <v>6.0763420571102902</v>
      </c>
      <c r="N51" s="69">
        <v>7.9661369166459899</v>
      </c>
      <c r="O51" s="69">
        <v>5.91158377748798</v>
      </c>
      <c r="P51" s="69">
        <v>4.8136429973338402</v>
      </c>
      <c r="Q51" s="69">
        <v>4.4055513379875801</v>
      </c>
      <c r="R51" s="69">
        <v>4.54504520811721E-4</v>
      </c>
      <c r="S51" s="69">
        <v>18.747750490303901</v>
      </c>
      <c r="T51" s="69">
        <v>0</v>
      </c>
      <c r="U51" s="69">
        <v>6.2502534745722498</v>
      </c>
      <c r="V51" s="69">
        <v>5.9952823120942595E-4</v>
      </c>
      <c r="W51" s="69">
        <v>24.985635896231798</v>
      </c>
      <c r="X51" s="69">
        <v>23.541465622414201</v>
      </c>
      <c r="Y51" s="69">
        <v>5.8230671854433798</v>
      </c>
      <c r="Z51" s="69">
        <v>35.067252855584698</v>
      </c>
      <c r="AA51" s="69">
        <v>21.553551745966701</v>
      </c>
      <c r="AB51" s="69">
        <v>16.897255703496199</v>
      </c>
      <c r="AC51" s="69">
        <v>31.899782783471998</v>
      </c>
      <c r="AD51" s="69">
        <v>6.1970061634124098</v>
      </c>
      <c r="AE51" s="69">
        <v>25.834604792900599</v>
      </c>
      <c r="AF51" s="69">
        <v>18.3473804453191</v>
      </c>
      <c r="AG51" s="69">
        <v>20.214619642614299</v>
      </c>
      <c r="AH51" s="69">
        <v>51.534102507376097</v>
      </c>
      <c r="AI51" s="69">
        <v>19.775167945020499</v>
      </c>
      <c r="AJ51" s="69">
        <v>12.858304721154999</v>
      </c>
      <c r="AK51" s="69">
        <v>5.0295161780698399</v>
      </c>
      <c r="AL51" s="69">
        <v>18.470989225461999</v>
      </c>
      <c r="AM51" s="69">
        <v>9.6257172226613008</v>
      </c>
      <c r="AN51" s="69">
        <v>25.954853481007898</v>
      </c>
      <c r="AO51" s="69">
        <v>1.1903298909951799E-3</v>
      </c>
      <c r="AP51" s="69">
        <v>158.602913325293</v>
      </c>
      <c r="AQ51" s="69">
        <v>562.87520570760796</v>
      </c>
      <c r="AR51" s="69">
        <v>31.5603785883225</v>
      </c>
      <c r="AS51" s="69">
        <v>0</v>
      </c>
      <c r="AT51" s="69">
        <v>7.1785538719209603</v>
      </c>
      <c r="AU51" s="69">
        <v>35.588025900516101</v>
      </c>
      <c r="AV51" s="69">
        <v>2.2717763964409401E-3</v>
      </c>
      <c r="AW51" s="69">
        <v>5.5848403847561601</v>
      </c>
      <c r="AX51" s="69">
        <v>7.3022165209351897</v>
      </c>
      <c r="AY51" s="69">
        <v>17.628217926652599</v>
      </c>
      <c r="AZ51" s="69">
        <v>13.5462984503889</v>
      </c>
      <c r="BA51" s="69">
        <v>111.158556029799</v>
      </c>
      <c r="BB51" s="69">
        <v>126.239254780358</v>
      </c>
      <c r="BC51" s="69">
        <v>9.3785149115166906</v>
      </c>
      <c r="BD51" s="69">
        <v>57.130046836818003</v>
      </c>
      <c r="BE51" s="69">
        <v>47.831873778780597</v>
      </c>
      <c r="BF51" s="69">
        <v>38.0567921167804</v>
      </c>
      <c r="BG51" s="69">
        <v>29.155967584167001</v>
      </c>
      <c r="BH51" s="69">
        <v>31.015716603421001</v>
      </c>
      <c r="BI51" s="69">
        <v>6.1569951222271504</v>
      </c>
      <c r="BJ51" s="69">
        <v>182.302481477642</v>
      </c>
      <c r="BK51" s="69">
        <v>17.9433971260523</v>
      </c>
      <c r="BL51" s="69">
        <v>55.712365918240003</v>
      </c>
      <c r="BM51" s="69">
        <v>42.984282032583103</v>
      </c>
      <c r="BN51" s="69">
        <v>1.2433747022278299E-2</v>
      </c>
      <c r="BO51" s="69">
        <v>21.7864756484176</v>
      </c>
      <c r="BP51" s="69">
        <v>852.72176236186897</v>
      </c>
      <c r="BQ51" s="70">
        <v>0</v>
      </c>
      <c r="BR51" s="71">
        <v>3096.0009203968302</v>
      </c>
      <c r="BS51" s="72">
        <v>0</v>
      </c>
      <c r="BT51" s="73">
        <v>0</v>
      </c>
      <c r="BU51" s="73">
        <v>0</v>
      </c>
      <c r="BV51" s="73">
        <v>716.88247660826596</v>
      </c>
      <c r="BW51" s="73">
        <v>0</v>
      </c>
      <c r="BX51" s="74">
        <v>0</v>
      </c>
      <c r="BY51" s="71">
        <v>716.88247660826596</v>
      </c>
      <c r="BZ51" s="75">
        <v>3812.8833970051001</v>
      </c>
    </row>
    <row r="52" spans="1:78" ht="15" customHeight="1" x14ac:dyDescent="0.3">
      <c r="A52" s="33" t="s">
        <v>70</v>
      </c>
      <c r="B52" s="11" t="s">
        <v>138</v>
      </c>
      <c r="C52" s="68">
        <v>1.5978773227463701</v>
      </c>
      <c r="D52" s="69">
        <v>0.110074991950758</v>
      </c>
      <c r="E52" s="69">
        <v>0.120392996948185</v>
      </c>
      <c r="F52" s="69">
        <v>0.26155537929072797</v>
      </c>
      <c r="G52" s="69">
        <v>16.425256698016899</v>
      </c>
      <c r="H52" s="69">
        <v>4.7354241558774897</v>
      </c>
      <c r="I52" s="69">
        <v>0.32535959428702999</v>
      </c>
      <c r="J52" s="69">
        <v>0.74939290228320998</v>
      </c>
      <c r="K52" s="69">
        <v>0.81529153664368403</v>
      </c>
      <c r="L52" s="69">
        <v>5.83158878519209</v>
      </c>
      <c r="M52" s="69">
        <v>0.47648567665501201</v>
      </c>
      <c r="N52" s="69">
        <v>0.21091457153888499</v>
      </c>
      <c r="O52" s="69">
        <v>7.2346026062895405E-2</v>
      </c>
      <c r="P52" s="69">
        <v>0.25457929857065198</v>
      </c>
      <c r="Q52" s="69">
        <v>0.15086780512963499</v>
      </c>
      <c r="R52" s="69">
        <v>0.242120827435201</v>
      </c>
      <c r="S52" s="69">
        <v>1.5345685933326401</v>
      </c>
      <c r="T52" s="69">
        <v>0.14529097739390801</v>
      </c>
      <c r="U52" s="69">
        <v>0.92012910526301905</v>
      </c>
      <c r="V52" s="69">
        <v>0.19597197891118501</v>
      </c>
      <c r="W52" s="69">
        <v>1.61444458220641</v>
      </c>
      <c r="X52" s="69">
        <v>1.3535759767706499</v>
      </c>
      <c r="Y52" s="69">
        <v>0.167402453945869</v>
      </c>
      <c r="Z52" s="69">
        <v>6.8531278041163901</v>
      </c>
      <c r="AA52" s="69">
        <v>2.46847742727127</v>
      </c>
      <c r="AB52" s="69">
        <v>0.61962220545373803</v>
      </c>
      <c r="AC52" s="69">
        <v>0.82419381580309303</v>
      </c>
      <c r="AD52" s="69">
        <v>0.40526232155139902</v>
      </c>
      <c r="AE52" s="69">
        <v>1.0511801008378101</v>
      </c>
      <c r="AF52" s="69">
        <v>1.6948636505927801</v>
      </c>
      <c r="AG52" s="69">
        <v>0.47949107703830701</v>
      </c>
      <c r="AH52" s="69">
        <v>1.53284597329404</v>
      </c>
      <c r="AI52" s="69">
        <v>11.322632404062899</v>
      </c>
      <c r="AJ52" s="69">
        <v>1.6527820926394501</v>
      </c>
      <c r="AK52" s="69">
        <v>1.64166239911265</v>
      </c>
      <c r="AL52" s="69">
        <v>0.439119716589501</v>
      </c>
      <c r="AM52" s="69">
        <v>5.4965704204011399</v>
      </c>
      <c r="AN52" s="69">
        <v>8.0131688426094296</v>
      </c>
      <c r="AO52" s="69">
        <v>1.7483766557109199</v>
      </c>
      <c r="AP52" s="69">
        <v>3.3790969238895299</v>
      </c>
      <c r="AQ52" s="69">
        <v>63.040260277391297</v>
      </c>
      <c r="AR52" s="69">
        <v>4.4858808499734204</v>
      </c>
      <c r="AS52" s="69">
        <v>1.4242391344937</v>
      </c>
      <c r="AT52" s="69">
        <v>72.091396480907406</v>
      </c>
      <c r="AU52" s="69">
        <v>2.4216402077518899</v>
      </c>
      <c r="AV52" s="69">
        <v>10.151054054878101</v>
      </c>
      <c r="AW52" s="69">
        <v>4.0170350146405696</v>
      </c>
      <c r="AX52" s="69">
        <v>1.8718507859760301</v>
      </c>
      <c r="AY52" s="69">
        <v>27.980426039618301</v>
      </c>
      <c r="AZ52" s="69">
        <v>3.9618994151699098</v>
      </c>
      <c r="BA52" s="69">
        <v>19.323375866917601</v>
      </c>
      <c r="BB52" s="69">
        <v>349.32893361699701</v>
      </c>
      <c r="BC52" s="69">
        <v>12.243575314514899</v>
      </c>
      <c r="BD52" s="69">
        <v>264.19874956056498</v>
      </c>
      <c r="BE52" s="69">
        <v>1.29048547770319</v>
      </c>
      <c r="BF52" s="69">
        <v>56.769770593160104</v>
      </c>
      <c r="BG52" s="69">
        <v>2.31452180347179</v>
      </c>
      <c r="BH52" s="69">
        <v>222.828853351063</v>
      </c>
      <c r="BI52" s="69">
        <v>2.7351195370412902</v>
      </c>
      <c r="BJ52" s="69">
        <v>523.41155015028005</v>
      </c>
      <c r="BK52" s="69">
        <v>90.244605180708206</v>
      </c>
      <c r="BL52" s="69">
        <v>56.0813171549066</v>
      </c>
      <c r="BM52" s="69">
        <v>330.31947043664599</v>
      </c>
      <c r="BN52" s="69">
        <v>580.80021839211201</v>
      </c>
      <c r="BO52" s="69">
        <v>3.6340330963564602</v>
      </c>
      <c r="BP52" s="69">
        <v>1616.5573716680101</v>
      </c>
      <c r="BQ52" s="70">
        <v>0</v>
      </c>
      <c r="BR52" s="71">
        <v>4411.4610195286796</v>
      </c>
      <c r="BS52" s="72">
        <v>0</v>
      </c>
      <c r="BT52" s="73">
        <v>0</v>
      </c>
      <c r="BU52" s="73">
        <v>0</v>
      </c>
      <c r="BV52" s="73">
        <v>26510.3476491412</v>
      </c>
      <c r="BW52" s="73">
        <v>0</v>
      </c>
      <c r="BX52" s="74">
        <v>0</v>
      </c>
      <c r="BY52" s="71">
        <v>26510.3476491412</v>
      </c>
      <c r="BZ52" s="75">
        <v>30921.808668669899</v>
      </c>
    </row>
    <row r="53" spans="1:78" ht="15" customHeight="1" x14ac:dyDescent="0.3">
      <c r="A53" s="33" t="s">
        <v>71</v>
      </c>
      <c r="B53" s="11" t="s">
        <v>139</v>
      </c>
      <c r="C53" s="68">
        <v>1.06726986102678E-4</v>
      </c>
      <c r="D53" s="69">
        <v>4.6100612638577498E-5</v>
      </c>
      <c r="E53" s="69">
        <v>0</v>
      </c>
      <c r="F53" s="69">
        <v>4.2406750573137402E-5</v>
      </c>
      <c r="G53" s="69">
        <v>5.1606746805611397E-5</v>
      </c>
      <c r="H53" s="69">
        <v>4.33045057379237E-3</v>
      </c>
      <c r="I53" s="69">
        <v>4.1922136890368001E-5</v>
      </c>
      <c r="J53" s="69">
        <v>6.1088788864982799E-2</v>
      </c>
      <c r="K53" s="69">
        <v>1.4348077477467901E-4</v>
      </c>
      <c r="L53" s="69">
        <v>4.4340067686742798E-2</v>
      </c>
      <c r="M53" s="69">
        <v>0.185735333757371</v>
      </c>
      <c r="N53" s="69">
        <v>5.0406152697406502E-5</v>
      </c>
      <c r="O53" s="69">
        <v>1.1411153908863301E-3</v>
      </c>
      <c r="P53" s="69">
        <v>1.2131794233491699E-3</v>
      </c>
      <c r="Q53" s="69">
        <v>2.2495764167937499E-4</v>
      </c>
      <c r="R53" s="69">
        <v>1.7314457935684599E-4</v>
      </c>
      <c r="S53" s="69">
        <v>0.17182626249754401</v>
      </c>
      <c r="T53" s="69">
        <v>0.77441295877414296</v>
      </c>
      <c r="U53" s="69">
        <v>1.97545494157998E-4</v>
      </c>
      <c r="V53" s="69">
        <v>2.283917071274E-4</v>
      </c>
      <c r="W53" s="69">
        <v>5.8318104253716001</v>
      </c>
      <c r="X53" s="69">
        <v>3.5207473785514099E-4</v>
      </c>
      <c r="Y53" s="69">
        <v>8.9850814351030196E-4</v>
      </c>
      <c r="Z53" s="69">
        <v>2.5591471487615499E-3</v>
      </c>
      <c r="AA53" s="69">
        <v>1.86513533021237E-3</v>
      </c>
      <c r="AB53" s="69">
        <v>5.5430113805288097E-4</v>
      </c>
      <c r="AC53" s="69">
        <v>4.57183002263869E-4</v>
      </c>
      <c r="AD53" s="69">
        <v>1.5047428862334799E-3</v>
      </c>
      <c r="AE53" s="69">
        <v>4.6112410253107698E-4</v>
      </c>
      <c r="AF53" s="69">
        <v>6.6812693678251003E-2</v>
      </c>
      <c r="AG53" s="69">
        <v>1.3766408080796301E-3</v>
      </c>
      <c r="AH53" s="69">
        <v>2.7216943431849099E-3</v>
      </c>
      <c r="AI53" s="69">
        <v>2.7576201910730199E-3</v>
      </c>
      <c r="AJ53" s="69">
        <v>1.1845535539882E-3</v>
      </c>
      <c r="AK53" s="69">
        <v>5.2349770119618497E-5</v>
      </c>
      <c r="AL53" s="69">
        <v>3.59162899000397E-2</v>
      </c>
      <c r="AM53" s="69">
        <v>3.5711030709709099E-5</v>
      </c>
      <c r="AN53" s="69">
        <v>2.1513658659101198</v>
      </c>
      <c r="AO53" s="69">
        <v>4.5345900609340201E-4</v>
      </c>
      <c r="AP53" s="69">
        <v>0.133536793443295</v>
      </c>
      <c r="AQ53" s="69">
        <v>13.7245691989097</v>
      </c>
      <c r="AR53" s="69">
        <v>5.80717224139548E-2</v>
      </c>
      <c r="AS53" s="69">
        <v>0</v>
      </c>
      <c r="AT53" s="69">
        <v>0.10311409385293301</v>
      </c>
      <c r="AU53" s="69">
        <v>8.5392468477759904E-3</v>
      </c>
      <c r="AV53" s="69">
        <v>1.58515331391113</v>
      </c>
      <c r="AW53" s="69">
        <v>0.116899493580243</v>
      </c>
      <c r="AX53" s="69">
        <v>4.4579849871430604</v>
      </c>
      <c r="AY53" s="69">
        <v>0.67344705591064802</v>
      </c>
      <c r="AZ53" s="69">
        <v>2.9620101637533098</v>
      </c>
      <c r="BA53" s="69">
        <v>3.2263303193619302</v>
      </c>
      <c r="BB53" s="69">
        <v>36.405421212522</v>
      </c>
      <c r="BC53" s="69">
        <v>2.9296581339560999</v>
      </c>
      <c r="BD53" s="69">
        <v>10.5490208258932</v>
      </c>
      <c r="BE53" s="69">
        <v>4.7523780539278597</v>
      </c>
      <c r="BF53" s="69">
        <v>102.719643988998</v>
      </c>
      <c r="BG53" s="69">
        <v>0.267315674949476</v>
      </c>
      <c r="BH53" s="69">
        <v>6.3320377144524302</v>
      </c>
      <c r="BI53" s="69">
        <v>1.8934202661701802E-2</v>
      </c>
      <c r="BJ53" s="69">
        <v>40.400402509003698</v>
      </c>
      <c r="BK53" s="69">
        <v>85.098374141453803</v>
      </c>
      <c r="BL53" s="69">
        <v>45.765142886478898</v>
      </c>
      <c r="BM53" s="69">
        <v>0.16757786794060001</v>
      </c>
      <c r="BN53" s="69">
        <v>3.06375033112064</v>
      </c>
      <c r="BO53" s="69">
        <v>1.1738764325993101</v>
      </c>
      <c r="BP53" s="69">
        <v>4.2210949845741697</v>
      </c>
      <c r="BQ53" s="70">
        <v>0</v>
      </c>
      <c r="BR53" s="71">
        <v>380.262819716264</v>
      </c>
      <c r="BS53" s="72">
        <v>0</v>
      </c>
      <c r="BT53" s="73">
        <v>0</v>
      </c>
      <c r="BU53" s="73">
        <v>0</v>
      </c>
      <c r="BV53" s="73">
        <v>240.09199492456901</v>
      </c>
      <c r="BW53" s="73">
        <v>0</v>
      </c>
      <c r="BX53" s="74">
        <v>0</v>
      </c>
      <c r="BY53" s="71">
        <v>240.09199492456901</v>
      </c>
      <c r="BZ53" s="75">
        <v>620.35481464083296</v>
      </c>
    </row>
    <row r="54" spans="1:78" ht="15" customHeight="1" x14ac:dyDescent="0.3">
      <c r="A54" s="33" t="s">
        <v>72</v>
      </c>
      <c r="B54" s="11" t="s">
        <v>140</v>
      </c>
      <c r="C54" s="68">
        <v>1.15620901611234E-4</v>
      </c>
      <c r="D54" s="69">
        <v>4.9942330358458902E-5</v>
      </c>
      <c r="E54" s="69">
        <v>0</v>
      </c>
      <c r="F54" s="69">
        <v>4.5940646454232197E-5</v>
      </c>
      <c r="G54" s="69">
        <v>5.5907309039412399E-5</v>
      </c>
      <c r="H54" s="69">
        <v>1.2562013555392499E-3</v>
      </c>
      <c r="I54" s="69">
        <v>4.54156482978987E-5</v>
      </c>
      <c r="J54" s="69">
        <v>3.3606987165594698E-3</v>
      </c>
      <c r="K54" s="69">
        <v>1.55437506005903E-4</v>
      </c>
      <c r="L54" s="69">
        <v>1.63210376400613E-3</v>
      </c>
      <c r="M54" s="69">
        <v>4.3080787756159499E-5</v>
      </c>
      <c r="N54" s="69">
        <v>5.4606665422190397E-5</v>
      </c>
      <c r="O54" s="69">
        <v>4.7914749509756502E-4</v>
      </c>
      <c r="P54" s="69">
        <v>5.4768596037631397E-4</v>
      </c>
      <c r="Q54" s="69">
        <v>2.43704111819322E-4</v>
      </c>
      <c r="R54" s="69">
        <v>1.8757329430325E-4</v>
      </c>
      <c r="S54" s="69">
        <v>7.7864528150598596E-4</v>
      </c>
      <c r="T54" s="69">
        <v>0</v>
      </c>
      <c r="U54" s="69">
        <v>2.1400761867116399E-4</v>
      </c>
      <c r="V54" s="69">
        <v>2.4742434938801699E-4</v>
      </c>
      <c r="W54" s="69">
        <v>4.62741027410641E-4</v>
      </c>
      <c r="X54" s="69">
        <v>3.8141429934306998E-4</v>
      </c>
      <c r="Y54" s="69">
        <v>4.46918471107258E-5</v>
      </c>
      <c r="Z54" s="69">
        <v>4.8011185836912E-4</v>
      </c>
      <c r="AA54" s="69">
        <v>1.06874018626656E-3</v>
      </c>
      <c r="AB54" s="69">
        <v>6.0049289955728803E-4</v>
      </c>
      <c r="AC54" s="69">
        <v>4.9528158578585795E-4</v>
      </c>
      <c r="AD54" s="69">
        <v>2.1360646398301699E-4</v>
      </c>
      <c r="AE54" s="69">
        <v>4.9955111107533295E-4</v>
      </c>
      <c r="AF54" s="69">
        <v>4.2862093053194501E-4</v>
      </c>
      <c r="AG54" s="69">
        <v>3.4077055286778102E-4</v>
      </c>
      <c r="AH54" s="69">
        <v>2.9485022051169798E-3</v>
      </c>
      <c r="AI54" s="69">
        <v>7.8959949405826998E-4</v>
      </c>
      <c r="AJ54" s="69">
        <v>0</v>
      </c>
      <c r="AK54" s="69">
        <v>5.6712250962920003E-5</v>
      </c>
      <c r="AL54" s="69">
        <v>2.4515002008830799E-4</v>
      </c>
      <c r="AM54" s="69">
        <v>3.86869499355181E-5</v>
      </c>
      <c r="AN54" s="69">
        <v>5.70903387702593E-4</v>
      </c>
      <c r="AO54" s="69">
        <v>4.9124725660118496E-4</v>
      </c>
      <c r="AP54" s="69">
        <v>4.2607450244697299E-3</v>
      </c>
      <c r="AQ54" s="69">
        <v>4.7893791499994003E-2</v>
      </c>
      <c r="AR54" s="69">
        <v>6.31513818969919E-3</v>
      </c>
      <c r="AS54" s="69">
        <v>0</v>
      </c>
      <c r="AT54" s="69">
        <v>0</v>
      </c>
      <c r="AU54" s="69">
        <v>2.7764089586706899E-3</v>
      </c>
      <c r="AV54" s="69">
        <v>7.6346583814818601E-4</v>
      </c>
      <c r="AW54" s="69">
        <v>1.27517324767361E-2</v>
      </c>
      <c r="AX54" s="69">
        <v>2.8181802510950999E-4</v>
      </c>
      <c r="AY54" s="69">
        <v>369.35027211206801</v>
      </c>
      <c r="AZ54" s="69">
        <v>277.71212026029701</v>
      </c>
      <c r="BA54" s="69">
        <v>4.1172899494120703E-3</v>
      </c>
      <c r="BB54" s="69">
        <v>4.7358088949761801E-4</v>
      </c>
      <c r="BC54" s="69">
        <v>8.4684289948890306E-3</v>
      </c>
      <c r="BD54" s="69">
        <v>1.03639029694398E-2</v>
      </c>
      <c r="BE54" s="69">
        <v>3.5023864232978899E-3</v>
      </c>
      <c r="BF54" s="69">
        <v>748.62633328601396</v>
      </c>
      <c r="BG54" s="69">
        <v>8.0388542799984305E-3</v>
      </c>
      <c r="BH54" s="69">
        <v>1.06845797742615E-2</v>
      </c>
      <c r="BI54" s="69">
        <v>9.6780506398395403E-5</v>
      </c>
      <c r="BJ54" s="69">
        <v>1.3463117392735E-3</v>
      </c>
      <c r="BK54" s="69">
        <v>1.8918311344219601E-4</v>
      </c>
      <c r="BL54" s="69">
        <v>2.77393507143698E-3</v>
      </c>
      <c r="BM54" s="69">
        <v>6.8131589513312197E-4</v>
      </c>
      <c r="BN54" s="69">
        <v>4.2350822125182498E-3</v>
      </c>
      <c r="BO54" s="69">
        <v>7.6542615712690703</v>
      </c>
      <c r="BP54" s="69">
        <v>4.7850576118528103E-3</v>
      </c>
      <c r="BQ54" s="70">
        <v>0</v>
      </c>
      <c r="BR54" s="71">
        <v>1403.4974569871599</v>
      </c>
      <c r="BS54" s="72">
        <v>0</v>
      </c>
      <c r="BT54" s="73">
        <v>0</v>
      </c>
      <c r="BU54" s="73">
        <v>0</v>
      </c>
      <c r="BV54" s="73">
        <v>64.720784933222703</v>
      </c>
      <c r="BW54" s="73">
        <v>0</v>
      </c>
      <c r="BX54" s="74">
        <v>0</v>
      </c>
      <c r="BY54" s="71">
        <v>64.720784933222703</v>
      </c>
      <c r="BZ54" s="75">
        <v>1468.21824192038</v>
      </c>
    </row>
    <row r="55" spans="1:78" ht="15" customHeight="1" x14ac:dyDescent="0.3">
      <c r="A55" s="33" t="s">
        <v>73</v>
      </c>
      <c r="B55" s="11" t="s">
        <v>141</v>
      </c>
      <c r="C55" s="68">
        <v>6.9105723501483897E-3</v>
      </c>
      <c r="D55" s="69">
        <v>2.9850146683478899E-3</v>
      </c>
      <c r="E55" s="69">
        <v>0</v>
      </c>
      <c r="F55" s="69">
        <v>2.7803641969370898</v>
      </c>
      <c r="G55" s="69">
        <v>40.969147374574703</v>
      </c>
      <c r="H55" s="69">
        <v>8.4861530826373599</v>
      </c>
      <c r="I55" s="69">
        <v>2.8574888837521701</v>
      </c>
      <c r="J55" s="69">
        <v>44.365460184195001</v>
      </c>
      <c r="K55" s="69">
        <v>14.2571918637985</v>
      </c>
      <c r="L55" s="69">
        <v>82.328674393463899</v>
      </c>
      <c r="M55" s="69">
        <v>18.625811233611799</v>
      </c>
      <c r="N55" s="69">
        <v>3.2637983871570699E-3</v>
      </c>
      <c r="O55" s="69">
        <v>19.1995585619071</v>
      </c>
      <c r="P55" s="69">
        <v>38.2486397562284</v>
      </c>
      <c r="Q55" s="69">
        <v>8.1187087594993006</v>
      </c>
      <c r="R55" s="69">
        <v>20.750218147244901</v>
      </c>
      <c r="S55" s="69">
        <v>25.901319130658202</v>
      </c>
      <c r="T55" s="69">
        <v>15.878087974464901</v>
      </c>
      <c r="U55" s="69">
        <v>12.6738510939372</v>
      </c>
      <c r="V55" s="69">
        <v>14.9388047737169</v>
      </c>
      <c r="W55" s="69">
        <v>15.9814022855546</v>
      </c>
      <c r="X55" s="69">
        <v>11.8248994819138</v>
      </c>
      <c r="Y55" s="69">
        <v>2.8754852313773598</v>
      </c>
      <c r="Z55" s="69">
        <v>10.9802110484429</v>
      </c>
      <c r="AA55" s="69">
        <v>19.618763324980598</v>
      </c>
      <c r="AB55" s="69">
        <v>29.950733022077699</v>
      </c>
      <c r="AC55" s="69">
        <v>9.4654507598490092</v>
      </c>
      <c r="AD55" s="69">
        <v>3.0994743391964099</v>
      </c>
      <c r="AE55" s="69">
        <v>25.655704580436002</v>
      </c>
      <c r="AF55" s="69">
        <v>37.563577660700503</v>
      </c>
      <c r="AG55" s="69">
        <v>23.100919356745202</v>
      </c>
      <c r="AH55" s="69">
        <v>26.448173665427099</v>
      </c>
      <c r="AI55" s="69">
        <v>58.030784152696697</v>
      </c>
      <c r="AJ55" s="69">
        <v>63.046249582665197</v>
      </c>
      <c r="AK55" s="69">
        <v>5.5359216111350698</v>
      </c>
      <c r="AL55" s="69">
        <v>30.617683643094502</v>
      </c>
      <c r="AM55" s="69">
        <v>9.8341027494457602</v>
      </c>
      <c r="AN55" s="69">
        <v>13.5962109786581</v>
      </c>
      <c r="AO55" s="69">
        <v>12.178065220821001</v>
      </c>
      <c r="AP55" s="69">
        <v>297.09587962616803</v>
      </c>
      <c r="AQ55" s="69">
        <v>1110.2785913995799</v>
      </c>
      <c r="AR55" s="69">
        <v>190.067836829703</v>
      </c>
      <c r="AS55" s="69">
        <v>7.63680325520121</v>
      </c>
      <c r="AT55" s="69">
        <v>13.8486416509137</v>
      </c>
      <c r="AU55" s="69">
        <v>71.767069092293497</v>
      </c>
      <c r="AV55" s="69">
        <v>20.3083318592947</v>
      </c>
      <c r="AW55" s="69">
        <v>119.82927018239501</v>
      </c>
      <c r="AX55" s="69">
        <v>25.772778733592901</v>
      </c>
      <c r="AY55" s="69">
        <v>30.262044068554601</v>
      </c>
      <c r="AZ55" s="69">
        <v>1015.60258608632</v>
      </c>
      <c r="BA55" s="69">
        <v>793.09326760583497</v>
      </c>
      <c r="BB55" s="69">
        <v>1969.3640813731499</v>
      </c>
      <c r="BC55" s="69">
        <v>166.228754091718</v>
      </c>
      <c r="BD55" s="69">
        <v>828.19668382386305</v>
      </c>
      <c r="BE55" s="69">
        <v>118.319232481057</v>
      </c>
      <c r="BF55" s="69">
        <v>913.18846935453701</v>
      </c>
      <c r="BG55" s="69">
        <v>44.799561987933302</v>
      </c>
      <c r="BH55" s="69">
        <v>617.81714615906901</v>
      </c>
      <c r="BI55" s="69">
        <v>88.695924228348105</v>
      </c>
      <c r="BJ55" s="69">
        <v>559.17754700120702</v>
      </c>
      <c r="BK55" s="69">
        <v>128.57506101314101</v>
      </c>
      <c r="BL55" s="69">
        <v>438.26495685503897</v>
      </c>
      <c r="BM55" s="69">
        <v>66.313279615748101</v>
      </c>
      <c r="BN55" s="69">
        <v>313.066327136506</v>
      </c>
      <c r="BO55" s="69">
        <v>66.877214255732397</v>
      </c>
      <c r="BP55" s="69">
        <v>504.26481014338702</v>
      </c>
      <c r="BQ55" s="70">
        <v>0</v>
      </c>
      <c r="BR55" s="71">
        <v>11298.5086014015</v>
      </c>
      <c r="BS55" s="72">
        <v>0</v>
      </c>
      <c r="BT55" s="73">
        <v>0</v>
      </c>
      <c r="BU55" s="73">
        <v>0</v>
      </c>
      <c r="BV55" s="73">
        <v>37557.119043851002</v>
      </c>
      <c r="BW55" s="73">
        <v>0</v>
      </c>
      <c r="BX55" s="74">
        <v>0</v>
      </c>
      <c r="BY55" s="71">
        <v>37557.119043851002</v>
      </c>
      <c r="BZ55" s="75">
        <v>48855.627645252498</v>
      </c>
    </row>
    <row r="56" spans="1:78" ht="15" customHeight="1" x14ac:dyDescent="0.3">
      <c r="A56" s="33" t="s">
        <v>74</v>
      </c>
      <c r="B56" s="11" t="s">
        <v>142</v>
      </c>
      <c r="C56" s="68">
        <v>1.25304757576803E-2</v>
      </c>
      <c r="D56" s="69">
        <v>8.4360181045552898E-3</v>
      </c>
      <c r="E56" s="69">
        <v>0</v>
      </c>
      <c r="F56" s="69">
        <v>8.8168822776389395E-3</v>
      </c>
      <c r="G56" s="69">
        <v>10.0492756034386</v>
      </c>
      <c r="H56" s="69">
        <v>47.471313709695899</v>
      </c>
      <c r="I56" s="69">
        <v>3.4926719911425801</v>
      </c>
      <c r="J56" s="69">
        <v>46.389627524161298</v>
      </c>
      <c r="K56" s="69">
        <v>1.40252457342249E-2</v>
      </c>
      <c r="L56" s="69">
        <v>82.594889812877796</v>
      </c>
      <c r="M56" s="69">
        <v>6.5690173101960596</v>
      </c>
      <c r="N56" s="69">
        <v>4.5434560147501601</v>
      </c>
      <c r="O56" s="69">
        <v>3.2334074928740701</v>
      </c>
      <c r="P56" s="69">
        <v>2.51366670626448</v>
      </c>
      <c r="Q56" s="69">
        <v>2.19896094741589E-2</v>
      </c>
      <c r="R56" s="69">
        <v>2.52863540988175E-2</v>
      </c>
      <c r="S56" s="69">
        <v>21.710763983651201</v>
      </c>
      <c r="T56" s="69">
        <v>0</v>
      </c>
      <c r="U56" s="69">
        <v>3.7057506763546599</v>
      </c>
      <c r="V56" s="69">
        <v>2.2325289371703399E-2</v>
      </c>
      <c r="W56" s="69">
        <v>48.787327117778801</v>
      </c>
      <c r="X56" s="69">
        <v>24.131213781645599</v>
      </c>
      <c r="Y56" s="69">
        <v>0.110481179636361</v>
      </c>
      <c r="Z56" s="69">
        <v>39.531414486608</v>
      </c>
      <c r="AA56" s="69">
        <v>16.819513356209001</v>
      </c>
      <c r="AB56" s="69">
        <v>10.2840188315412</v>
      </c>
      <c r="AC56" s="69">
        <v>16.207317257731599</v>
      </c>
      <c r="AD56" s="69">
        <v>4.3014336690852302</v>
      </c>
      <c r="AE56" s="69">
        <v>7.9600794492680604</v>
      </c>
      <c r="AF56" s="69">
        <v>14.464725917557599</v>
      </c>
      <c r="AG56" s="69">
        <v>28.797489088093698</v>
      </c>
      <c r="AH56" s="69">
        <v>17.779538714141601</v>
      </c>
      <c r="AI56" s="69">
        <v>66.305012724207202</v>
      </c>
      <c r="AJ56" s="69">
        <v>8.7377521852002609</v>
      </c>
      <c r="AK56" s="69">
        <v>4.2937646202844002</v>
      </c>
      <c r="AL56" s="69">
        <v>15.6922276008567</v>
      </c>
      <c r="AM56" s="69">
        <v>9.2314347127514704</v>
      </c>
      <c r="AN56" s="69">
        <v>77.7291224762143</v>
      </c>
      <c r="AO56" s="69">
        <v>34.6316120161298</v>
      </c>
      <c r="AP56" s="69">
        <v>34.036612104066599</v>
      </c>
      <c r="AQ56" s="69">
        <v>884.66688622526397</v>
      </c>
      <c r="AR56" s="69">
        <v>87.238173988917396</v>
      </c>
      <c r="AS56" s="69">
        <v>1.7746241181906298E-2</v>
      </c>
      <c r="AT56" s="69">
        <v>50.778976269316502</v>
      </c>
      <c r="AU56" s="69">
        <v>139.48094293546399</v>
      </c>
      <c r="AV56" s="69">
        <v>5.4626569111818801</v>
      </c>
      <c r="AW56" s="69">
        <v>3.5653491247168301</v>
      </c>
      <c r="AX56" s="69">
        <v>35.223908373452701</v>
      </c>
      <c r="AY56" s="69">
        <v>79.495277252544099</v>
      </c>
      <c r="AZ56" s="69">
        <v>214.909901868178</v>
      </c>
      <c r="BA56" s="69">
        <v>1462.86430256944</v>
      </c>
      <c r="BB56" s="69">
        <v>1206.3798521767601</v>
      </c>
      <c r="BC56" s="69">
        <v>29.925773135509601</v>
      </c>
      <c r="BD56" s="69">
        <v>249.99581620177901</v>
      </c>
      <c r="BE56" s="69">
        <v>5.2381838610806604</v>
      </c>
      <c r="BF56" s="69">
        <v>876.09941103699998</v>
      </c>
      <c r="BG56" s="69">
        <v>36.917187721465901</v>
      </c>
      <c r="BH56" s="69">
        <v>104.100134812386</v>
      </c>
      <c r="BI56" s="69">
        <v>15.911449796252301</v>
      </c>
      <c r="BJ56" s="69">
        <v>1048.21869120054</v>
      </c>
      <c r="BK56" s="69">
        <v>105.413221382633</v>
      </c>
      <c r="BL56" s="69">
        <v>37.992055281959097</v>
      </c>
      <c r="BM56" s="69">
        <v>160.15932521870499</v>
      </c>
      <c r="BN56" s="69">
        <v>0.30370173980523502</v>
      </c>
      <c r="BO56" s="69">
        <v>11.3275115475632</v>
      </c>
      <c r="BP56" s="69">
        <v>124.369329056268</v>
      </c>
      <c r="BQ56" s="70">
        <v>0</v>
      </c>
      <c r="BR56" s="71">
        <v>7688.2751079186</v>
      </c>
      <c r="BS56" s="72">
        <v>0</v>
      </c>
      <c r="BT56" s="73">
        <v>0</v>
      </c>
      <c r="BU56" s="73">
        <v>0</v>
      </c>
      <c r="BV56" s="73">
        <v>604.92616552633103</v>
      </c>
      <c r="BW56" s="73">
        <v>3102.0467979475202</v>
      </c>
      <c r="BX56" s="74">
        <v>0</v>
      </c>
      <c r="BY56" s="71">
        <v>3706.9729634738501</v>
      </c>
      <c r="BZ56" s="75">
        <v>11395.2480713925</v>
      </c>
    </row>
    <row r="57" spans="1:78" ht="15" customHeight="1" x14ac:dyDescent="0.3">
      <c r="A57" s="33" t="s">
        <v>75</v>
      </c>
      <c r="B57" s="11" t="s">
        <v>143</v>
      </c>
      <c r="C57" s="68">
        <v>1470.0851116377901</v>
      </c>
      <c r="D57" s="69">
        <v>476.85643370227302</v>
      </c>
      <c r="E57" s="69">
        <v>152.85609883483099</v>
      </c>
      <c r="F57" s="69">
        <v>143.77729545842999</v>
      </c>
      <c r="G57" s="69">
        <v>915.04639233095702</v>
      </c>
      <c r="H57" s="69">
        <v>252.33185612993501</v>
      </c>
      <c r="I57" s="69">
        <v>80.912267687473602</v>
      </c>
      <c r="J57" s="69">
        <v>879.21925683482198</v>
      </c>
      <c r="K57" s="69">
        <v>283.921906988552</v>
      </c>
      <c r="L57" s="69">
        <v>886.72747533601205</v>
      </c>
      <c r="M57" s="69">
        <v>248.43248306188499</v>
      </c>
      <c r="N57" s="69">
        <v>48.405899841782301</v>
      </c>
      <c r="O57" s="69">
        <v>133.79345436033299</v>
      </c>
      <c r="P57" s="69">
        <v>157.64634098796401</v>
      </c>
      <c r="Q57" s="69">
        <v>109.33359485205899</v>
      </c>
      <c r="R57" s="69">
        <v>112.96254386175499</v>
      </c>
      <c r="S57" s="69">
        <v>394.278640810544</v>
      </c>
      <c r="T57" s="69">
        <v>60.1903815194838</v>
      </c>
      <c r="U57" s="69">
        <v>502.51944773303097</v>
      </c>
      <c r="V57" s="69">
        <v>182.148659179898</v>
      </c>
      <c r="W57" s="69">
        <v>709.57421654310099</v>
      </c>
      <c r="X57" s="69">
        <v>252.65557772313801</v>
      </c>
      <c r="Y57" s="69">
        <v>122.23323053547</v>
      </c>
      <c r="Z57" s="69">
        <v>189.947627628531</v>
      </c>
      <c r="AA57" s="69">
        <v>309.89135366118597</v>
      </c>
      <c r="AB57" s="69">
        <v>388.65658269114198</v>
      </c>
      <c r="AC57" s="69">
        <v>549.79404337163203</v>
      </c>
      <c r="AD57" s="69">
        <v>195.957212066625</v>
      </c>
      <c r="AE57" s="69">
        <v>305.97972210563501</v>
      </c>
      <c r="AF57" s="69">
        <v>277.02264336792501</v>
      </c>
      <c r="AG57" s="69">
        <v>231.204711041286</v>
      </c>
      <c r="AH57" s="69">
        <v>451.51028347471799</v>
      </c>
      <c r="AI57" s="69">
        <v>492.27394883067899</v>
      </c>
      <c r="AJ57" s="69">
        <v>202.60480419715199</v>
      </c>
      <c r="AK57" s="69">
        <v>105.30676165363499</v>
      </c>
      <c r="AL57" s="69">
        <v>192.88363283759</v>
      </c>
      <c r="AM57" s="69">
        <v>137.15894456049099</v>
      </c>
      <c r="AN57" s="69">
        <v>1397.24508739967</v>
      </c>
      <c r="AO57" s="69">
        <v>287.59565076711402</v>
      </c>
      <c r="AP57" s="69">
        <v>1531.98394925044</v>
      </c>
      <c r="AQ57" s="69">
        <v>5797.2633703368101</v>
      </c>
      <c r="AR57" s="69">
        <v>1628.58438905461</v>
      </c>
      <c r="AS57" s="69">
        <v>120.672983738391</v>
      </c>
      <c r="AT57" s="69">
        <v>123.888142786106</v>
      </c>
      <c r="AU57" s="69">
        <v>644.01404767091105</v>
      </c>
      <c r="AV57" s="69">
        <v>116.271533820857</v>
      </c>
      <c r="AW57" s="69">
        <v>476.40851220572699</v>
      </c>
      <c r="AX57" s="69">
        <v>61.9938956819894</v>
      </c>
      <c r="AY57" s="69">
        <v>152.45706751640799</v>
      </c>
      <c r="AZ57" s="69">
        <v>1037.96614535861</v>
      </c>
      <c r="BA57" s="69">
        <v>688.21961750066498</v>
      </c>
      <c r="BB57" s="69">
        <v>11693.6546317473</v>
      </c>
      <c r="BC57" s="69">
        <v>6917.22697307817</v>
      </c>
      <c r="BD57" s="69">
        <v>901.61330343088105</v>
      </c>
      <c r="BE57" s="69">
        <v>275.80207012407601</v>
      </c>
      <c r="BF57" s="69">
        <v>209.01927965707301</v>
      </c>
      <c r="BG57" s="69">
        <v>308.69439650165299</v>
      </c>
      <c r="BH57" s="69">
        <v>1052.71146280023</v>
      </c>
      <c r="BI57" s="69">
        <v>190.903544405243</v>
      </c>
      <c r="BJ57" s="69">
        <v>3077.1621488805999</v>
      </c>
      <c r="BK57" s="69">
        <v>73.964420713155604</v>
      </c>
      <c r="BL57" s="69">
        <v>363.46956931539</v>
      </c>
      <c r="BM57" s="69">
        <v>60.847911497264001</v>
      </c>
      <c r="BN57" s="69">
        <v>1001.96211313166</v>
      </c>
      <c r="BO57" s="69">
        <v>112.73908738745401</v>
      </c>
      <c r="BP57" s="69">
        <v>382.82978273408003</v>
      </c>
      <c r="BQ57" s="70">
        <v>0</v>
      </c>
      <c r="BR57" s="71">
        <v>53293.265925932297</v>
      </c>
      <c r="BS57" s="72">
        <v>0</v>
      </c>
      <c r="BT57" s="73">
        <v>0</v>
      </c>
      <c r="BU57" s="73">
        <v>0</v>
      </c>
      <c r="BV57" s="73">
        <v>50485.668267192697</v>
      </c>
      <c r="BW57" s="73">
        <v>14.995734008052301</v>
      </c>
      <c r="BX57" s="74">
        <v>0</v>
      </c>
      <c r="BY57" s="71">
        <v>50500.664001200799</v>
      </c>
      <c r="BZ57" s="75">
        <v>103793.92992713299</v>
      </c>
    </row>
    <row r="58" spans="1:78" ht="15" customHeight="1" x14ac:dyDescent="0.3">
      <c r="A58" s="33" t="s">
        <v>76</v>
      </c>
      <c r="B58" s="11" t="s">
        <v>144</v>
      </c>
      <c r="C58" s="68">
        <v>0</v>
      </c>
      <c r="D58" s="69">
        <v>1.23000098848076E-5</v>
      </c>
      <c r="E58" s="69">
        <v>0</v>
      </c>
      <c r="F58" s="69">
        <v>0</v>
      </c>
      <c r="G58" s="69">
        <v>1.66545212658612E-4</v>
      </c>
      <c r="H58" s="69">
        <v>2.28436244119849E-4</v>
      </c>
      <c r="I58" s="69">
        <v>1.5025711173185399E-5</v>
      </c>
      <c r="J58" s="69">
        <v>2.1329933800148</v>
      </c>
      <c r="K58" s="69">
        <v>0</v>
      </c>
      <c r="L58" s="69">
        <v>0</v>
      </c>
      <c r="M58" s="69">
        <v>0</v>
      </c>
      <c r="N58" s="69">
        <v>0</v>
      </c>
      <c r="O58" s="69">
        <v>1.50158628133306</v>
      </c>
      <c r="P58" s="69">
        <v>1.52049027514257</v>
      </c>
      <c r="Q58" s="69">
        <v>0</v>
      </c>
      <c r="R58" s="69">
        <v>0</v>
      </c>
      <c r="S58" s="69">
        <v>1.10615010559411E-5</v>
      </c>
      <c r="T58" s="69">
        <v>0</v>
      </c>
      <c r="U58" s="69">
        <v>0</v>
      </c>
      <c r="V58" s="69">
        <v>1.43628604503562E-5</v>
      </c>
      <c r="W58" s="69">
        <v>2.3715738700997299E-5</v>
      </c>
      <c r="X58" s="69">
        <v>0</v>
      </c>
      <c r="Y58" s="69">
        <v>0</v>
      </c>
      <c r="Z58" s="69">
        <v>0</v>
      </c>
      <c r="AA58" s="69">
        <v>1.88788589553464</v>
      </c>
      <c r="AB58" s="69">
        <v>0</v>
      </c>
      <c r="AC58" s="69">
        <v>8.0796837122816504E-6</v>
      </c>
      <c r="AD58" s="69">
        <v>6.4798567415148699E-6</v>
      </c>
      <c r="AE58" s="69">
        <v>1.6589945457283501E-5</v>
      </c>
      <c r="AF58" s="69">
        <v>1.75424074150554E-5</v>
      </c>
      <c r="AG58" s="69">
        <v>0</v>
      </c>
      <c r="AH58" s="69">
        <v>1.2776159323710699E-5</v>
      </c>
      <c r="AI58" s="69">
        <v>5.3643412977731901E-5</v>
      </c>
      <c r="AJ58" s="69">
        <v>9.4146809363573405E-6</v>
      </c>
      <c r="AK58" s="69">
        <v>5.48737664863955E-5</v>
      </c>
      <c r="AL58" s="69">
        <v>6.4191006384254596E-6</v>
      </c>
      <c r="AM58" s="69">
        <v>0</v>
      </c>
      <c r="AN58" s="69">
        <v>2.3273014094438098</v>
      </c>
      <c r="AO58" s="69">
        <v>0</v>
      </c>
      <c r="AP58" s="69">
        <v>20.836457535594199</v>
      </c>
      <c r="AQ58" s="69">
        <v>220.522358725994</v>
      </c>
      <c r="AR58" s="69">
        <v>12.2155815280544</v>
      </c>
      <c r="AS58" s="69">
        <v>0</v>
      </c>
      <c r="AT58" s="69">
        <v>0</v>
      </c>
      <c r="AU58" s="69">
        <v>12.841783844384899</v>
      </c>
      <c r="AV58" s="69">
        <v>3.9273721497217799</v>
      </c>
      <c r="AW58" s="69">
        <v>65.401328029085903</v>
      </c>
      <c r="AX58" s="69">
        <v>0.90807177064413203</v>
      </c>
      <c r="AY58" s="69">
        <v>5.3602561282413999E-5</v>
      </c>
      <c r="AZ58" s="69">
        <v>6.7238748360501903</v>
      </c>
      <c r="BA58" s="69">
        <v>20.476568473826202</v>
      </c>
      <c r="BB58" s="69">
        <v>2.2479656081025299</v>
      </c>
      <c r="BC58" s="69">
        <v>43.562082421000397</v>
      </c>
      <c r="BD58" s="69">
        <v>52.7405102664654</v>
      </c>
      <c r="BE58" s="69">
        <v>17.794630487624701</v>
      </c>
      <c r="BF58" s="69">
        <v>16.9086360718706</v>
      </c>
      <c r="BG58" s="69">
        <v>38.637307366694202</v>
      </c>
      <c r="BH58" s="69">
        <v>54.0202318236054</v>
      </c>
      <c r="BI58" s="69">
        <v>0</v>
      </c>
      <c r="BJ58" s="69">
        <v>2.7432044532474502</v>
      </c>
      <c r="BK58" s="69">
        <v>3.6031065120525999E-4</v>
      </c>
      <c r="BL58" s="69">
        <v>14.269381355716799</v>
      </c>
      <c r="BM58" s="69">
        <v>6.31199029464061E-4</v>
      </c>
      <c r="BN58" s="69">
        <v>20.219491328274799</v>
      </c>
      <c r="BO58" s="69">
        <v>11.0263462668276</v>
      </c>
      <c r="BP58" s="69">
        <v>24.6146361032961</v>
      </c>
      <c r="BQ58" s="70">
        <v>0</v>
      </c>
      <c r="BR58" s="71">
        <v>672.00978006608398</v>
      </c>
      <c r="BS58" s="72">
        <v>0</v>
      </c>
      <c r="BT58" s="73">
        <v>0</v>
      </c>
      <c r="BU58" s="73">
        <v>0</v>
      </c>
      <c r="BV58" s="73">
        <v>217.957173545872</v>
      </c>
      <c r="BW58" s="73">
        <v>5.28004826321197E-2</v>
      </c>
      <c r="BX58" s="74">
        <v>0</v>
      </c>
      <c r="BY58" s="71">
        <v>218.00997402850501</v>
      </c>
      <c r="BZ58" s="75">
        <v>890.01975409458896</v>
      </c>
    </row>
    <row r="59" spans="1:78" ht="15" customHeight="1" x14ac:dyDescent="0.3">
      <c r="A59" s="33" t="s">
        <v>77</v>
      </c>
      <c r="B59" s="11" t="s">
        <v>145</v>
      </c>
      <c r="C59" s="68">
        <v>3.6909749360509401E-4</v>
      </c>
      <c r="D59" s="69">
        <v>1.5943128537508001E-4</v>
      </c>
      <c r="E59" s="69">
        <v>2.2580188159174699</v>
      </c>
      <c r="F59" s="69">
        <v>15.3481469117536</v>
      </c>
      <c r="G59" s="69">
        <v>116.41407047317399</v>
      </c>
      <c r="H59" s="69">
        <v>8.1886522327917</v>
      </c>
      <c r="I59" s="69">
        <v>3.87920547481579</v>
      </c>
      <c r="J59" s="69">
        <v>135.08336616164999</v>
      </c>
      <c r="K59" s="69">
        <v>18.3563259573077</v>
      </c>
      <c r="L59" s="69">
        <v>87.805614437704506</v>
      </c>
      <c r="M59" s="69">
        <v>51.167475721367197</v>
      </c>
      <c r="N59" s="69">
        <v>13.868889907233999</v>
      </c>
      <c r="O59" s="69">
        <v>8.6902475401572197</v>
      </c>
      <c r="P59" s="69">
        <v>14.6357500630756</v>
      </c>
      <c r="Q59" s="69">
        <v>10.8855346358188</v>
      </c>
      <c r="R59" s="69">
        <v>8.2436641896431802</v>
      </c>
      <c r="S59" s="69">
        <v>63.146168368914097</v>
      </c>
      <c r="T59" s="69">
        <v>5.7879633186996697</v>
      </c>
      <c r="U59" s="69">
        <v>383.43528573434099</v>
      </c>
      <c r="V59" s="69">
        <v>37.349737934820297</v>
      </c>
      <c r="W59" s="69">
        <v>114.873486249686</v>
      </c>
      <c r="X59" s="69">
        <v>33.176561926364599</v>
      </c>
      <c r="Y59" s="69">
        <v>56.717812147291099</v>
      </c>
      <c r="Z59" s="69">
        <v>40.141900483241301</v>
      </c>
      <c r="AA59" s="69">
        <v>99.963223103506706</v>
      </c>
      <c r="AB59" s="69">
        <v>53.4523891082248</v>
      </c>
      <c r="AC59" s="69">
        <v>15.7506294853294</v>
      </c>
      <c r="AD59" s="69">
        <v>22.059786654937898</v>
      </c>
      <c r="AE59" s="69">
        <v>45.497028128330101</v>
      </c>
      <c r="AF59" s="69">
        <v>101.11949751078301</v>
      </c>
      <c r="AG59" s="69">
        <v>14.678587916542901</v>
      </c>
      <c r="AH59" s="69">
        <v>126.221335406763</v>
      </c>
      <c r="AI59" s="69">
        <v>180.87200389851901</v>
      </c>
      <c r="AJ59" s="69">
        <v>68.444726372114204</v>
      </c>
      <c r="AK59" s="69">
        <v>29.160105656829501</v>
      </c>
      <c r="AL59" s="69">
        <v>19.052649698755001</v>
      </c>
      <c r="AM59" s="69">
        <v>21.2382341716878</v>
      </c>
      <c r="AN59" s="69">
        <v>50.368596877890099</v>
      </c>
      <c r="AO59" s="69">
        <v>238.62324627699201</v>
      </c>
      <c r="AP59" s="69">
        <v>357.54431120931503</v>
      </c>
      <c r="AQ59" s="69">
        <v>3722.6347021034999</v>
      </c>
      <c r="AR59" s="69">
        <v>232.83036672650601</v>
      </c>
      <c r="AS59" s="69">
        <v>15.474797492304999</v>
      </c>
      <c r="AT59" s="69">
        <v>40.354895673258703</v>
      </c>
      <c r="AU59" s="69">
        <v>226.444832022941</v>
      </c>
      <c r="AV59" s="69">
        <v>13.622103334828401</v>
      </c>
      <c r="AW59" s="69">
        <v>73.957424497329598</v>
      </c>
      <c r="AX59" s="69">
        <v>18.414756117397001</v>
      </c>
      <c r="AY59" s="69">
        <v>154.768993548802</v>
      </c>
      <c r="AZ59" s="69">
        <v>224.564026856288</v>
      </c>
      <c r="BA59" s="69">
        <v>720.99645325710196</v>
      </c>
      <c r="BB59" s="69">
        <v>1655.84823498128</v>
      </c>
      <c r="BC59" s="69">
        <v>206.86936557826201</v>
      </c>
      <c r="BD59" s="69">
        <v>2573.7871069104599</v>
      </c>
      <c r="BE59" s="69">
        <v>461.56521416290701</v>
      </c>
      <c r="BF59" s="69">
        <v>79.2170295807625</v>
      </c>
      <c r="BG59" s="69">
        <v>58.896300362624999</v>
      </c>
      <c r="BH59" s="69">
        <v>330.16235408694899</v>
      </c>
      <c r="BI59" s="69">
        <v>109.856865153274</v>
      </c>
      <c r="BJ59" s="69">
        <v>406.21680913195701</v>
      </c>
      <c r="BK59" s="69">
        <v>9.0045048424406495</v>
      </c>
      <c r="BL59" s="69">
        <v>197.729998988978</v>
      </c>
      <c r="BM59" s="69">
        <v>29.676539995735499</v>
      </c>
      <c r="BN59" s="69">
        <v>234.203890631543</v>
      </c>
      <c r="BO59" s="69">
        <v>111.20476541567599</v>
      </c>
      <c r="BP59" s="69">
        <v>342.72492419470399</v>
      </c>
      <c r="BQ59" s="70">
        <v>0</v>
      </c>
      <c r="BR59" s="71">
        <v>14924.528014338901</v>
      </c>
      <c r="BS59" s="72">
        <v>0</v>
      </c>
      <c r="BT59" s="73">
        <v>0</v>
      </c>
      <c r="BU59" s="73">
        <v>0</v>
      </c>
      <c r="BV59" s="73">
        <v>1265.06610418844</v>
      </c>
      <c r="BW59" s="73">
        <v>0</v>
      </c>
      <c r="BX59" s="74">
        <v>0</v>
      </c>
      <c r="BY59" s="71">
        <v>1265.06610418844</v>
      </c>
      <c r="BZ59" s="75">
        <v>16189.5941185273</v>
      </c>
    </row>
    <row r="60" spans="1:78" ht="15" customHeight="1" x14ac:dyDescent="0.3">
      <c r="A60" s="33" t="s">
        <v>78</v>
      </c>
      <c r="B60" s="11" t="s">
        <v>146</v>
      </c>
      <c r="C60" s="68">
        <v>85.583090767492294</v>
      </c>
      <c r="D60" s="69">
        <v>4.2091666351741699</v>
      </c>
      <c r="E60" s="69">
        <v>3.1267113545721002E-2</v>
      </c>
      <c r="F60" s="69">
        <v>4.72027100659077</v>
      </c>
      <c r="G60" s="69">
        <v>180.39906765651901</v>
      </c>
      <c r="H60" s="69">
        <v>99.754321466219494</v>
      </c>
      <c r="I60" s="69">
        <v>15.1504996056763</v>
      </c>
      <c r="J60" s="69">
        <v>132.29299807117101</v>
      </c>
      <c r="K60" s="69">
        <v>54.654247059786599</v>
      </c>
      <c r="L60" s="69">
        <v>111.32886095638401</v>
      </c>
      <c r="M60" s="69">
        <v>21.545439955904801</v>
      </c>
      <c r="N60" s="69">
        <v>13.6654802585092</v>
      </c>
      <c r="O60" s="69">
        <v>7.2164522268239297</v>
      </c>
      <c r="P60" s="69">
        <v>13.9231531477002</v>
      </c>
      <c r="Q60" s="69">
        <v>8.7326051409837007</v>
      </c>
      <c r="R60" s="69">
        <v>6.0649949040591</v>
      </c>
      <c r="S60" s="69">
        <v>69.199391406979501</v>
      </c>
      <c r="T60" s="69">
        <v>2.02980888154022</v>
      </c>
      <c r="U60" s="69">
        <v>23.079675344403899</v>
      </c>
      <c r="V60" s="69">
        <v>50.713371388701297</v>
      </c>
      <c r="W60" s="69">
        <v>116.834257274509</v>
      </c>
      <c r="X60" s="69">
        <v>68.807767211832598</v>
      </c>
      <c r="Y60" s="69">
        <v>37.967498085765499</v>
      </c>
      <c r="Z60" s="69">
        <v>92.226387643419301</v>
      </c>
      <c r="AA60" s="69">
        <v>97.575627747932899</v>
      </c>
      <c r="AB60" s="69">
        <v>57.845221403957602</v>
      </c>
      <c r="AC60" s="69">
        <v>47.165215884181599</v>
      </c>
      <c r="AD60" s="69">
        <v>31.776491250435601</v>
      </c>
      <c r="AE60" s="69">
        <v>51.267304807345297</v>
      </c>
      <c r="AF60" s="69">
        <v>52.984364787098897</v>
      </c>
      <c r="AG60" s="69">
        <v>35.207007839270098</v>
      </c>
      <c r="AH60" s="69">
        <v>220.498787748875</v>
      </c>
      <c r="AI60" s="69">
        <v>130.782219907648</v>
      </c>
      <c r="AJ60" s="69">
        <v>67.300825926007406</v>
      </c>
      <c r="AK60" s="69">
        <v>10.5192063010863</v>
      </c>
      <c r="AL60" s="69">
        <v>28.5641758241206</v>
      </c>
      <c r="AM60" s="69">
        <v>22.54955473015</v>
      </c>
      <c r="AN60" s="69">
        <v>180.23165320197299</v>
      </c>
      <c r="AO60" s="69">
        <v>51.6339749963674</v>
      </c>
      <c r="AP60" s="69">
        <v>267.37020701676403</v>
      </c>
      <c r="AQ60" s="69">
        <v>166.70685780972701</v>
      </c>
      <c r="AR60" s="69">
        <v>39.428699443093002</v>
      </c>
      <c r="AS60" s="69">
        <v>3.9852940457555799</v>
      </c>
      <c r="AT60" s="69">
        <v>1.68229918508562E-3</v>
      </c>
      <c r="AU60" s="69">
        <v>545.79857958780497</v>
      </c>
      <c r="AV60" s="69">
        <v>0.112477185897449</v>
      </c>
      <c r="AW60" s="69">
        <v>1.5754479561991499</v>
      </c>
      <c r="AX60" s="69">
        <v>5.6461389997991404E-3</v>
      </c>
      <c r="AY60" s="69">
        <v>3.5971665888579001E-3</v>
      </c>
      <c r="AZ60" s="69">
        <v>0.22214774194765599</v>
      </c>
      <c r="BA60" s="69">
        <v>48.157231069924997</v>
      </c>
      <c r="BB60" s="69">
        <v>42.945725402076299</v>
      </c>
      <c r="BC60" s="69">
        <v>2.3518361875868501</v>
      </c>
      <c r="BD60" s="69">
        <v>0.38278000995349398</v>
      </c>
      <c r="BE60" s="69">
        <v>270.810813190087</v>
      </c>
      <c r="BF60" s="69">
        <v>9.2119410520535003E-2</v>
      </c>
      <c r="BG60" s="69">
        <v>7.5481086219333902</v>
      </c>
      <c r="BH60" s="69">
        <v>1.3448489759412201</v>
      </c>
      <c r="BI60" s="69">
        <v>4.1792448708593201E-2</v>
      </c>
      <c r="BJ60" s="69">
        <v>451.05495911342001</v>
      </c>
      <c r="BK60" s="69">
        <v>128.646547651334</v>
      </c>
      <c r="BL60" s="69">
        <v>11.965690086135</v>
      </c>
      <c r="BM60" s="69">
        <v>201.58436028254499</v>
      </c>
      <c r="BN60" s="69">
        <v>0.18242568484850599</v>
      </c>
      <c r="BO60" s="69">
        <v>6.3026407244101398E-2</v>
      </c>
      <c r="BP60" s="69">
        <v>0.169675929354769</v>
      </c>
      <c r="BQ60" s="70">
        <v>0</v>
      </c>
      <c r="BR60" s="71">
        <v>4498.5842824297197</v>
      </c>
      <c r="BS60" s="72">
        <v>0.13337908125721201</v>
      </c>
      <c r="BT60" s="73">
        <v>0</v>
      </c>
      <c r="BU60" s="73">
        <v>0</v>
      </c>
      <c r="BV60" s="73">
        <v>71.580083643919707</v>
      </c>
      <c r="BW60" s="73">
        <v>212.300024305958</v>
      </c>
      <c r="BX60" s="74">
        <v>0</v>
      </c>
      <c r="BY60" s="71">
        <v>284.01348703113501</v>
      </c>
      <c r="BZ60" s="75">
        <v>4782.59776946085</v>
      </c>
    </row>
    <row r="61" spans="1:78" ht="15" customHeight="1" x14ac:dyDescent="0.3">
      <c r="A61" s="33" t="s">
        <v>79</v>
      </c>
      <c r="B61" s="11" t="s">
        <v>147</v>
      </c>
      <c r="C61" s="68">
        <v>1.37855690382625E-4</v>
      </c>
      <c r="D61" s="69">
        <v>30.078147712789399</v>
      </c>
      <c r="E61" s="69">
        <v>6.9945212312374601</v>
      </c>
      <c r="F61" s="69">
        <v>2.9637869645806401</v>
      </c>
      <c r="G61" s="69">
        <v>52.085969871538801</v>
      </c>
      <c r="H61" s="69">
        <v>1.4977785392968001E-3</v>
      </c>
      <c r="I61" s="69">
        <v>5.4149426816725402E-5</v>
      </c>
      <c r="J61" s="69">
        <v>215.75078640635601</v>
      </c>
      <c r="K61" s="69">
        <v>26.353790650389499</v>
      </c>
      <c r="L61" s="69">
        <v>277.07787673391903</v>
      </c>
      <c r="M61" s="69">
        <v>402.84550102156902</v>
      </c>
      <c r="N61" s="69">
        <v>22.114671283729098</v>
      </c>
      <c r="O61" s="69">
        <v>4.8245125272154299</v>
      </c>
      <c r="P61" s="69">
        <v>28.1619242105456</v>
      </c>
      <c r="Q61" s="69">
        <v>48.557926439375102</v>
      </c>
      <c r="R61" s="69">
        <v>4.8516792326352096</v>
      </c>
      <c r="S61" s="69">
        <v>50.622342833902998</v>
      </c>
      <c r="T61" s="69">
        <v>3.93328414380071</v>
      </c>
      <c r="U61" s="69">
        <v>18.016517294829701</v>
      </c>
      <c r="V61" s="69">
        <v>19.5781618276731</v>
      </c>
      <c r="W61" s="69">
        <v>7.4826330832888699</v>
      </c>
      <c r="X61" s="69">
        <v>41.613982852559701</v>
      </c>
      <c r="Y61" s="69">
        <v>94.513124304861194</v>
      </c>
      <c r="Z61" s="69">
        <v>154.41159593518</v>
      </c>
      <c r="AA61" s="69">
        <v>45.681458879037102</v>
      </c>
      <c r="AB61" s="69">
        <v>28.290792108646698</v>
      </c>
      <c r="AC61" s="69">
        <v>19.769305448179999</v>
      </c>
      <c r="AD61" s="69">
        <v>2.7594092127140502</v>
      </c>
      <c r="AE61" s="69">
        <v>43.649208063073203</v>
      </c>
      <c r="AF61" s="69">
        <v>96.722997000454797</v>
      </c>
      <c r="AG61" s="69">
        <v>51.4072548113013</v>
      </c>
      <c r="AH61" s="69">
        <v>45.1266879604539</v>
      </c>
      <c r="AI61" s="69">
        <v>238.321326051314</v>
      </c>
      <c r="AJ61" s="69">
        <v>14.0060818762629</v>
      </c>
      <c r="AK61" s="69">
        <v>16.545452253894901</v>
      </c>
      <c r="AL61" s="69">
        <v>31.941135781194699</v>
      </c>
      <c r="AM61" s="69">
        <v>9.3262640729011892</v>
      </c>
      <c r="AN61" s="69">
        <v>164.982716940746</v>
      </c>
      <c r="AO61" s="69">
        <v>15.1776542748431</v>
      </c>
      <c r="AP61" s="69">
        <v>112.55517640226</v>
      </c>
      <c r="AQ61" s="69">
        <v>1793.7781729421499</v>
      </c>
      <c r="AR61" s="69">
        <v>71.165459346325406</v>
      </c>
      <c r="AS61" s="69">
        <v>4.4928358936577997</v>
      </c>
      <c r="AT61" s="69">
        <v>10.2588263669903</v>
      </c>
      <c r="AU61" s="69">
        <v>133.79335304320799</v>
      </c>
      <c r="AV61" s="69">
        <v>22.376513494545399</v>
      </c>
      <c r="AW61" s="69">
        <v>54.726703453144403</v>
      </c>
      <c r="AX61" s="69">
        <v>44.409044238061902</v>
      </c>
      <c r="AY61" s="69">
        <v>130.252089959681</v>
      </c>
      <c r="AZ61" s="69">
        <v>185.56497041588301</v>
      </c>
      <c r="BA61" s="69">
        <v>244.16967096234299</v>
      </c>
      <c r="BB61" s="69">
        <v>674.00145856835502</v>
      </c>
      <c r="BC61" s="69">
        <v>60.655977567428302</v>
      </c>
      <c r="BD61" s="69">
        <v>338.52995568555002</v>
      </c>
      <c r="BE61" s="69">
        <v>38.304334882789703</v>
      </c>
      <c r="BF61" s="69">
        <v>238.29256020582901</v>
      </c>
      <c r="BG61" s="69">
        <v>93.6431657617659</v>
      </c>
      <c r="BH61" s="69">
        <v>138.47674522541999</v>
      </c>
      <c r="BI61" s="69">
        <v>18.335743175888201</v>
      </c>
      <c r="BJ61" s="69">
        <v>230.12543184098601</v>
      </c>
      <c r="BK61" s="69">
        <v>41.678702751126202</v>
      </c>
      <c r="BL61" s="69">
        <v>207.72631835614601</v>
      </c>
      <c r="BM61" s="69">
        <v>85.346669752664894</v>
      </c>
      <c r="BN61" s="69">
        <v>2.0428386627259001</v>
      </c>
      <c r="BO61" s="69">
        <v>110.271684086242</v>
      </c>
      <c r="BP61" s="69">
        <v>131.83038876592201</v>
      </c>
      <c r="BQ61" s="70">
        <v>0</v>
      </c>
      <c r="BR61" s="71">
        <v>7553.3469628877401</v>
      </c>
      <c r="BS61" s="72">
        <v>0</v>
      </c>
      <c r="BT61" s="73">
        <v>0</v>
      </c>
      <c r="BU61" s="73">
        <v>0</v>
      </c>
      <c r="BV61" s="73">
        <v>62.295079741408699</v>
      </c>
      <c r="BW61" s="73">
        <v>0</v>
      </c>
      <c r="BX61" s="74">
        <v>0</v>
      </c>
      <c r="BY61" s="71">
        <v>62.295079741408699</v>
      </c>
      <c r="BZ61" s="75">
        <v>7615.6420426291497</v>
      </c>
    </row>
    <row r="62" spans="1:78" ht="15" customHeight="1" x14ac:dyDescent="0.3">
      <c r="A62" s="33" t="s">
        <v>80</v>
      </c>
      <c r="B62" s="11" t="s">
        <v>148</v>
      </c>
      <c r="C62" s="68">
        <v>141.68937461422399</v>
      </c>
      <c r="D62" s="69">
        <v>9.8995908056141495</v>
      </c>
      <c r="E62" s="69">
        <v>10.8779583880586</v>
      </c>
      <c r="F62" s="69">
        <v>25.1284529114299</v>
      </c>
      <c r="G62" s="69">
        <v>1143.27957463644</v>
      </c>
      <c r="H62" s="69">
        <v>423.80783365802898</v>
      </c>
      <c r="I62" s="69">
        <v>29.973972604652101</v>
      </c>
      <c r="J62" s="69">
        <v>70.6089481917802</v>
      </c>
      <c r="K62" s="69">
        <v>74.0920314672111</v>
      </c>
      <c r="L62" s="69">
        <v>189.069184085941</v>
      </c>
      <c r="M62" s="69">
        <v>42.922884759372799</v>
      </c>
      <c r="N62" s="69">
        <v>18.635133641311199</v>
      </c>
      <c r="O62" s="69">
        <v>8.0054961844911805</v>
      </c>
      <c r="P62" s="69">
        <v>22.718083577542199</v>
      </c>
      <c r="Q62" s="69">
        <v>14.252580344532999</v>
      </c>
      <c r="R62" s="69">
        <v>23.438160694094499</v>
      </c>
      <c r="S62" s="69">
        <v>143.217387021679</v>
      </c>
      <c r="T62" s="69">
        <v>15.0943988139146</v>
      </c>
      <c r="U62" s="69">
        <v>83.632613337412394</v>
      </c>
      <c r="V62" s="69">
        <v>19.5492929120215</v>
      </c>
      <c r="W62" s="69">
        <v>146.880770055093</v>
      </c>
      <c r="X62" s="69">
        <v>121.169078052839</v>
      </c>
      <c r="Y62" s="69">
        <v>15.1916736390199</v>
      </c>
      <c r="Z62" s="69">
        <v>36.764210079107897</v>
      </c>
      <c r="AA62" s="69">
        <v>218.64984787102799</v>
      </c>
      <c r="AB62" s="69">
        <v>60.508217282392998</v>
      </c>
      <c r="AC62" s="69">
        <v>90.654067435720705</v>
      </c>
      <c r="AD62" s="69">
        <v>40.627982245143102</v>
      </c>
      <c r="AE62" s="69">
        <v>94.709169221026698</v>
      </c>
      <c r="AF62" s="69">
        <v>149.87815919652101</v>
      </c>
      <c r="AG62" s="69">
        <v>43.445471273478901</v>
      </c>
      <c r="AH62" s="69">
        <v>141.518072466913</v>
      </c>
      <c r="AI62" s="69">
        <v>544.15958654380699</v>
      </c>
      <c r="AJ62" s="69">
        <v>146.882711782591</v>
      </c>
      <c r="AK62" s="69">
        <v>145.110047227108</v>
      </c>
      <c r="AL62" s="69">
        <v>40.674079996982897</v>
      </c>
      <c r="AM62" s="69">
        <v>34.220125969179399</v>
      </c>
      <c r="AN62" s="69">
        <v>53.206685358975797</v>
      </c>
      <c r="AO62" s="69">
        <v>157.18408300850101</v>
      </c>
      <c r="AP62" s="69">
        <v>290.463364634583</v>
      </c>
      <c r="AQ62" s="69">
        <v>1637.4355459641499</v>
      </c>
      <c r="AR62" s="69">
        <v>394.27478043041901</v>
      </c>
      <c r="AS62" s="69">
        <v>127.879788629225</v>
      </c>
      <c r="AT62" s="69">
        <v>144.54180934538999</v>
      </c>
      <c r="AU62" s="69">
        <v>213.28546906171599</v>
      </c>
      <c r="AV62" s="69">
        <v>13.0430659601759</v>
      </c>
      <c r="AW62" s="69">
        <v>317.179690647325</v>
      </c>
      <c r="AX62" s="69">
        <v>165.24238181632799</v>
      </c>
      <c r="AY62" s="69">
        <v>263.73759326652703</v>
      </c>
      <c r="AZ62" s="69">
        <v>346.94742757651602</v>
      </c>
      <c r="BA62" s="69">
        <v>988.06490317088401</v>
      </c>
      <c r="BB62" s="69">
        <v>108.75047518796001</v>
      </c>
      <c r="BC62" s="69">
        <v>29.567034545736401</v>
      </c>
      <c r="BD62" s="69">
        <v>74.098256511960898</v>
      </c>
      <c r="BE62" s="69">
        <v>103.99403510991</v>
      </c>
      <c r="BF62" s="69">
        <v>49.873646934153697</v>
      </c>
      <c r="BG62" s="69">
        <v>184.662488711793</v>
      </c>
      <c r="BH62" s="69">
        <v>107.04251646362199</v>
      </c>
      <c r="BI62" s="69">
        <v>26.113449929825599</v>
      </c>
      <c r="BJ62" s="69">
        <v>194.98825987196199</v>
      </c>
      <c r="BK62" s="69">
        <v>92.121650868343494</v>
      </c>
      <c r="BL62" s="69">
        <v>277.10578555319398</v>
      </c>
      <c r="BM62" s="69">
        <v>136.06690771459401</v>
      </c>
      <c r="BN62" s="69">
        <v>65.720399926651396</v>
      </c>
      <c r="BO62" s="69">
        <v>45.534734043599798</v>
      </c>
      <c r="BP62" s="69">
        <v>35.7096439939275</v>
      </c>
      <c r="BQ62" s="70">
        <v>0</v>
      </c>
      <c r="BR62" s="71">
        <v>11224.772097225699</v>
      </c>
      <c r="BS62" s="72">
        <v>4.0114009400665403E-3</v>
      </c>
      <c r="BT62" s="73">
        <v>0</v>
      </c>
      <c r="BU62" s="73">
        <v>0</v>
      </c>
      <c r="BV62" s="73">
        <v>186.18782838442201</v>
      </c>
      <c r="BW62" s="73">
        <v>30.1236203138177</v>
      </c>
      <c r="BX62" s="74">
        <v>0</v>
      </c>
      <c r="BY62" s="71">
        <v>216.31546009918</v>
      </c>
      <c r="BZ62" s="75">
        <v>11441.087557324799</v>
      </c>
    </row>
    <row r="63" spans="1:78" ht="15" customHeight="1" x14ac:dyDescent="0.3">
      <c r="A63" s="33" t="s">
        <v>81</v>
      </c>
      <c r="B63" s="11" t="s">
        <v>149</v>
      </c>
      <c r="C63" s="68">
        <v>6.3146800110750996E-4</v>
      </c>
      <c r="D63" s="69">
        <v>2.7276195811158302E-4</v>
      </c>
      <c r="E63" s="69">
        <v>0</v>
      </c>
      <c r="F63" s="69">
        <v>65.822786724778794</v>
      </c>
      <c r="G63" s="69">
        <v>47.036958907499702</v>
      </c>
      <c r="H63" s="69">
        <v>103.11625342481101</v>
      </c>
      <c r="I63" s="69">
        <v>20.943512216252898</v>
      </c>
      <c r="J63" s="69">
        <v>55.498092103332397</v>
      </c>
      <c r="K63" s="69">
        <v>44.401290999605102</v>
      </c>
      <c r="L63" s="69">
        <v>78.590753589905106</v>
      </c>
      <c r="M63" s="69">
        <v>92.697338537756707</v>
      </c>
      <c r="N63" s="69">
        <v>14.704028541576299</v>
      </c>
      <c r="O63" s="69">
        <v>7.5259591956777099</v>
      </c>
      <c r="P63" s="69">
        <v>12.4919656915103</v>
      </c>
      <c r="Q63" s="69">
        <v>15.5348065617797</v>
      </c>
      <c r="R63" s="69">
        <v>4.4490371828078503</v>
      </c>
      <c r="S63" s="69">
        <v>37.0478068912997</v>
      </c>
      <c r="T63" s="69">
        <v>0</v>
      </c>
      <c r="U63" s="69">
        <v>16.945423545441901</v>
      </c>
      <c r="V63" s="69">
        <v>39.014615373997998</v>
      </c>
      <c r="W63" s="69">
        <v>27.4892006762622</v>
      </c>
      <c r="X63" s="69">
        <v>45.297309863439999</v>
      </c>
      <c r="Y63" s="69">
        <v>16.692409864782299</v>
      </c>
      <c r="Z63" s="69">
        <v>48.426509252328003</v>
      </c>
      <c r="AA63" s="69">
        <v>32.335296404477603</v>
      </c>
      <c r="AB63" s="69">
        <v>84.939071033865602</v>
      </c>
      <c r="AC63" s="69">
        <v>40.467614399694</v>
      </c>
      <c r="AD63" s="69">
        <v>53.380682654793603</v>
      </c>
      <c r="AE63" s="69">
        <v>54.823579803992097</v>
      </c>
      <c r="AF63" s="69">
        <v>62.544967130530502</v>
      </c>
      <c r="AG63" s="69">
        <v>47.555306262537599</v>
      </c>
      <c r="AH63" s="69">
        <v>157.24987207442501</v>
      </c>
      <c r="AI63" s="69">
        <v>66.556111464203894</v>
      </c>
      <c r="AJ63" s="69">
        <v>14.465186157741501</v>
      </c>
      <c r="AK63" s="69">
        <v>4.0236880655306999</v>
      </c>
      <c r="AL63" s="69">
        <v>13.789637095958099</v>
      </c>
      <c r="AM63" s="69">
        <v>22.407853036554499</v>
      </c>
      <c r="AN63" s="69">
        <v>138.37219792024899</v>
      </c>
      <c r="AO63" s="69">
        <v>21.612027807330499</v>
      </c>
      <c r="AP63" s="69">
        <v>122.981794791745</v>
      </c>
      <c r="AQ63" s="69">
        <v>2965.6084628774502</v>
      </c>
      <c r="AR63" s="69">
        <v>147.74601242074701</v>
      </c>
      <c r="AS63" s="69">
        <v>10.6769005365265</v>
      </c>
      <c r="AT63" s="69">
        <v>55.895559411781797</v>
      </c>
      <c r="AU63" s="69">
        <v>203.66710263841799</v>
      </c>
      <c r="AV63" s="69">
        <v>55.360303399703803</v>
      </c>
      <c r="AW63" s="69">
        <v>101.745564331301</v>
      </c>
      <c r="AX63" s="69">
        <v>12.8203635906483</v>
      </c>
      <c r="AY63" s="69">
        <v>40.778002936745601</v>
      </c>
      <c r="AZ63" s="69">
        <v>1402.2537963452601</v>
      </c>
      <c r="BA63" s="69">
        <v>711.40675620059699</v>
      </c>
      <c r="BB63" s="69">
        <v>1375.60971671468</v>
      </c>
      <c r="BC63" s="69">
        <v>83.099690098156799</v>
      </c>
      <c r="BD63" s="69">
        <v>263.82824522700997</v>
      </c>
      <c r="BE63" s="69">
        <v>40.7232783643122</v>
      </c>
      <c r="BF63" s="69">
        <v>60.481853344821197</v>
      </c>
      <c r="BG63" s="69">
        <v>53.572104895004102</v>
      </c>
      <c r="BH63" s="69">
        <v>398.96328115013398</v>
      </c>
      <c r="BI63" s="69">
        <v>42.195199627913802</v>
      </c>
      <c r="BJ63" s="69">
        <v>1505.6126340404101</v>
      </c>
      <c r="BK63" s="69">
        <v>750.12271051665903</v>
      </c>
      <c r="BL63" s="69">
        <v>306.00816037740998</v>
      </c>
      <c r="BM63" s="69">
        <v>880.50331365114096</v>
      </c>
      <c r="BN63" s="69">
        <v>190.327147264145</v>
      </c>
      <c r="BO63" s="69">
        <v>69.054161465552397</v>
      </c>
      <c r="BP63" s="69">
        <v>290.06518940985802</v>
      </c>
      <c r="BQ63" s="70">
        <v>0</v>
      </c>
      <c r="BR63" s="71">
        <v>13749.3573603148</v>
      </c>
      <c r="BS63" s="72">
        <v>0</v>
      </c>
      <c r="BT63" s="73">
        <v>0</v>
      </c>
      <c r="BU63" s="73">
        <v>0</v>
      </c>
      <c r="BV63" s="73">
        <v>519.95617138179603</v>
      </c>
      <c r="BW63" s="73">
        <v>0</v>
      </c>
      <c r="BX63" s="74">
        <v>0</v>
      </c>
      <c r="BY63" s="71">
        <v>519.95617138179603</v>
      </c>
      <c r="BZ63" s="75">
        <v>14269.3135316966</v>
      </c>
    </row>
    <row r="64" spans="1:78" ht="15" customHeight="1" x14ac:dyDescent="0.3">
      <c r="A64" s="33" t="s">
        <v>82</v>
      </c>
      <c r="B64" s="11" t="s">
        <v>150</v>
      </c>
      <c r="C64" s="68">
        <v>6.5814974763317999E-4</v>
      </c>
      <c r="D64" s="69">
        <v>2.84287111271228E-4</v>
      </c>
      <c r="E64" s="69">
        <v>0</v>
      </c>
      <c r="F64" s="69">
        <v>2.61508295201014E-4</v>
      </c>
      <c r="G64" s="69">
        <v>4.6197541932971804</v>
      </c>
      <c r="H64" s="69">
        <v>6.13925679502647</v>
      </c>
      <c r="I64" s="69">
        <v>2.5851984415726901E-4</v>
      </c>
      <c r="J64" s="69">
        <v>19.625544483238901</v>
      </c>
      <c r="K64" s="69">
        <v>7.97859655285973</v>
      </c>
      <c r="L64" s="69">
        <v>14.8461689738477</v>
      </c>
      <c r="M64" s="69">
        <v>6.3391862126499596</v>
      </c>
      <c r="N64" s="69">
        <v>7.5100860376329104</v>
      </c>
      <c r="O64" s="69">
        <v>2.1194815369319202</v>
      </c>
      <c r="P64" s="69">
        <v>1.77717126700603</v>
      </c>
      <c r="Q64" s="69">
        <v>1.4561633766496</v>
      </c>
      <c r="R64" s="69">
        <v>3.58210221290852</v>
      </c>
      <c r="S64" s="69">
        <v>26.4623894186646</v>
      </c>
      <c r="T64" s="69">
        <v>0</v>
      </c>
      <c r="U64" s="69">
        <v>7.6953136914263203</v>
      </c>
      <c r="V64" s="69">
        <v>1.40841552728563E-3</v>
      </c>
      <c r="W64" s="69">
        <v>17.792465863250801</v>
      </c>
      <c r="X64" s="69">
        <v>9.2998570377457792</v>
      </c>
      <c r="Y64" s="69">
        <v>1.9175238858394601</v>
      </c>
      <c r="Z64" s="69">
        <v>10.926640284604099</v>
      </c>
      <c r="AA64" s="69">
        <v>9.8504422210422504</v>
      </c>
      <c r="AB64" s="69">
        <v>20.4747836914011</v>
      </c>
      <c r="AC64" s="69">
        <v>2.4275682154643601</v>
      </c>
      <c r="AD64" s="69">
        <v>2.5807974521617498</v>
      </c>
      <c r="AE64" s="69">
        <v>10.262099335915501</v>
      </c>
      <c r="AF64" s="69">
        <v>6.0848837877222</v>
      </c>
      <c r="AG64" s="69">
        <v>3.8928714741497998</v>
      </c>
      <c r="AH64" s="69">
        <v>14.064656059159899</v>
      </c>
      <c r="AI64" s="69">
        <v>19.058714233155602</v>
      </c>
      <c r="AJ64" s="69">
        <v>12.1870631573198</v>
      </c>
      <c r="AK64" s="69">
        <v>2.1002212897809902</v>
      </c>
      <c r="AL64" s="69">
        <v>3.5732833681223002</v>
      </c>
      <c r="AM64" s="69">
        <v>7.2020774510348797</v>
      </c>
      <c r="AN64" s="69">
        <v>9.9924475863642908</v>
      </c>
      <c r="AO64" s="69">
        <v>24.660143715877801</v>
      </c>
      <c r="AP64" s="69">
        <v>21.332956059423001</v>
      </c>
      <c r="AQ64" s="69">
        <v>264.42151637608703</v>
      </c>
      <c r="AR64" s="69">
        <v>72.056339639769604</v>
      </c>
      <c r="AS64" s="69">
        <v>0</v>
      </c>
      <c r="AT64" s="69">
        <v>7.1200973921661097</v>
      </c>
      <c r="AU64" s="69">
        <v>148.35048728136499</v>
      </c>
      <c r="AV64" s="69">
        <v>3.2434216789794599</v>
      </c>
      <c r="AW64" s="69">
        <v>23.147980226917401</v>
      </c>
      <c r="AX64" s="69">
        <v>1.1365104766482499</v>
      </c>
      <c r="AY64" s="69">
        <v>11.1714123512982</v>
      </c>
      <c r="AZ64" s="69">
        <v>19.4925443819814</v>
      </c>
      <c r="BA64" s="69">
        <v>33.539950910222103</v>
      </c>
      <c r="BB64" s="69">
        <v>156.30951537575899</v>
      </c>
      <c r="BC64" s="69">
        <v>7.1133946059515099</v>
      </c>
      <c r="BD64" s="69">
        <v>33.916596318153097</v>
      </c>
      <c r="BE64" s="69">
        <v>5.8984414298867902E-3</v>
      </c>
      <c r="BF64" s="69">
        <v>12.0984365065807</v>
      </c>
      <c r="BG64" s="69">
        <v>6.4272575253844497</v>
      </c>
      <c r="BH64" s="69">
        <v>31.312461334811299</v>
      </c>
      <c r="BI64" s="69">
        <v>2.0813822081990199</v>
      </c>
      <c r="BJ64" s="69">
        <v>323.20015203542602</v>
      </c>
      <c r="BK64" s="69">
        <v>150.367884037289</v>
      </c>
      <c r="BL64" s="69">
        <v>61.432922730951901</v>
      </c>
      <c r="BM64" s="69">
        <v>70.8603072457568</v>
      </c>
      <c r="BN64" s="69">
        <v>8.1561507501085994E-3</v>
      </c>
      <c r="BO64" s="69">
        <v>5.2620521730219396</v>
      </c>
      <c r="BP64" s="69">
        <v>7.8194843901009392E-3</v>
      </c>
      <c r="BQ64" s="70">
        <v>0</v>
      </c>
      <c r="BR64" s="71">
        <v>1763.9200786914901</v>
      </c>
      <c r="BS64" s="72">
        <v>0</v>
      </c>
      <c r="BT64" s="73">
        <v>0</v>
      </c>
      <c r="BU64" s="73">
        <v>0</v>
      </c>
      <c r="BV64" s="73">
        <v>19.6666437822334</v>
      </c>
      <c r="BW64" s="73">
        <v>0</v>
      </c>
      <c r="BX64" s="74">
        <v>0</v>
      </c>
      <c r="BY64" s="71">
        <v>19.6666437822334</v>
      </c>
      <c r="BZ64" s="75">
        <v>1783.5867224737201</v>
      </c>
    </row>
    <row r="65" spans="1:80" ht="15" customHeight="1" x14ac:dyDescent="0.3">
      <c r="A65" s="33" t="s">
        <v>83</v>
      </c>
      <c r="B65" s="11" t="s">
        <v>151</v>
      </c>
      <c r="C65" s="68">
        <v>49.690559477510099</v>
      </c>
      <c r="D65" s="69">
        <v>21.912732294011999</v>
      </c>
      <c r="E65" s="69">
        <v>1.3872164289212601</v>
      </c>
      <c r="F65" s="69">
        <v>1.98756227305943</v>
      </c>
      <c r="G65" s="69">
        <v>25.449046968408702</v>
      </c>
      <c r="H65" s="69">
        <v>18.838056146456701</v>
      </c>
      <c r="I65" s="69">
        <v>2.31343214128673</v>
      </c>
      <c r="J65" s="69">
        <v>29.386583982247402</v>
      </c>
      <c r="K65" s="69">
        <v>8.8062136585086392</v>
      </c>
      <c r="L65" s="69">
        <v>34.559981170355101</v>
      </c>
      <c r="M65" s="69">
        <v>31.340655632602498</v>
      </c>
      <c r="N65" s="69">
        <v>2.4922063722757199</v>
      </c>
      <c r="O65" s="69">
        <v>2.2139756278906901</v>
      </c>
      <c r="P65" s="69">
        <v>2.96744433155117</v>
      </c>
      <c r="Q65" s="69">
        <v>3.9065877634592301</v>
      </c>
      <c r="R65" s="69">
        <v>4.48636379712537</v>
      </c>
      <c r="S65" s="69">
        <v>21.430940453043601</v>
      </c>
      <c r="T65" s="69">
        <v>0.65401291910499104</v>
      </c>
      <c r="U65" s="69">
        <v>14.636078028947701</v>
      </c>
      <c r="V65" s="69">
        <v>7.1766836098114597</v>
      </c>
      <c r="W65" s="69">
        <v>103.853201259266</v>
      </c>
      <c r="X65" s="69">
        <v>19.198212980823602</v>
      </c>
      <c r="Y65" s="69">
        <v>11.953326542916001</v>
      </c>
      <c r="Z65" s="69">
        <v>19.7832347366245</v>
      </c>
      <c r="AA65" s="69">
        <v>12.303078573723701</v>
      </c>
      <c r="AB65" s="69">
        <v>14.761378133735599</v>
      </c>
      <c r="AC65" s="69">
        <v>22.5060362076869</v>
      </c>
      <c r="AD65" s="69">
        <v>10.389563213695901</v>
      </c>
      <c r="AE65" s="69">
        <v>11.7867425886918</v>
      </c>
      <c r="AF65" s="69">
        <v>11.333587800077</v>
      </c>
      <c r="AG65" s="69">
        <v>8.3785810866022903</v>
      </c>
      <c r="AH65" s="69">
        <v>24.323951316093002</v>
      </c>
      <c r="AI65" s="69">
        <v>28.691441426927799</v>
      </c>
      <c r="AJ65" s="69">
        <v>8.0818369967690398</v>
      </c>
      <c r="AK65" s="69">
        <v>2.8956727749006701</v>
      </c>
      <c r="AL65" s="69">
        <v>5.3964368615724698</v>
      </c>
      <c r="AM65" s="69">
        <v>6.7846178926539098</v>
      </c>
      <c r="AN65" s="69">
        <v>31.145958202297599</v>
      </c>
      <c r="AO65" s="69">
        <v>18.346081753798199</v>
      </c>
      <c r="AP65" s="69">
        <v>43.684319058592301</v>
      </c>
      <c r="AQ65" s="69">
        <v>289.80494186167903</v>
      </c>
      <c r="AR65" s="69">
        <v>29.726497894312601</v>
      </c>
      <c r="AS65" s="69">
        <v>4.8934152344970698</v>
      </c>
      <c r="AT65" s="69">
        <v>8.3329548751148295</v>
      </c>
      <c r="AU65" s="69">
        <v>46.202815220837302</v>
      </c>
      <c r="AV65" s="69">
        <v>4.6846302008861596</v>
      </c>
      <c r="AW65" s="69">
        <v>12.360709682951899</v>
      </c>
      <c r="AX65" s="69">
        <v>3.6510350088802599</v>
      </c>
      <c r="AY65" s="69">
        <v>14.2594947778215</v>
      </c>
      <c r="AZ65" s="69">
        <v>27.867099332118599</v>
      </c>
      <c r="BA65" s="69">
        <v>52.518988685204498</v>
      </c>
      <c r="BB65" s="69">
        <v>111.42182590872</v>
      </c>
      <c r="BC65" s="69">
        <v>16.142199480087601</v>
      </c>
      <c r="BD65" s="69">
        <v>89.795033505213297</v>
      </c>
      <c r="BE65" s="69">
        <v>34.430754198951597</v>
      </c>
      <c r="BF65" s="69">
        <v>29.121275172362601</v>
      </c>
      <c r="BG65" s="69">
        <v>9.4837030477315505</v>
      </c>
      <c r="BH65" s="69">
        <v>50.921644052779598</v>
      </c>
      <c r="BI65" s="69">
        <v>4.5259975640779304</v>
      </c>
      <c r="BJ65" s="69">
        <v>112.70696113277</v>
      </c>
      <c r="BK65" s="69">
        <v>21.533158281015599</v>
      </c>
      <c r="BL65" s="69">
        <v>31.6010922060781</v>
      </c>
      <c r="BM65" s="69">
        <v>45.084562138416302</v>
      </c>
      <c r="BN65" s="69">
        <v>52.554515669316899</v>
      </c>
      <c r="BO65" s="69">
        <v>11.4085280771609</v>
      </c>
      <c r="BP65" s="69">
        <v>71.754679545417005</v>
      </c>
      <c r="BQ65" s="70">
        <v>0</v>
      </c>
      <c r="BR65" s="71">
        <v>1888.02210523843</v>
      </c>
      <c r="BS65" s="72">
        <v>0.126860554729604</v>
      </c>
      <c r="BT65" s="73">
        <v>7.0803293343499298</v>
      </c>
      <c r="BU65" s="73">
        <v>0</v>
      </c>
      <c r="BV65" s="73">
        <v>1093.9164407230001</v>
      </c>
      <c r="BW65" s="73">
        <v>45.188972640944598</v>
      </c>
      <c r="BX65" s="74">
        <v>0</v>
      </c>
      <c r="BY65" s="71">
        <v>1146.3126032530199</v>
      </c>
      <c r="BZ65" s="75">
        <v>3034.3347084914499</v>
      </c>
    </row>
    <row r="66" spans="1:80" ht="15" customHeight="1" x14ac:dyDescent="0.3">
      <c r="A66" s="33" t="s">
        <v>84</v>
      </c>
      <c r="B66" s="11" t="s">
        <v>152</v>
      </c>
      <c r="C66" s="68">
        <v>0.15138157590604601</v>
      </c>
      <c r="D66" s="69">
        <v>3.2625703210189601E-2</v>
      </c>
      <c r="E66" s="69">
        <v>1.8682875447513299E-3</v>
      </c>
      <c r="F66" s="69">
        <v>7.99673963507853E-2</v>
      </c>
      <c r="G66" s="69">
        <v>0.242733252094091</v>
      </c>
      <c r="H66" s="69">
        <v>2.1659620862403899</v>
      </c>
      <c r="I66" s="69">
        <v>3.5829021459376803E-2</v>
      </c>
      <c r="J66" s="69">
        <v>1.0544407389852299</v>
      </c>
      <c r="K66" s="69">
        <v>8.2558310612394506E-2</v>
      </c>
      <c r="L66" s="69">
        <v>0.23486308798737901</v>
      </c>
      <c r="M66" s="69">
        <v>0.77624808812639901</v>
      </c>
      <c r="N66" s="69">
        <v>3.3927988271203198E-2</v>
      </c>
      <c r="O66" s="69">
        <v>1.9557202076550699E-2</v>
      </c>
      <c r="P66" s="69">
        <v>3.4840551232307997E-2</v>
      </c>
      <c r="Q66" s="69">
        <v>3.1299165001905403E-2</v>
      </c>
      <c r="R66" s="69">
        <v>7.24683957865153E-3</v>
      </c>
      <c r="S66" s="69">
        <v>0.113199611401606</v>
      </c>
      <c r="T66" s="69">
        <v>3.3603600682605098E-3</v>
      </c>
      <c r="U66" s="69">
        <v>0.11893940900014401</v>
      </c>
      <c r="V66" s="69">
        <v>5.4563218648999899E-2</v>
      </c>
      <c r="W66" s="69">
        <v>1.01090827480617</v>
      </c>
      <c r="X66" s="69">
        <v>0.113540175228867</v>
      </c>
      <c r="Y66" s="69">
        <v>0.59024280454885403</v>
      </c>
      <c r="Z66" s="69">
        <v>1.42860669363546</v>
      </c>
      <c r="AA66" s="69">
        <v>0.130202657348573</v>
      </c>
      <c r="AB66" s="69">
        <v>0.16733359843551299</v>
      </c>
      <c r="AC66" s="69">
        <v>0.144997304961755</v>
      </c>
      <c r="AD66" s="69">
        <v>0.90644736577458296</v>
      </c>
      <c r="AE66" s="69">
        <v>0.14678934673817501</v>
      </c>
      <c r="AF66" s="69">
        <v>0.15064053718718801</v>
      </c>
      <c r="AG66" s="69">
        <v>0.73214596048385605</v>
      </c>
      <c r="AH66" s="69">
        <v>0.39720711835604799</v>
      </c>
      <c r="AI66" s="69">
        <v>1.46461453126561</v>
      </c>
      <c r="AJ66" s="69">
        <v>0.80734557112743</v>
      </c>
      <c r="AK66" s="69">
        <v>2.1653569915196801E-2</v>
      </c>
      <c r="AL66" s="69">
        <v>4.9768987637633003E-2</v>
      </c>
      <c r="AM66" s="69">
        <v>5.1373452523389103E-2</v>
      </c>
      <c r="AN66" s="69">
        <v>0.65833055331094603</v>
      </c>
      <c r="AO66" s="69">
        <v>0.11444498542241301</v>
      </c>
      <c r="AP66" s="69">
        <v>0.50495146382210798</v>
      </c>
      <c r="AQ66" s="69">
        <v>5.3563697248948197</v>
      </c>
      <c r="AR66" s="69">
        <v>0.42769269514842501</v>
      </c>
      <c r="AS66" s="69">
        <v>4.92843417653736E-2</v>
      </c>
      <c r="AT66" s="69">
        <v>6.0786888640431101E-2</v>
      </c>
      <c r="AU66" s="69">
        <v>0.73522405907328003</v>
      </c>
      <c r="AV66" s="69">
        <v>5.95105205539989E-2</v>
      </c>
      <c r="AW66" s="69">
        <v>0.136294972539479</v>
      </c>
      <c r="AX66" s="69">
        <v>2.4325050121372802E-2</v>
      </c>
      <c r="AY66" s="69">
        <v>7.2579983104213E-2</v>
      </c>
      <c r="AZ66" s="69">
        <v>1.9689178652161199</v>
      </c>
      <c r="BA66" s="69">
        <v>0.95945777844193803</v>
      </c>
      <c r="BB66" s="69">
        <v>2.2619757470957</v>
      </c>
      <c r="BC66" s="69">
        <v>0.13355897393098901</v>
      </c>
      <c r="BD66" s="69">
        <v>1.36354646588457</v>
      </c>
      <c r="BE66" s="69">
        <v>7.61839826982325</v>
      </c>
      <c r="BF66" s="69">
        <v>0.26840159351917497</v>
      </c>
      <c r="BG66" s="69">
        <v>0.13793086030938601</v>
      </c>
      <c r="BH66" s="69">
        <v>0.75096623600880996</v>
      </c>
      <c r="BI66" s="69">
        <v>9.4843169726492094E-2</v>
      </c>
      <c r="BJ66" s="69">
        <v>2.0425108800716298</v>
      </c>
      <c r="BK66" s="69">
        <v>0.755051159275129</v>
      </c>
      <c r="BL66" s="69">
        <v>0.32839741276379603</v>
      </c>
      <c r="BM66" s="69">
        <v>1.13057165125096</v>
      </c>
      <c r="BN66" s="69">
        <v>0.64301440500043205</v>
      </c>
      <c r="BO66" s="69">
        <v>0.105047926525329</v>
      </c>
      <c r="BP66" s="69">
        <v>0.91791806380777496</v>
      </c>
      <c r="BQ66" s="70">
        <v>0</v>
      </c>
      <c r="BR66" s="71">
        <v>43.269533540819303</v>
      </c>
      <c r="BS66" s="72">
        <v>0</v>
      </c>
      <c r="BT66" s="73">
        <v>0.91731560557677405</v>
      </c>
      <c r="BU66" s="73">
        <v>0</v>
      </c>
      <c r="BV66" s="73">
        <v>19.4175795986407</v>
      </c>
      <c r="BW66" s="73">
        <v>0.176045761468866</v>
      </c>
      <c r="BX66" s="74">
        <v>0</v>
      </c>
      <c r="BY66" s="71">
        <v>20.510940965686299</v>
      </c>
      <c r="BZ66" s="75">
        <v>63.780474506505598</v>
      </c>
    </row>
    <row r="67" spans="1:80" ht="15" customHeight="1" x14ac:dyDescent="0.3">
      <c r="A67" s="33" t="s">
        <v>85</v>
      </c>
      <c r="B67" s="11" t="s">
        <v>153</v>
      </c>
      <c r="C67" s="68">
        <v>9.3386112839843102E-4</v>
      </c>
      <c r="D67" s="69">
        <v>4.0338036058755298E-4</v>
      </c>
      <c r="E67" s="69">
        <v>0</v>
      </c>
      <c r="F67" s="69">
        <v>3.7105906751495199E-4</v>
      </c>
      <c r="G67" s="69">
        <v>4.5155903454909999E-4</v>
      </c>
      <c r="H67" s="69">
        <v>10.6710459819476</v>
      </c>
      <c r="I67" s="69">
        <v>3.6681869779071999E-4</v>
      </c>
      <c r="J67" s="69">
        <v>7.7151118677528302E-2</v>
      </c>
      <c r="K67" s="69">
        <v>1.25545677927844E-3</v>
      </c>
      <c r="L67" s="69">
        <v>1.3182376555434101E-2</v>
      </c>
      <c r="M67" s="69">
        <v>3.7733489955114399E-2</v>
      </c>
      <c r="N67" s="69">
        <v>4.4105383610230703E-4</v>
      </c>
      <c r="O67" s="69">
        <v>4.4812358469860196E-3</v>
      </c>
      <c r="P67" s="69">
        <v>5.0425103486742597E-3</v>
      </c>
      <c r="Q67" s="69">
        <v>1.9683793646945299E-3</v>
      </c>
      <c r="R67" s="69">
        <v>1.5150150693724E-3</v>
      </c>
      <c r="S67" s="69">
        <v>6.2890580429329603E-3</v>
      </c>
      <c r="T67" s="69">
        <v>0</v>
      </c>
      <c r="U67" s="69">
        <v>1.72852307388248E-3</v>
      </c>
      <c r="V67" s="69">
        <v>1.99842743736475E-3</v>
      </c>
      <c r="W67" s="69">
        <v>4.3938380039377702E-2</v>
      </c>
      <c r="X67" s="69">
        <v>3.0806539562324899E-3</v>
      </c>
      <c r="Y67" s="69">
        <v>3.1184849401086401E-2</v>
      </c>
      <c r="Z67" s="69">
        <v>7.9960638969370099E-2</v>
      </c>
      <c r="AA67" s="69">
        <v>9.4005681789385408E-3</v>
      </c>
      <c r="AB67" s="69">
        <v>4.8501349579627099E-3</v>
      </c>
      <c r="AC67" s="69">
        <v>7.9153922250981603</v>
      </c>
      <c r="AD67" s="69">
        <v>4.5158446324815502</v>
      </c>
      <c r="AE67" s="69">
        <v>3.75446805519333</v>
      </c>
      <c r="AF67" s="69">
        <v>3.4619382850657101E-3</v>
      </c>
      <c r="AG67" s="69">
        <v>4.0941201492240502E-2</v>
      </c>
      <c r="AH67" s="69">
        <v>2.3814825502867901E-2</v>
      </c>
      <c r="AI67" s="69">
        <v>5.2101430410781502</v>
      </c>
      <c r="AJ67" s="69">
        <v>4.25924256151409E-2</v>
      </c>
      <c r="AK67" s="69">
        <v>4.5806048854666199E-4</v>
      </c>
      <c r="AL67" s="69">
        <v>1.9800578545594101E-3</v>
      </c>
      <c r="AM67" s="69">
        <v>3.1247151870995399E-4</v>
      </c>
      <c r="AN67" s="69">
        <v>1.9465640306825001</v>
      </c>
      <c r="AO67" s="69">
        <v>3.9677663033172604E-3</v>
      </c>
      <c r="AP67" s="69">
        <v>4.2892701980868198E-2</v>
      </c>
      <c r="AQ67" s="69">
        <v>20.895955558712199</v>
      </c>
      <c r="AR67" s="69">
        <v>34.175648729350002</v>
      </c>
      <c r="AS67" s="69">
        <v>5.2122211279441597</v>
      </c>
      <c r="AT67" s="69">
        <v>0</v>
      </c>
      <c r="AU67" s="69">
        <v>8.0329206054023299</v>
      </c>
      <c r="AV67" s="69">
        <v>7.7650062075071604E-3</v>
      </c>
      <c r="AW67" s="69">
        <v>0.12961540121155099</v>
      </c>
      <c r="AX67" s="69">
        <v>2.6458385078125999E-3</v>
      </c>
      <c r="AY67" s="69">
        <v>1.4225652221870699E-3</v>
      </c>
      <c r="AZ67" s="69">
        <v>2.2588940207119501</v>
      </c>
      <c r="BA67" s="69">
        <v>4.1589567892365398E-2</v>
      </c>
      <c r="BB67" s="69">
        <v>52.2281540445099</v>
      </c>
      <c r="BC67" s="69">
        <v>8.6130119289481097E-2</v>
      </c>
      <c r="BD67" s="69">
        <v>78.361085360731906</v>
      </c>
      <c r="BE67" s="69">
        <v>3.80567178763323</v>
      </c>
      <c r="BF67" s="69">
        <v>25.8082145844431</v>
      </c>
      <c r="BG67" s="69">
        <v>3.7892187697192399</v>
      </c>
      <c r="BH67" s="69">
        <v>57.098382524084997</v>
      </c>
      <c r="BI67" s="69">
        <v>3.6705261912962102</v>
      </c>
      <c r="BJ67" s="69">
        <v>6.5429118157266002</v>
      </c>
      <c r="BK67" s="69">
        <v>10.3807394363734</v>
      </c>
      <c r="BL67" s="69">
        <v>2.8212949385102899E-2</v>
      </c>
      <c r="BM67" s="69">
        <v>14.3861974515321</v>
      </c>
      <c r="BN67" s="69">
        <v>4.2436476796902899E-2</v>
      </c>
      <c r="BO67" s="69">
        <v>2.2095120830761601E-2</v>
      </c>
      <c r="BP67" s="69">
        <v>10.636048661633099</v>
      </c>
      <c r="BQ67" s="70">
        <v>0</v>
      </c>
      <c r="BR67" s="71">
        <v>372.14631167944998</v>
      </c>
      <c r="BS67" s="72">
        <v>0</v>
      </c>
      <c r="BT67" s="73">
        <v>0</v>
      </c>
      <c r="BU67" s="73">
        <v>0</v>
      </c>
      <c r="BV67" s="73">
        <v>2428.8888675724102</v>
      </c>
      <c r="BW67" s="73">
        <v>0</v>
      </c>
      <c r="BX67" s="74">
        <v>0</v>
      </c>
      <c r="BY67" s="71">
        <v>2428.8888675724102</v>
      </c>
      <c r="BZ67" s="75">
        <v>2801.03517925186</v>
      </c>
    </row>
    <row r="68" spans="1:80" ht="15" customHeight="1" x14ac:dyDescent="0.3">
      <c r="A68" s="33" t="s">
        <v>86</v>
      </c>
      <c r="B68" s="11" t="s">
        <v>154</v>
      </c>
      <c r="C68" s="68">
        <v>1.10112489045915E-3</v>
      </c>
      <c r="D68" s="69">
        <v>5.0047921590699002E-5</v>
      </c>
      <c r="E68" s="69">
        <v>0</v>
      </c>
      <c r="F68" s="69">
        <v>6.0428897120287798E-5</v>
      </c>
      <c r="G68" s="69">
        <v>2.2954492454376699E-3</v>
      </c>
      <c r="H68" s="69">
        <v>0.26387101958126502</v>
      </c>
      <c r="I68" s="69">
        <v>1.9128985561682501E-4</v>
      </c>
      <c r="J68" s="69">
        <v>0.11489825267112699</v>
      </c>
      <c r="K68" s="69">
        <v>7.0539905585102704E-4</v>
      </c>
      <c r="L68" s="69">
        <v>1.42855579496269E-3</v>
      </c>
      <c r="M68" s="69">
        <v>8.6385696277297294E-2</v>
      </c>
      <c r="N68" s="69">
        <v>1.76428645552462E-4</v>
      </c>
      <c r="O68" s="69">
        <v>9.9958780102623999E-5</v>
      </c>
      <c r="P68" s="69">
        <v>1.8662329254461E-4</v>
      </c>
      <c r="Q68" s="69">
        <v>1.12568968169496E-4</v>
      </c>
      <c r="R68" s="69">
        <v>7.3115384738247101E-5</v>
      </c>
      <c r="S68" s="69">
        <v>8.9264370420003404E-4</v>
      </c>
      <c r="T68" s="69">
        <v>2.5821236951379202E-5</v>
      </c>
      <c r="U68" s="69">
        <v>2.97267239732838E-4</v>
      </c>
      <c r="V68" s="69">
        <v>6.5469383728634001E-4</v>
      </c>
      <c r="W68" s="69">
        <v>9.4106017465257805E-2</v>
      </c>
      <c r="X68" s="69">
        <v>8.8678383160974497E-4</v>
      </c>
      <c r="Y68" s="69">
        <v>7.1488111500302903E-2</v>
      </c>
      <c r="Z68" s="69">
        <v>0.17644087156760599</v>
      </c>
      <c r="AA68" s="69">
        <v>1.25959052800727E-3</v>
      </c>
      <c r="AB68" s="69">
        <v>7.44936864587029E-4</v>
      </c>
      <c r="AC68" s="69">
        <v>6.0506854756868695E-4</v>
      </c>
      <c r="AD68" s="69">
        <v>0.108705834413798</v>
      </c>
      <c r="AE68" s="69">
        <v>6.3652967333692196E-4</v>
      </c>
      <c r="AF68" s="69">
        <v>6.8189501482250896E-4</v>
      </c>
      <c r="AG68" s="69">
        <v>8.8412502067584706E-2</v>
      </c>
      <c r="AH68" s="69">
        <v>2.7595411708091601E-3</v>
      </c>
      <c r="AI68" s="69">
        <v>0.16970326233397801</v>
      </c>
      <c r="AJ68" s="69">
        <v>9.8971163401293402E-2</v>
      </c>
      <c r="AK68" s="69">
        <v>1.3229880382373499E-4</v>
      </c>
      <c r="AL68" s="69">
        <v>3.6301574182791898E-4</v>
      </c>
      <c r="AM68" s="69">
        <v>2.4964551281440102E-4</v>
      </c>
      <c r="AN68" s="69">
        <v>4.57823299356514E-2</v>
      </c>
      <c r="AO68" s="69">
        <v>6.6436509503542895E-4</v>
      </c>
      <c r="AP68" s="69">
        <v>3.3816700232035201E-3</v>
      </c>
      <c r="AQ68" s="69">
        <v>0.112940970881898</v>
      </c>
      <c r="AR68" s="69">
        <v>5.6515010696650797E-4</v>
      </c>
      <c r="AS68" s="69">
        <v>5.0700867193256202E-5</v>
      </c>
      <c r="AT68" s="69">
        <v>0</v>
      </c>
      <c r="AU68" s="69">
        <v>7.1057201619390596E-3</v>
      </c>
      <c r="AV68" s="69">
        <v>1.8621118003614299E-5</v>
      </c>
      <c r="AW68" s="69">
        <v>3.1009704811188802E-4</v>
      </c>
      <c r="AX68" s="69">
        <v>4.3055626927108204E-6</v>
      </c>
      <c r="AY68" s="69">
        <v>0</v>
      </c>
      <c r="AZ68" s="69">
        <v>5.5522944440741899E-2</v>
      </c>
      <c r="BA68" s="69">
        <v>7.1735655439256305E-4</v>
      </c>
      <c r="BB68" s="69">
        <v>5.6482955857754195E-4</v>
      </c>
      <c r="BC68" s="69">
        <v>2.3171006145642999E-4</v>
      </c>
      <c r="BD68" s="69">
        <v>2.5006632043436899E-4</v>
      </c>
      <c r="BE68" s="69">
        <v>0.98837663822643496</v>
      </c>
      <c r="BF68" s="69">
        <v>8.0171432163478603E-5</v>
      </c>
      <c r="BG68" s="69">
        <v>2.77898951014225E-4</v>
      </c>
      <c r="BH68" s="69">
        <v>2.5613246110170901E-4</v>
      </c>
      <c r="BI68" s="69">
        <v>0</v>
      </c>
      <c r="BJ68" s="69">
        <v>1.8359856101725198E-2</v>
      </c>
      <c r="BK68" s="69">
        <v>1.65984429522585E-3</v>
      </c>
      <c r="BL68" s="69">
        <v>2.21146226451943E-4</v>
      </c>
      <c r="BM68" s="69">
        <v>2.6006638303091301E-3</v>
      </c>
      <c r="BN68" s="69">
        <v>7.0261851590834201</v>
      </c>
      <c r="BO68" s="69">
        <v>5.2280856243196497E-5</v>
      </c>
      <c r="BP68" s="69">
        <v>1.16708722240313E-4</v>
      </c>
      <c r="BQ68" s="70">
        <v>0</v>
      </c>
      <c r="BR68" s="71">
        <v>9.5559507916416599</v>
      </c>
      <c r="BS68" s="72">
        <v>0</v>
      </c>
      <c r="BT68" s="73">
        <v>14.403619076027599</v>
      </c>
      <c r="BU68" s="73">
        <v>0</v>
      </c>
      <c r="BV68" s="73">
        <v>52.328117481985998</v>
      </c>
      <c r="BW68" s="73">
        <v>2.5889082568950898E-3</v>
      </c>
      <c r="BX68" s="74">
        <v>0</v>
      </c>
      <c r="BY68" s="71">
        <v>66.734325466270505</v>
      </c>
      <c r="BZ68" s="75">
        <v>76.290276257912097</v>
      </c>
    </row>
    <row r="69" spans="1:80" ht="15" customHeight="1" x14ac:dyDescent="0.3">
      <c r="A69" s="33" t="s">
        <v>87</v>
      </c>
      <c r="B69" s="11" t="s">
        <v>155</v>
      </c>
      <c r="C69" s="68">
        <v>0</v>
      </c>
      <c r="D69" s="69">
        <v>0</v>
      </c>
      <c r="E69" s="69">
        <v>0</v>
      </c>
      <c r="F69" s="69">
        <v>0</v>
      </c>
      <c r="G69" s="69">
        <v>0</v>
      </c>
      <c r="H69" s="69">
        <v>3.5844731472025998E-3</v>
      </c>
      <c r="I69" s="69">
        <v>0</v>
      </c>
      <c r="J69" s="69">
        <v>6.0352565405847602E-3</v>
      </c>
      <c r="K69" s="69">
        <v>0</v>
      </c>
      <c r="L69" s="69">
        <v>0</v>
      </c>
      <c r="M69" s="69">
        <v>1.1753612737656399E-3</v>
      </c>
      <c r="N69" s="69">
        <v>0</v>
      </c>
      <c r="O69" s="69">
        <v>3.1611443435078999E-3</v>
      </c>
      <c r="P69" s="69">
        <v>3.20094109301443E-3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1.26387214663553E-3</v>
      </c>
      <c r="X69" s="69">
        <v>0</v>
      </c>
      <c r="Y69" s="69">
        <v>9.6906988698306298E-4</v>
      </c>
      <c r="Z69" s="69">
        <v>2.3919626637800601E-3</v>
      </c>
      <c r="AA69" s="69">
        <v>3.9743835529448103E-3</v>
      </c>
      <c r="AB69" s="69">
        <v>0</v>
      </c>
      <c r="AC69" s="69">
        <v>0</v>
      </c>
      <c r="AD69" s="69">
        <v>1.4781199959338299E-3</v>
      </c>
      <c r="AE69" s="69">
        <v>0</v>
      </c>
      <c r="AF69" s="69">
        <v>0</v>
      </c>
      <c r="AG69" s="69">
        <v>1.20061598874972E-3</v>
      </c>
      <c r="AH69" s="69">
        <v>0</v>
      </c>
      <c r="AI69" s="69">
        <v>2.2933798743695701E-3</v>
      </c>
      <c r="AJ69" s="69">
        <v>1.3390605392910101E-3</v>
      </c>
      <c r="AK69" s="69">
        <v>0</v>
      </c>
      <c r="AL69" s="69">
        <v>0</v>
      </c>
      <c r="AM69" s="69">
        <v>0</v>
      </c>
      <c r="AN69" s="69">
        <v>5.4925056841612597E-3</v>
      </c>
      <c r="AO69" s="69">
        <v>0</v>
      </c>
      <c r="AP69" s="69">
        <v>4.3853712179921699E-2</v>
      </c>
      <c r="AQ69" s="69">
        <v>0.46574206194953799</v>
      </c>
      <c r="AR69" s="69">
        <v>2.5716282127849099E-2</v>
      </c>
      <c r="AS69" s="69">
        <v>0</v>
      </c>
      <c r="AT69" s="69">
        <v>0</v>
      </c>
      <c r="AU69" s="69">
        <v>2.70343462958978E-2</v>
      </c>
      <c r="AV69" s="69">
        <v>8.2677763936047401E-3</v>
      </c>
      <c r="AW69" s="69">
        <v>0.137683089361678</v>
      </c>
      <c r="AX69" s="69">
        <v>1.9116698355636E-3</v>
      </c>
      <c r="AY69" s="69">
        <v>0</v>
      </c>
      <c r="AZ69" s="69">
        <v>1.49124816118475E-2</v>
      </c>
      <c r="BA69" s="69">
        <v>4.3106566696364597E-2</v>
      </c>
      <c r="BB69" s="69">
        <v>4.7322631763262197E-3</v>
      </c>
      <c r="BC69" s="69">
        <v>9.1706889603188499E-2</v>
      </c>
      <c r="BD69" s="69">
        <v>0.11102944627286</v>
      </c>
      <c r="BE69" s="69">
        <v>5.0902537250152598E-2</v>
      </c>
      <c r="BF69" s="69">
        <v>3.5596115880584499E-2</v>
      </c>
      <c r="BG69" s="69">
        <v>8.1339259350957996E-2</v>
      </c>
      <c r="BH69" s="69">
        <v>0.113722812729159</v>
      </c>
      <c r="BI69" s="69">
        <v>0</v>
      </c>
      <c r="BJ69" s="69">
        <v>1.47068018568925</v>
      </c>
      <c r="BK69" s="69">
        <v>0</v>
      </c>
      <c r="BL69" s="69">
        <v>3.0039687115073599E-2</v>
      </c>
      <c r="BM69" s="69">
        <v>0</v>
      </c>
      <c r="BN69" s="69">
        <v>821.61527695754796</v>
      </c>
      <c r="BO69" s="69">
        <v>2.3212700171979302E-2</v>
      </c>
      <c r="BP69" s="69">
        <v>5.18186726746988E-2</v>
      </c>
      <c r="BQ69" s="70">
        <v>0</v>
      </c>
      <c r="BR69" s="71">
        <v>824.48584566064596</v>
      </c>
      <c r="BS69" s="72">
        <v>0</v>
      </c>
      <c r="BT69" s="73">
        <v>1684.2399637219401</v>
      </c>
      <c r="BU69" s="73">
        <v>0</v>
      </c>
      <c r="BV69" s="73">
        <v>6119.0641286890004</v>
      </c>
      <c r="BW69" s="73">
        <v>0</v>
      </c>
      <c r="BX69" s="74">
        <v>0</v>
      </c>
      <c r="BY69" s="71">
        <v>7803.30409241095</v>
      </c>
      <c r="BZ69" s="75">
        <v>8627.7899380715899</v>
      </c>
    </row>
    <row r="70" spans="1:80" ht="15" customHeight="1" x14ac:dyDescent="0.3">
      <c r="A70" s="33" t="s">
        <v>88</v>
      </c>
      <c r="B70" s="11" t="s">
        <v>156</v>
      </c>
      <c r="C70" s="68">
        <v>3.2018095830803301E-4</v>
      </c>
      <c r="D70" s="69">
        <v>0.37172673867929301</v>
      </c>
      <c r="E70" s="69">
        <v>8.6411183995833099E-2</v>
      </c>
      <c r="F70" s="69">
        <v>3.6741535806459502E-2</v>
      </c>
      <c r="G70" s="69">
        <v>0.64363053749350796</v>
      </c>
      <c r="H70" s="69">
        <v>3.4787114461086901E-3</v>
      </c>
      <c r="I70" s="69">
        <v>1.25766410671104E-4</v>
      </c>
      <c r="J70" s="69">
        <v>2.6755806764661401</v>
      </c>
      <c r="K70" s="69">
        <v>0.32600615552412399</v>
      </c>
      <c r="L70" s="69">
        <v>3.4275501328806199</v>
      </c>
      <c r="M70" s="69">
        <v>4.9769220182682403</v>
      </c>
      <c r="N70" s="69">
        <v>0.27335780974222301</v>
      </c>
      <c r="O70" s="69">
        <v>6.15642006077841E-2</v>
      </c>
      <c r="P70" s="69">
        <v>0.35007435162222</v>
      </c>
      <c r="Q70" s="69">
        <v>0.600561937210078</v>
      </c>
      <c r="R70" s="69">
        <v>6.0454918607495002E-2</v>
      </c>
      <c r="S70" s="69">
        <v>0.62753948965196604</v>
      </c>
      <c r="T70" s="69">
        <v>4.8592280818300602E-2</v>
      </c>
      <c r="U70" s="69">
        <v>0.2231677764426</v>
      </c>
      <c r="V70" s="69">
        <v>0.24255257336760799</v>
      </c>
      <c r="W70" s="69">
        <v>9.3715998992782504E-2</v>
      </c>
      <c r="X70" s="69">
        <v>0.51515491854392603</v>
      </c>
      <c r="Y70" s="69">
        <v>1.1677499797285</v>
      </c>
      <c r="Z70" s="69">
        <v>1.9089425023081701</v>
      </c>
      <c r="AA70" s="69">
        <v>0.56810512396509105</v>
      </c>
      <c r="AB70" s="69">
        <v>0.351162017571712</v>
      </c>
      <c r="AC70" s="69">
        <v>0.24559670836380601</v>
      </c>
      <c r="AD70" s="69">
        <v>3.4678463313824501E-2</v>
      </c>
      <c r="AE70" s="69">
        <v>0.54062375151394604</v>
      </c>
      <c r="AF70" s="69">
        <v>1.1961085544588601</v>
      </c>
      <c r="AG70" s="69">
        <v>0.63603026339212698</v>
      </c>
      <c r="AH70" s="69">
        <v>0.56562235954099005</v>
      </c>
      <c r="AI70" s="69">
        <v>2.9464262135346502</v>
      </c>
      <c r="AJ70" s="69">
        <v>0.17303287502586201</v>
      </c>
      <c r="AK70" s="69">
        <v>0.20456078599929001</v>
      </c>
      <c r="AL70" s="69">
        <v>0.395280024403313</v>
      </c>
      <c r="AM70" s="69">
        <v>0.115324387895959</v>
      </c>
      <c r="AN70" s="69">
        <v>2.04078419250395</v>
      </c>
      <c r="AO70" s="69">
        <v>0.188859766931611</v>
      </c>
      <c r="AP70" s="69">
        <v>1.4111598398457099</v>
      </c>
      <c r="AQ70" s="69">
        <v>22.386730501749099</v>
      </c>
      <c r="AR70" s="69">
        <v>0.90180278214172505</v>
      </c>
      <c r="AS70" s="69">
        <v>5.5505052631209403E-2</v>
      </c>
      <c r="AT70" s="69">
        <v>0.126738815062896</v>
      </c>
      <c r="AU70" s="69">
        <v>1.6660357139734401</v>
      </c>
      <c r="AV70" s="69">
        <v>0.28022368133088399</v>
      </c>
      <c r="AW70" s="69">
        <v>0.73917695796968796</v>
      </c>
      <c r="AX70" s="69">
        <v>0.54979921472884796</v>
      </c>
      <c r="AY70" s="69">
        <v>48.437435320987497</v>
      </c>
      <c r="AZ70" s="69">
        <v>7.8620423156924497</v>
      </c>
      <c r="BA70" s="69">
        <v>3.0365948226096702</v>
      </c>
      <c r="BB70" s="69">
        <v>8.3289629307375606</v>
      </c>
      <c r="BC70" s="69">
        <v>0.79129570004935201</v>
      </c>
      <c r="BD70" s="69">
        <v>4.2333292013113102</v>
      </c>
      <c r="BE70" s="69">
        <v>0.49046904580339501</v>
      </c>
      <c r="BF70" s="69">
        <v>7.4031031440005401</v>
      </c>
      <c r="BG70" s="69">
        <v>1.19553546583068</v>
      </c>
      <c r="BH70" s="69">
        <v>1.7632770929043</v>
      </c>
      <c r="BI70" s="69">
        <v>0.22678863044376901</v>
      </c>
      <c r="BJ70" s="69">
        <v>16.3251713166947</v>
      </c>
      <c r="BK70" s="69">
        <v>0.51542497524356501</v>
      </c>
      <c r="BL70" s="69">
        <v>2.5800160663768099</v>
      </c>
      <c r="BM70" s="69">
        <v>1.0562600432185301</v>
      </c>
      <c r="BN70" s="69">
        <v>4.5544608424082103E-2</v>
      </c>
      <c r="BO70" s="69">
        <v>18.7931069127442</v>
      </c>
      <c r="BP70" s="69">
        <v>22.169918019687099</v>
      </c>
      <c r="BQ70" s="70">
        <v>0</v>
      </c>
      <c r="BR70" s="71">
        <v>202.29556603618099</v>
      </c>
      <c r="BS70" s="72">
        <v>0</v>
      </c>
      <c r="BT70" s="73">
        <v>0</v>
      </c>
      <c r="BU70" s="73">
        <v>0</v>
      </c>
      <c r="BV70" s="73">
        <v>10364.0164409066</v>
      </c>
      <c r="BW70" s="73">
        <v>0</v>
      </c>
      <c r="BX70" s="74">
        <v>0</v>
      </c>
      <c r="BY70" s="71">
        <v>10364.0164409066</v>
      </c>
      <c r="BZ70" s="75">
        <v>10566.312006942801</v>
      </c>
    </row>
    <row r="71" spans="1:80" ht="15" customHeight="1" x14ac:dyDescent="0.3">
      <c r="A71" s="33" t="s">
        <v>89</v>
      </c>
      <c r="B71" s="11" t="s">
        <v>157</v>
      </c>
      <c r="C71" s="68">
        <v>3.0995295547319298E-3</v>
      </c>
      <c r="D71" s="69">
        <v>1.33883862537869E-3</v>
      </c>
      <c r="E71" s="69">
        <v>0</v>
      </c>
      <c r="F71" s="69">
        <v>1.23156271456153E-3</v>
      </c>
      <c r="G71" s="69">
        <v>3.9129292430697999</v>
      </c>
      <c r="H71" s="69">
        <v>6.1585091115078497E-2</v>
      </c>
      <c r="I71" s="69">
        <v>3.2781364603462699E-3</v>
      </c>
      <c r="J71" s="69">
        <v>0.109175185787608</v>
      </c>
      <c r="K71" s="69">
        <v>4.1669208340813103E-3</v>
      </c>
      <c r="L71" s="69">
        <v>9.3566039950460603E-2</v>
      </c>
      <c r="M71" s="69">
        <v>5.0434039010512103E-3</v>
      </c>
      <c r="N71" s="69">
        <v>4.2059614666590901E-3</v>
      </c>
      <c r="O71" s="69">
        <v>8.6763063955284797E-3</v>
      </c>
      <c r="P71" s="69">
        <v>9.9983317051603703E-3</v>
      </c>
      <c r="Q71" s="69">
        <v>6.53314484377184E-3</v>
      </c>
      <c r="R71" s="69">
        <v>5.02840715882174E-3</v>
      </c>
      <c r="S71" s="69">
        <v>3.3948417678302999E-2</v>
      </c>
      <c r="T71" s="69">
        <v>0</v>
      </c>
      <c r="U71" s="69">
        <v>7.9643195639645496E-3</v>
      </c>
      <c r="V71" s="69">
        <v>6.6328758278249101E-3</v>
      </c>
      <c r="W71" s="69">
        <v>4.17721810423951E-2</v>
      </c>
      <c r="X71" s="69">
        <v>2.4783611380916899E-2</v>
      </c>
      <c r="Y71" s="69">
        <v>1.1980852860067599E-3</v>
      </c>
      <c r="Z71" s="69">
        <v>3.6569812330677402E-2</v>
      </c>
      <c r="AA71" s="69">
        <v>3.1085342529251801E-2</v>
      </c>
      <c r="AB71" s="69">
        <v>2.22784786114755E-2</v>
      </c>
      <c r="AC71" s="69">
        <v>2.0008020569037099</v>
      </c>
      <c r="AD71" s="69">
        <v>8.2137595627798394E-3</v>
      </c>
      <c r="AE71" s="69">
        <v>2.1820994459935701</v>
      </c>
      <c r="AF71" s="69">
        <v>8.4500217089104002</v>
      </c>
      <c r="AG71" s="69">
        <v>3.1056075428082401</v>
      </c>
      <c r="AH71" s="69">
        <v>2.8596857556756698</v>
      </c>
      <c r="AI71" s="69">
        <v>6.0975938821781199E-2</v>
      </c>
      <c r="AJ71" s="69">
        <v>5.1880343850091298E-3</v>
      </c>
      <c r="AK71" s="69">
        <v>4.0894104296468796E-3</v>
      </c>
      <c r="AL71" s="69">
        <v>1.6039452688425899E-2</v>
      </c>
      <c r="AM71" s="69">
        <v>6.0715303884190403E-3</v>
      </c>
      <c r="AN71" s="69">
        <v>21.577215352554798</v>
      </c>
      <c r="AO71" s="69">
        <v>3.4057455616049198E-2</v>
      </c>
      <c r="AP71" s="69">
        <v>6.4578645610944303</v>
      </c>
      <c r="AQ71" s="69">
        <v>172.908738214294</v>
      </c>
      <c r="AR71" s="69">
        <v>22.2792146105052</v>
      </c>
      <c r="AS71" s="69">
        <v>0</v>
      </c>
      <c r="AT71" s="69">
        <v>3.0679579715470001E-2</v>
      </c>
      <c r="AU71" s="69">
        <v>8.3482035792452702</v>
      </c>
      <c r="AV71" s="69">
        <v>1.5872431815103001</v>
      </c>
      <c r="AW71" s="69">
        <v>5.5180250960824502</v>
      </c>
      <c r="AX71" s="69">
        <v>1.1503135307582499</v>
      </c>
      <c r="AY71" s="69">
        <v>7.1261721015938004</v>
      </c>
      <c r="AZ71" s="69">
        <v>137.56958434220701</v>
      </c>
      <c r="BA71" s="69">
        <v>100.270513653767</v>
      </c>
      <c r="BB71" s="69">
        <v>69.639881212134696</v>
      </c>
      <c r="BC71" s="69">
        <v>4.6391302001968997</v>
      </c>
      <c r="BD71" s="69">
        <v>20.5776121300764</v>
      </c>
      <c r="BE71" s="69">
        <v>1.7391877071442601</v>
      </c>
      <c r="BF71" s="69">
        <v>19.611092371983698</v>
      </c>
      <c r="BG71" s="69">
        <v>6.8006600367712498</v>
      </c>
      <c r="BH71" s="69">
        <v>81.547562451682097</v>
      </c>
      <c r="BI71" s="69">
        <v>1.2139423703208399E-2</v>
      </c>
      <c r="BJ71" s="69">
        <v>36.300205475852103</v>
      </c>
      <c r="BK71" s="69">
        <v>4.2889369566138402</v>
      </c>
      <c r="BL71" s="69">
        <v>28.0431908028648</v>
      </c>
      <c r="BM71" s="69">
        <v>44.0982410867407</v>
      </c>
      <c r="BN71" s="69">
        <v>53.710079254362299</v>
      </c>
      <c r="BO71" s="69">
        <v>1.6976458365155001</v>
      </c>
      <c r="BP71" s="69">
        <v>11.901110702907401</v>
      </c>
      <c r="BQ71" s="70">
        <v>0</v>
      </c>
      <c r="BR71" s="71">
        <v>892.59938477289495</v>
      </c>
      <c r="BS71" s="72">
        <v>0</v>
      </c>
      <c r="BT71" s="73">
        <v>0</v>
      </c>
      <c r="BU71" s="73">
        <v>0</v>
      </c>
      <c r="BV71" s="73">
        <v>1005.92147773477</v>
      </c>
      <c r="BW71" s="73">
        <v>1.8685536066816</v>
      </c>
      <c r="BX71" s="74">
        <v>0</v>
      </c>
      <c r="BY71" s="71">
        <v>1007.79003134145</v>
      </c>
      <c r="BZ71" s="75">
        <v>1900.3894161143501</v>
      </c>
    </row>
    <row r="72" spans="1:80" ht="15" customHeight="1" x14ac:dyDescent="0.3">
      <c r="A72" s="34" t="s">
        <v>90</v>
      </c>
      <c r="B72" s="35" t="s">
        <v>158</v>
      </c>
      <c r="C72" s="76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77">
        <v>0</v>
      </c>
      <c r="AX72" s="77">
        <v>0</v>
      </c>
      <c r="AY72" s="77">
        <v>0</v>
      </c>
      <c r="AZ72" s="77">
        <v>0</v>
      </c>
      <c r="BA72" s="77">
        <v>0</v>
      </c>
      <c r="BB72" s="77">
        <v>0</v>
      </c>
      <c r="BC72" s="77">
        <v>0</v>
      </c>
      <c r="BD72" s="77">
        <v>0</v>
      </c>
      <c r="BE72" s="77">
        <v>0</v>
      </c>
      <c r="BF72" s="77">
        <v>0</v>
      </c>
      <c r="BG72" s="77">
        <v>0</v>
      </c>
      <c r="BH72" s="77">
        <v>0</v>
      </c>
      <c r="BI72" s="77">
        <v>0</v>
      </c>
      <c r="BJ72" s="77">
        <v>0</v>
      </c>
      <c r="BK72" s="77">
        <v>0</v>
      </c>
      <c r="BL72" s="77">
        <v>0</v>
      </c>
      <c r="BM72" s="77">
        <v>0</v>
      </c>
      <c r="BN72" s="77">
        <v>0</v>
      </c>
      <c r="BO72" s="77">
        <v>0</v>
      </c>
      <c r="BP72" s="77">
        <v>0</v>
      </c>
      <c r="BQ72" s="78">
        <v>0</v>
      </c>
      <c r="BR72" s="79">
        <v>0</v>
      </c>
      <c r="BS72" s="80">
        <v>0</v>
      </c>
      <c r="BT72" s="81">
        <v>0</v>
      </c>
      <c r="BU72" s="81">
        <v>0</v>
      </c>
      <c r="BV72" s="81">
        <v>0</v>
      </c>
      <c r="BW72" s="81">
        <v>0</v>
      </c>
      <c r="BX72" s="82">
        <v>0</v>
      </c>
      <c r="BY72" s="79">
        <v>0</v>
      </c>
      <c r="BZ72" s="83">
        <v>0</v>
      </c>
      <c r="CA72" s="84"/>
      <c r="CB72" s="84"/>
    </row>
    <row r="73" spans="1:80" ht="15" customHeight="1" x14ac:dyDescent="0.3">
      <c r="A73" s="42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6"/>
      <c r="BS73" s="86"/>
      <c r="BT73" s="86"/>
      <c r="BU73" s="86"/>
      <c r="BV73" s="86"/>
      <c r="BW73" s="86"/>
      <c r="BX73" s="86"/>
      <c r="BY73" s="86"/>
      <c r="BZ73" s="86"/>
    </row>
    <row r="74" spans="1:80" ht="15" customHeight="1" x14ac:dyDescent="0.3">
      <c r="A74" s="94" t="s">
        <v>159</v>
      </c>
      <c r="B74" s="95"/>
      <c r="C74" s="87">
        <v>26119.649568561799</v>
      </c>
      <c r="D74" s="47">
        <v>11778.744705544899</v>
      </c>
      <c r="E74" s="47">
        <v>1128.08416135691</v>
      </c>
      <c r="F74" s="47">
        <v>1207.61978467578</v>
      </c>
      <c r="G74" s="47">
        <v>10789.2254629649</v>
      </c>
      <c r="H74" s="47">
        <v>5392.5773349274496</v>
      </c>
      <c r="I74" s="47">
        <v>830.94000818001996</v>
      </c>
      <c r="J74" s="47">
        <v>11658.652016133599</v>
      </c>
      <c r="K74" s="47">
        <v>2034.24829044342</v>
      </c>
      <c r="L74" s="47">
        <v>10427.514615067699</v>
      </c>
      <c r="M74" s="47">
        <v>3547.3876782463499</v>
      </c>
      <c r="N74" s="47">
        <v>432.14497014254403</v>
      </c>
      <c r="O74" s="47">
        <v>3714.5741111237598</v>
      </c>
      <c r="P74" s="47">
        <v>4768.5681830571702</v>
      </c>
      <c r="Q74" s="47">
        <v>1759.1492084526999</v>
      </c>
      <c r="R74" s="47">
        <v>2567.1303588690898</v>
      </c>
      <c r="S74" s="47">
        <v>5714.9360559459201</v>
      </c>
      <c r="T74" s="47">
        <v>706.55224291148897</v>
      </c>
      <c r="U74" s="47">
        <v>59795.133957745304</v>
      </c>
      <c r="V74" s="47">
        <v>1787.9911378418001</v>
      </c>
      <c r="W74" s="47">
        <v>12808.4903389029</v>
      </c>
      <c r="X74" s="47">
        <v>5425.9452301705496</v>
      </c>
      <c r="Y74" s="47">
        <v>2565.3249008725202</v>
      </c>
      <c r="Z74" s="47">
        <v>2365.7506784878201</v>
      </c>
      <c r="AA74" s="47">
        <v>7948.50748806513</v>
      </c>
      <c r="AB74" s="47">
        <v>4342.6236270948302</v>
      </c>
      <c r="AC74" s="47">
        <v>5919.4816639670798</v>
      </c>
      <c r="AD74" s="47">
        <v>3730.3617191482799</v>
      </c>
      <c r="AE74" s="47">
        <v>6939.27556950911</v>
      </c>
      <c r="AF74" s="47">
        <v>6558.2845665240502</v>
      </c>
      <c r="AG74" s="47">
        <v>5038.4534901708603</v>
      </c>
      <c r="AH74" s="47">
        <v>9247.9005833455703</v>
      </c>
      <c r="AI74" s="47">
        <v>10751.1130644513</v>
      </c>
      <c r="AJ74" s="47">
        <v>5183.63904650329</v>
      </c>
      <c r="AK74" s="47">
        <v>1388.9940394432799</v>
      </c>
      <c r="AL74" s="47">
        <v>3772.8450661673801</v>
      </c>
      <c r="AM74" s="47">
        <v>3877.1867259600199</v>
      </c>
      <c r="AN74" s="47">
        <v>12019.04422163</v>
      </c>
      <c r="AO74" s="47">
        <v>3726.3201520467001</v>
      </c>
      <c r="AP74" s="47">
        <v>51266.060649353603</v>
      </c>
      <c r="AQ74" s="47">
        <v>51939.952206388603</v>
      </c>
      <c r="AR74" s="47">
        <v>22518.1419353686</v>
      </c>
      <c r="AS74" s="47">
        <v>1632.88501825048</v>
      </c>
      <c r="AT74" s="47">
        <v>5282.8400217246999</v>
      </c>
      <c r="AU74" s="47">
        <v>4984.8369818594001</v>
      </c>
      <c r="AV74" s="47">
        <v>1366.11213811997</v>
      </c>
      <c r="AW74" s="47">
        <v>15895.179054901901</v>
      </c>
      <c r="AX74" s="47">
        <v>1144.6976315664999</v>
      </c>
      <c r="AY74" s="47">
        <v>2038.51042629326</v>
      </c>
      <c r="AZ74" s="47">
        <v>6631.0429089325298</v>
      </c>
      <c r="BA74" s="47">
        <v>10723.334113131499</v>
      </c>
      <c r="BB74" s="47">
        <v>23390.859414586001</v>
      </c>
      <c r="BC74" s="47">
        <v>9682.3063870143305</v>
      </c>
      <c r="BD74" s="47">
        <v>9288.6451979092108</v>
      </c>
      <c r="BE74" s="47">
        <v>3894.1033976528201</v>
      </c>
      <c r="BF74" s="47">
        <v>5838.6358145033801</v>
      </c>
      <c r="BG74" s="47">
        <v>2736.0933678615902</v>
      </c>
      <c r="BH74" s="47">
        <v>14908.294689619201</v>
      </c>
      <c r="BI74" s="47">
        <v>1314.584144763</v>
      </c>
      <c r="BJ74" s="47">
        <v>14230.6284474198</v>
      </c>
      <c r="BK74" s="47">
        <v>3455.4143440132202</v>
      </c>
      <c r="BL74" s="47">
        <v>4612.2585784007597</v>
      </c>
      <c r="BM74" s="47">
        <v>8074.3634561484196</v>
      </c>
      <c r="BN74" s="47">
        <v>18049.790516559799</v>
      </c>
      <c r="BO74" s="47">
        <v>1652.24431866281</v>
      </c>
      <c r="BP74" s="47">
        <v>11261.365507038499</v>
      </c>
      <c r="BQ74" s="88">
        <v>0</v>
      </c>
      <c r="BR74" s="89">
        <v>587583.54669269698</v>
      </c>
      <c r="BS74" s="90">
        <v>141.175581267187</v>
      </c>
      <c r="BT74" s="91">
        <v>2523.1904004990301</v>
      </c>
      <c r="BU74" s="91">
        <v>0</v>
      </c>
      <c r="BV74" s="91">
        <v>635160.15845145204</v>
      </c>
      <c r="BW74" s="91">
        <v>72734.928874084799</v>
      </c>
      <c r="BX74" s="92">
        <v>0</v>
      </c>
      <c r="BY74" s="89">
        <v>710559.45330730302</v>
      </c>
      <c r="BZ74" s="93">
        <v>1298143</v>
      </c>
    </row>
    <row r="75" spans="1:80" ht="15" customHeight="1" x14ac:dyDescent="0.3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</row>
    <row r="76" spans="1:80" ht="15" customHeight="1" x14ac:dyDescent="0.2">
      <c r="A76" s="53" t="s">
        <v>171</v>
      </c>
    </row>
    <row r="77" spans="1:80" ht="15" customHeight="1" x14ac:dyDescent="0.2"/>
  </sheetData>
  <mergeCells count="12">
    <mergeCell ref="A3:A5"/>
    <mergeCell ref="B3:B5"/>
    <mergeCell ref="BS3:BY3"/>
    <mergeCell ref="BZ3:BZ5"/>
    <mergeCell ref="BR4:BR5"/>
    <mergeCell ref="BS4:BS5"/>
    <mergeCell ref="BT4:BT5"/>
    <mergeCell ref="BU4:BU5"/>
    <mergeCell ref="BV4:BV5"/>
    <mergeCell ref="BW4:BW5"/>
    <mergeCell ref="BX4:BX5"/>
    <mergeCell ref="BY4:BY5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CB77"/>
  <sheetViews>
    <sheetView showGridLines="0" zoomScale="90" zoomScaleNormal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78" width="20.7109375" customWidth="1"/>
  </cols>
  <sheetData>
    <row r="1" spans="1:78" ht="15" customHeight="1" x14ac:dyDescent="0.3">
      <c r="A1" s="12" t="s">
        <v>200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78" ht="15" customHeight="1" x14ac:dyDescent="0.3">
      <c r="A2" s="12" t="s">
        <v>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</row>
    <row r="3" spans="1:78" ht="15" customHeight="1" x14ac:dyDescent="0.2">
      <c r="A3" s="126" t="s">
        <v>189</v>
      </c>
      <c r="B3" s="126" t="s">
        <v>190</v>
      </c>
      <c r="C3" s="14" t="s">
        <v>161</v>
      </c>
      <c r="D3" s="15"/>
      <c r="E3" s="15"/>
      <c r="F3" s="15"/>
      <c r="G3" s="15"/>
      <c r="H3" s="15"/>
      <c r="I3" s="15"/>
      <c r="J3" s="15"/>
      <c r="K3" s="15"/>
      <c r="L3" s="16" t="s">
        <v>161</v>
      </c>
      <c r="M3" s="15"/>
      <c r="N3" s="15"/>
      <c r="O3" s="15"/>
      <c r="P3" s="15"/>
      <c r="Q3" s="15"/>
      <c r="R3" s="15"/>
      <c r="S3" s="15"/>
      <c r="T3" s="15"/>
      <c r="U3" s="16" t="s">
        <v>161</v>
      </c>
      <c r="V3" s="15"/>
      <c r="W3" s="15"/>
      <c r="X3" s="15"/>
      <c r="Y3" s="15"/>
      <c r="Z3" s="15"/>
      <c r="AA3" s="15"/>
      <c r="AB3" s="15"/>
      <c r="AC3" s="15"/>
      <c r="AD3" s="16" t="s">
        <v>161</v>
      </c>
      <c r="AE3" s="15"/>
      <c r="AF3" s="15"/>
      <c r="AG3" s="15"/>
      <c r="AH3" s="15"/>
      <c r="AI3" s="15"/>
      <c r="AJ3" s="15"/>
      <c r="AK3" s="15"/>
      <c r="AL3" s="15"/>
      <c r="AM3" s="16" t="s">
        <v>161</v>
      </c>
      <c r="AN3" s="15"/>
      <c r="AO3" s="15"/>
      <c r="AP3" s="15"/>
      <c r="AQ3" s="15"/>
      <c r="AR3" s="15"/>
      <c r="AS3" s="15"/>
      <c r="AT3" s="15"/>
      <c r="AU3" s="15"/>
      <c r="AV3" s="16" t="s">
        <v>161</v>
      </c>
      <c r="AW3" s="15"/>
      <c r="AX3" s="15"/>
      <c r="AY3" s="15"/>
      <c r="AZ3" s="15"/>
      <c r="BA3" s="15"/>
      <c r="BB3" s="15"/>
      <c r="BC3" s="15"/>
      <c r="BD3" s="15"/>
      <c r="BE3" s="16" t="s">
        <v>161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59" t="s">
        <v>161</v>
      </c>
      <c r="BS3" s="127" t="s">
        <v>162</v>
      </c>
      <c r="BT3" s="127"/>
      <c r="BU3" s="127"/>
      <c r="BV3" s="127"/>
      <c r="BW3" s="127"/>
      <c r="BX3" s="127"/>
      <c r="BY3" s="127"/>
      <c r="BZ3" s="128" t="s">
        <v>163</v>
      </c>
    </row>
    <row r="4" spans="1:78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  <c r="BR4" s="128" t="s">
        <v>164</v>
      </c>
      <c r="BS4" s="128" t="s">
        <v>165</v>
      </c>
      <c r="BT4" s="128" t="s">
        <v>166</v>
      </c>
      <c r="BU4" s="128" t="s">
        <v>167</v>
      </c>
      <c r="BV4" s="128" t="s">
        <v>168</v>
      </c>
      <c r="BW4" s="128" t="s">
        <v>169</v>
      </c>
      <c r="BX4" s="128" t="s">
        <v>170</v>
      </c>
      <c r="BY4" s="128" t="s">
        <v>162</v>
      </c>
      <c r="BZ4" s="128"/>
    </row>
    <row r="5" spans="1:78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  <c r="BR5" s="128"/>
      <c r="BS5" s="128"/>
      <c r="BT5" s="128"/>
      <c r="BU5" s="128"/>
      <c r="BV5" s="128"/>
      <c r="BW5" s="128"/>
      <c r="BX5" s="128"/>
      <c r="BY5" s="128"/>
      <c r="BZ5" s="128"/>
    </row>
    <row r="6" spans="1:78" ht="15" customHeight="1" x14ac:dyDescent="0.3">
      <c r="A6" s="19" t="s">
        <v>24</v>
      </c>
      <c r="B6" s="11" t="s">
        <v>92</v>
      </c>
      <c r="C6" s="60">
        <v>2203.7293284679299</v>
      </c>
      <c r="D6" s="61">
        <v>2613.46580558287</v>
      </c>
      <c r="E6" s="61">
        <v>34.035754120514497</v>
      </c>
      <c r="F6" s="61">
        <v>0.50104252349290801</v>
      </c>
      <c r="G6" s="61">
        <v>0.39312560800975699</v>
      </c>
      <c r="H6" s="61">
        <v>0</v>
      </c>
      <c r="I6" s="61">
        <v>0</v>
      </c>
      <c r="J6" s="61">
        <v>1202.531847832</v>
      </c>
      <c r="K6" s="61">
        <v>1.7225319086811599</v>
      </c>
      <c r="L6" s="61">
        <v>18029.760294420099</v>
      </c>
      <c r="M6" s="61">
        <v>86.774579100675794</v>
      </c>
      <c r="N6" s="61">
        <v>240.64218714680501</v>
      </c>
      <c r="O6" s="61">
        <v>1295.8410358209801</v>
      </c>
      <c r="P6" s="61">
        <v>191.43995422287199</v>
      </c>
      <c r="Q6" s="61">
        <v>1.2129909730337101</v>
      </c>
      <c r="R6" s="61">
        <v>11.2869379864953</v>
      </c>
      <c r="S6" s="61">
        <v>27.076895975905501</v>
      </c>
      <c r="T6" s="61">
        <v>0</v>
      </c>
      <c r="U6" s="61">
        <v>0.93037307459741403</v>
      </c>
      <c r="V6" s="61">
        <v>491.80989654701898</v>
      </c>
      <c r="W6" s="61">
        <v>3.21940084939353</v>
      </c>
      <c r="X6" s="61">
        <v>4.6048394065051896</v>
      </c>
      <c r="Y6" s="61">
        <v>0.69691899796080303</v>
      </c>
      <c r="Z6" s="61">
        <v>5.1725530441444896</v>
      </c>
      <c r="AA6" s="61">
        <v>5.7181837104593498</v>
      </c>
      <c r="AB6" s="61">
        <v>3.2139029941431398</v>
      </c>
      <c r="AC6" s="61">
        <v>1.7050283860055799</v>
      </c>
      <c r="AD6" s="61">
        <v>0.16480796632387101</v>
      </c>
      <c r="AE6" s="61">
        <v>0.64294815268346295</v>
      </c>
      <c r="AF6" s="61">
        <v>0</v>
      </c>
      <c r="AG6" s="61">
        <v>2.1734821321809698E-2</v>
      </c>
      <c r="AH6" s="61">
        <v>4.7434821472556898E-2</v>
      </c>
      <c r="AI6" s="61">
        <v>1.5866565844556701E-2</v>
      </c>
      <c r="AJ6" s="61">
        <v>3.0909450576255101E-2</v>
      </c>
      <c r="AK6" s="61">
        <v>1.2429805870497799E-2</v>
      </c>
      <c r="AL6" s="61">
        <v>3.2095073976213699</v>
      </c>
      <c r="AM6" s="61">
        <v>0</v>
      </c>
      <c r="AN6" s="61">
        <v>2.968882648306E-2</v>
      </c>
      <c r="AO6" s="61">
        <v>4.3274761975682496</v>
      </c>
      <c r="AP6" s="61">
        <v>5.0319053260079798</v>
      </c>
      <c r="AQ6" s="61">
        <v>1484.6799163139699</v>
      </c>
      <c r="AR6" s="61">
        <v>5.7837597469997698E-2</v>
      </c>
      <c r="AS6" s="61">
        <v>0</v>
      </c>
      <c r="AT6" s="61">
        <v>2.2306841508661399E-2</v>
      </c>
      <c r="AU6" s="61">
        <v>3.1917992363013903E-2</v>
      </c>
      <c r="AV6" s="61">
        <v>73.288786733989596</v>
      </c>
      <c r="AW6" s="61">
        <v>1072.7950328212801</v>
      </c>
      <c r="AX6" s="61">
        <v>0</v>
      </c>
      <c r="AY6" s="61">
        <v>2.13032440846684E-2</v>
      </c>
      <c r="AZ6" s="61">
        <v>2.1193584597593998E-3</v>
      </c>
      <c r="BA6" s="61">
        <v>3.8439345650683001E-3</v>
      </c>
      <c r="BB6" s="61">
        <v>0.13479687551518099</v>
      </c>
      <c r="BC6" s="61">
        <v>0.17280646273779801</v>
      </c>
      <c r="BD6" s="61">
        <v>2.7470944693035799E-2</v>
      </c>
      <c r="BE6" s="61">
        <v>0.40975138154031299</v>
      </c>
      <c r="BF6" s="61">
        <v>7.7792674710046E-2</v>
      </c>
      <c r="BG6" s="61">
        <v>7.3606291490383204E-3</v>
      </c>
      <c r="BH6" s="61">
        <v>14.4351531505959</v>
      </c>
      <c r="BI6" s="61">
        <v>4.0588315174734102E-3</v>
      </c>
      <c r="BJ6" s="61">
        <v>154.85039732846201</v>
      </c>
      <c r="BK6" s="61">
        <v>50.138031735085697</v>
      </c>
      <c r="BL6" s="61">
        <v>6.3072228530322603</v>
      </c>
      <c r="BM6" s="61">
        <v>67.069086239359507</v>
      </c>
      <c r="BN6" s="61">
        <v>21.904395034231701</v>
      </c>
      <c r="BO6" s="61">
        <v>9.4914725928316492E-3</v>
      </c>
      <c r="BP6" s="61">
        <v>107.75167754415401</v>
      </c>
      <c r="BQ6" s="62">
        <v>0</v>
      </c>
      <c r="BR6" s="63">
        <v>29525.222676027399</v>
      </c>
      <c r="BS6" s="64">
        <v>7245.4443460331304</v>
      </c>
      <c r="BT6" s="65">
        <v>22.3289395841783</v>
      </c>
      <c r="BU6" s="65">
        <v>0</v>
      </c>
      <c r="BV6" s="65">
        <v>47432.395243294297</v>
      </c>
      <c r="BW6" s="65">
        <v>249.78684138687601</v>
      </c>
      <c r="BX6" s="66">
        <v>0</v>
      </c>
      <c r="BY6" s="63">
        <v>54949.955370298499</v>
      </c>
      <c r="BZ6" s="67">
        <v>84475.178046325906</v>
      </c>
    </row>
    <row r="7" spans="1:78" ht="15" customHeight="1" x14ac:dyDescent="0.3">
      <c r="A7" s="19" t="s">
        <v>25</v>
      </c>
      <c r="B7" s="11" t="s">
        <v>93</v>
      </c>
      <c r="C7" s="68">
        <v>259.47791408939798</v>
      </c>
      <c r="D7" s="69">
        <v>1520.2817187968999</v>
      </c>
      <c r="E7" s="69">
        <v>44.895957382940303</v>
      </c>
      <c r="F7" s="69">
        <v>1.15942879681653</v>
      </c>
      <c r="G7" s="69">
        <v>1.9097494503210699</v>
      </c>
      <c r="H7" s="69">
        <v>0</v>
      </c>
      <c r="I7" s="69">
        <v>0</v>
      </c>
      <c r="J7" s="69">
        <v>11179.3074891994</v>
      </c>
      <c r="K7" s="69">
        <v>0.73705411499539097</v>
      </c>
      <c r="L7" s="69">
        <v>768.36524261926797</v>
      </c>
      <c r="M7" s="69">
        <v>12.1006648385614</v>
      </c>
      <c r="N7" s="69">
        <v>13.8573091409611</v>
      </c>
      <c r="O7" s="69">
        <v>99.810123753868098</v>
      </c>
      <c r="P7" s="69">
        <v>89.253495405148598</v>
      </c>
      <c r="Q7" s="69">
        <v>0.93259329241426903</v>
      </c>
      <c r="R7" s="69">
        <v>21.976365787969002</v>
      </c>
      <c r="S7" s="69">
        <v>40.847354474969997</v>
      </c>
      <c r="T7" s="69">
        <v>0</v>
      </c>
      <c r="U7" s="69">
        <v>0</v>
      </c>
      <c r="V7" s="69">
        <v>16.954421129796899</v>
      </c>
      <c r="W7" s="69">
        <v>14.278303031241499</v>
      </c>
      <c r="X7" s="69">
        <v>1.94649748584569</v>
      </c>
      <c r="Y7" s="69">
        <v>2.29815536885399</v>
      </c>
      <c r="Z7" s="69">
        <v>2.3951845320232099</v>
      </c>
      <c r="AA7" s="69">
        <v>8.2941940370657807</v>
      </c>
      <c r="AB7" s="69">
        <v>16.671074782817801</v>
      </c>
      <c r="AC7" s="69">
        <v>4.2791148724424897</v>
      </c>
      <c r="AD7" s="69">
        <v>0.86831659869143996</v>
      </c>
      <c r="AE7" s="69">
        <v>0.39222589465680502</v>
      </c>
      <c r="AF7" s="69">
        <v>0</v>
      </c>
      <c r="AG7" s="69">
        <v>0.112789800039409</v>
      </c>
      <c r="AH7" s="69">
        <v>3.4785535746541703E-2</v>
      </c>
      <c r="AI7" s="69">
        <v>1.1331730695928299E-2</v>
      </c>
      <c r="AJ7" s="69">
        <v>8.20953258479383E-2</v>
      </c>
      <c r="AK7" s="69">
        <v>9.1151909716983802E-3</v>
      </c>
      <c r="AL7" s="69">
        <v>1.8434040402816201</v>
      </c>
      <c r="AM7" s="69">
        <v>0</v>
      </c>
      <c r="AN7" s="69">
        <v>2.1335908018378799E-2</v>
      </c>
      <c r="AO7" s="69">
        <v>1.51564235378853</v>
      </c>
      <c r="AP7" s="69">
        <v>18.679668589441999</v>
      </c>
      <c r="AQ7" s="69">
        <v>53.396634922967998</v>
      </c>
      <c r="AR7" s="69">
        <v>1.7004457233652401E-4</v>
      </c>
      <c r="AS7" s="69">
        <v>0</v>
      </c>
      <c r="AT7" s="69">
        <v>1.0668608706621801E-2</v>
      </c>
      <c r="AU7" s="69">
        <v>3.3023726072255698E-2</v>
      </c>
      <c r="AV7" s="69">
        <v>27.252553749208001</v>
      </c>
      <c r="AW7" s="69">
        <v>298.45856640161003</v>
      </c>
      <c r="AX7" s="69">
        <v>0</v>
      </c>
      <c r="AY7" s="69">
        <v>1.56223789954235E-2</v>
      </c>
      <c r="AZ7" s="69">
        <v>1.3673821828540499E-3</v>
      </c>
      <c r="BA7" s="69">
        <v>0</v>
      </c>
      <c r="BB7" s="69">
        <v>6.9091474316563706E-2</v>
      </c>
      <c r="BC7" s="69">
        <v>0.582655753682503</v>
      </c>
      <c r="BD7" s="69">
        <v>9.5368634685340497E-3</v>
      </c>
      <c r="BE7" s="69">
        <v>1.55058958365031E-2</v>
      </c>
      <c r="BF7" s="69">
        <v>1.1666438461020601</v>
      </c>
      <c r="BG7" s="69">
        <v>0</v>
      </c>
      <c r="BH7" s="69">
        <v>0.667421203105241</v>
      </c>
      <c r="BI7" s="69">
        <v>0</v>
      </c>
      <c r="BJ7" s="69">
        <v>40.076524567681297</v>
      </c>
      <c r="BK7" s="69">
        <v>15.1359441286879</v>
      </c>
      <c r="BL7" s="69">
        <v>1.27892300756189</v>
      </c>
      <c r="BM7" s="69">
        <v>7.9625131045225803</v>
      </c>
      <c r="BN7" s="69">
        <v>5.7975359801038504</v>
      </c>
      <c r="BO7" s="69">
        <v>1.19347749402172E-2</v>
      </c>
      <c r="BP7" s="69">
        <v>6.3901589734677398</v>
      </c>
      <c r="BQ7" s="70">
        <v>0</v>
      </c>
      <c r="BR7" s="71">
        <v>14603.93311414</v>
      </c>
      <c r="BS7" s="72">
        <v>266.92843887482297</v>
      </c>
      <c r="BT7" s="73">
        <v>2.1714238319206101</v>
      </c>
      <c r="BU7" s="73">
        <v>0</v>
      </c>
      <c r="BV7" s="73">
        <v>8914.3957508262793</v>
      </c>
      <c r="BW7" s="73">
        <v>1500.97534983267</v>
      </c>
      <c r="BX7" s="74">
        <v>0</v>
      </c>
      <c r="BY7" s="71">
        <v>10684.4709633657</v>
      </c>
      <c r="BZ7" s="75">
        <v>25288.4040775057</v>
      </c>
    </row>
    <row r="8" spans="1:78" ht="15" customHeight="1" x14ac:dyDescent="0.3">
      <c r="A8" s="19" t="s">
        <v>26</v>
      </c>
      <c r="B8" s="11" t="s">
        <v>94</v>
      </c>
      <c r="C8" s="68">
        <v>327.44785280973201</v>
      </c>
      <c r="D8" s="69">
        <v>354.46228473703297</v>
      </c>
      <c r="E8" s="69">
        <v>486.50854097798401</v>
      </c>
      <c r="F8" s="69">
        <v>0.133584951880442</v>
      </c>
      <c r="G8" s="69">
        <v>0.151481542801671</v>
      </c>
      <c r="H8" s="69">
        <v>0</v>
      </c>
      <c r="I8" s="69">
        <v>0</v>
      </c>
      <c r="J8" s="69">
        <v>664.04458555463304</v>
      </c>
      <c r="K8" s="69">
        <v>4.7758621594146601E-2</v>
      </c>
      <c r="L8" s="69">
        <v>39.809260124515497</v>
      </c>
      <c r="M8" s="69">
        <v>3.0266066027718699</v>
      </c>
      <c r="N8" s="69">
        <v>1.02752725014571</v>
      </c>
      <c r="O8" s="69">
        <v>3.2802300166168599</v>
      </c>
      <c r="P8" s="69">
        <v>0.79156835843679296</v>
      </c>
      <c r="Q8" s="69">
        <v>0.61006889270458398</v>
      </c>
      <c r="R8" s="69">
        <v>254.517004007688</v>
      </c>
      <c r="S8" s="69">
        <v>450.07539447294602</v>
      </c>
      <c r="T8" s="69">
        <v>0</v>
      </c>
      <c r="U8" s="69">
        <v>0</v>
      </c>
      <c r="V8" s="69">
        <v>0.47502054281282902</v>
      </c>
      <c r="W8" s="69">
        <v>20.4337161009196</v>
      </c>
      <c r="X8" s="69">
        <v>0.71566358438564504</v>
      </c>
      <c r="Y8" s="69">
        <v>2.0775389296565399E-2</v>
      </c>
      <c r="Z8" s="69">
        <v>1.38547982410375E-2</v>
      </c>
      <c r="AA8" s="69">
        <v>86.820268130766095</v>
      </c>
      <c r="AB8" s="69">
        <v>2.9272138350182502</v>
      </c>
      <c r="AC8" s="69">
        <v>35.541712073947302</v>
      </c>
      <c r="AD8" s="69">
        <v>6.8874971001020704E-2</v>
      </c>
      <c r="AE8" s="69">
        <v>0.398894784386019</v>
      </c>
      <c r="AF8" s="69">
        <v>0</v>
      </c>
      <c r="AG8" s="69">
        <v>9.0003986444294904E-3</v>
      </c>
      <c r="AH8" s="69">
        <v>9.4869642945113707E-3</v>
      </c>
      <c r="AI8" s="69">
        <v>3.09047200798044E-3</v>
      </c>
      <c r="AJ8" s="69">
        <v>9.0372693601285699E-3</v>
      </c>
      <c r="AK8" s="69">
        <v>2.4859611740995599E-3</v>
      </c>
      <c r="AL8" s="69">
        <v>0.2275854071932</v>
      </c>
      <c r="AM8" s="69">
        <v>0</v>
      </c>
      <c r="AN8" s="69">
        <v>5.8188840050124001E-3</v>
      </c>
      <c r="AO8" s="69">
        <v>0.113623146218944</v>
      </c>
      <c r="AP8" s="69">
        <v>37.915347295422301</v>
      </c>
      <c r="AQ8" s="69">
        <v>26.979528231728999</v>
      </c>
      <c r="AR8" s="69">
        <v>1.7004457233652401E-5</v>
      </c>
      <c r="AS8" s="69">
        <v>0</v>
      </c>
      <c r="AT8" s="69">
        <v>1.9754742776041399E-4</v>
      </c>
      <c r="AU8" s="69">
        <v>6.2082126447821203E-3</v>
      </c>
      <c r="AV8" s="69">
        <v>10.524194326988001</v>
      </c>
      <c r="AW8" s="69">
        <v>150.739500351228</v>
      </c>
      <c r="AX8" s="69">
        <v>0</v>
      </c>
      <c r="AY8" s="69">
        <v>4.2606488169336897E-3</v>
      </c>
      <c r="AZ8" s="69">
        <v>1.3673821828540499E-4</v>
      </c>
      <c r="BA8" s="69">
        <v>0</v>
      </c>
      <c r="BB8" s="69">
        <v>1.30519854073156E-3</v>
      </c>
      <c r="BC8" s="69">
        <v>5.1033334747691797E-2</v>
      </c>
      <c r="BD8" s="69">
        <v>2.09624497032911E-4</v>
      </c>
      <c r="BE8" s="69">
        <v>4.72478820502863E-4</v>
      </c>
      <c r="BF8" s="69">
        <v>4.1559265627834499E-3</v>
      </c>
      <c r="BG8" s="69">
        <v>0</v>
      </c>
      <c r="BH8" s="69">
        <v>3.1851434042936999E-2</v>
      </c>
      <c r="BI8" s="69">
        <v>0</v>
      </c>
      <c r="BJ8" s="69">
        <v>27.556850776245799</v>
      </c>
      <c r="BK8" s="69">
        <v>19.896962479785099</v>
      </c>
      <c r="BL8" s="69">
        <v>3.2954557666006998</v>
      </c>
      <c r="BM8" s="69">
        <v>22.132337708424501</v>
      </c>
      <c r="BN8" s="69">
        <v>3.5659265920202698</v>
      </c>
      <c r="BO8" s="69">
        <v>2.9632219664097999E-4</v>
      </c>
      <c r="BP8" s="69">
        <v>0.26034347970878002</v>
      </c>
      <c r="BQ8" s="70">
        <v>0</v>
      </c>
      <c r="BR8" s="71">
        <v>3036.69646311428</v>
      </c>
      <c r="BS8" s="72">
        <v>8.0980218115015603</v>
      </c>
      <c r="BT8" s="73">
        <v>0.76913708361242805</v>
      </c>
      <c r="BU8" s="73">
        <v>0</v>
      </c>
      <c r="BV8" s="73">
        <v>4904.0012387942397</v>
      </c>
      <c r="BW8" s="73">
        <v>52.600158601319102</v>
      </c>
      <c r="BX8" s="74">
        <v>0</v>
      </c>
      <c r="BY8" s="71">
        <v>4965.4685562906698</v>
      </c>
      <c r="BZ8" s="75">
        <v>8002.1650194049498</v>
      </c>
    </row>
    <row r="9" spans="1:78" ht="15" customHeight="1" x14ac:dyDescent="0.3">
      <c r="A9" s="19" t="s">
        <v>27</v>
      </c>
      <c r="B9" s="11" t="s">
        <v>95</v>
      </c>
      <c r="C9" s="68">
        <v>29.858830353440101</v>
      </c>
      <c r="D9" s="69">
        <v>182.14946263543899</v>
      </c>
      <c r="E9" s="69">
        <v>4.2926266216894797</v>
      </c>
      <c r="F9" s="69">
        <v>79.8953864607128</v>
      </c>
      <c r="G9" s="69">
        <v>146.120237945734</v>
      </c>
      <c r="H9" s="69">
        <v>0.39169979987314801</v>
      </c>
      <c r="I9" s="69">
        <v>1.64076918248212</v>
      </c>
      <c r="J9" s="69">
        <v>15.085337328907301</v>
      </c>
      <c r="K9" s="69">
        <v>3.5384421104591302</v>
      </c>
      <c r="L9" s="69">
        <v>51.153418265649996</v>
      </c>
      <c r="M9" s="69">
        <v>6.56638583684704</v>
      </c>
      <c r="N9" s="69">
        <v>0</v>
      </c>
      <c r="O9" s="69">
        <v>7.5333209969164303E-2</v>
      </c>
      <c r="P9" s="69">
        <v>0</v>
      </c>
      <c r="Q9" s="69">
        <v>5.10634917055229E-2</v>
      </c>
      <c r="R9" s="69">
        <v>9.9791390592504307E-3</v>
      </c>
      <c r="S9" s="69">
        <v>4.3114673226821001</v>
      </c>
      <c r="T9" s="69">
        <v>0.45759025648635099</v>
      </c>
      <c r="U9" s="69">
        <v>0</v>
      </c>
      <c r="V9" s="69">
        <v>84.328570021824603</v>
      </c>
      <c r="W9" s="69">
        <v>975.96802123855798</v>
      </c>
      <c r="X9" s="69">
        <v>19.9606387776854</v>
      </c>
      <c r="Y9" s="69">
        <v>1.41725697523379</v>
      </c>
      <c r="Z9" s="69">
        <v>0.26807053624935601</v>
      </c>
      <c r="AA9" s="69">
        <v>2.56821405271856</v>
      </c>
      <c r="AB9" s="69">
        <v>1270.85121515421</v>
      </c>
      <c r="AC9" s="69">
        <v>103.43879994066999</v>
      </c>
      <c r="AD9" s="69">
        <v>98.236808976763996</v>
      </c>
      <c r="AE9" s="69">
        <v>4.8153206186453703</v>
      </c>
      <c r="AF9" s="69">
        <v>0.226167530842807</v>
      </c>
      <c r="AG9" s="69">
        <v>19.399840139975201</v>
      </c>
      <c r="AH9" s="69">
        <v>3.4229427437228099</v>
      </c>
      <c r="AI9" s="69">
        <v>6.3122223252246901</v>
      </c>
      <c r="AJ9" s="69">
        <v>9.7788085959554003</v>
      </c>
      <c r="AK9" s="69">
        <v>1.54951312544038</v>
      </c>
      <c r="AL9" s="69">
        <v>9.6929345286395403</v>
      </c>
      <c r="AM9" s="69">
        <v>1.71761421961128</v>
      </c>
      <c r="AN9" s="69">
        <v>0.548702979010666</v>
      </c>
      <c r="AO9" s="69">
        <v>102.187231086949</v>
      </c>
      <c r="AP9" s="69">
        <v>1215.53628798463</v>
      </c>
      <c r="AQ9" s="69">
        <v>27.282755015503898</v>
      </c>
      <c r="AR9" s="69">
        <v>2.3661825234021199E-2</v>
      </c>
      <c r="AS9" s="69">
        <v>1.5443422357333401E-2</v>
      </c>
      <c r="AT9" s="69">
        <v>0</v>
      </c>
      <c r="AU9" s="69">
        <v>1.0368683183121501</v>
      </c>
      <c r="AV9" s="69">
        <v>0.459155949910931</v>
      </c>
      <c r="AW9" s="69">
        <v>2.7482491379281999</v>
      </c>
      <c r="AX9" s="69">
        <v>0</v>
      </c>
      <c r="AY9" s="69">
        <v>0</v>
      </c>
      <c r="AZ9" s="69">
        <v>9.1629633347445893E-3</v>
      </c>
      <c r="BA9" s="69">
        <v>0</v>
      </c>
      <c r="BB9" s="69">
        <v>1.4643366553764199E-4</v>
      </c>
      <c r="BC9" s="69">
        <v>43.202408573961101</v>
      </c>
      <c r="BD9" s="69">
        <v>2.8564495603623499E-3</v>
      </c>
      <c r="BE9" s="69">
        <v>7.72204179120526E-3</v>
      </c>
      <c r="BF9" s="69">
        <v>1.3666329643894999E-2</v>
      </c>
      <c r="BG9" s="69">
        <v>0</v>
      </c>
      <c r="BH9" s="69">
        <v>0.241986629652028</v>
      </c>
      <c r="BI9" s="69">
        <v>0</v>
      </c>
      <c r="BJ9" s="69">
        <v>15.091138633335101</v>
      </c>
      <c r="BK9" s="69">
        <v>2.8061185300613598</v>
      </c>
      <c r="BL9" s="69">
        <v>3.79862360562776E-2</v>
      </c>
      <c r="BM9" s="69">
        <v>3.4519370987998701</v>
      </c>
      <c r="BN9" s="69">
        <v>0.72403642262703705</v>
      </c>
      <c r="BO9" s="69">
        <v>1.5992131928893099E-3</v>
      </c>
      <c r="BP9" s="69">
        <v>0.499146490123482</v>
      </c>
      <c r="BQ9" s="70">
        <v>0</v>
      </c>
      <c r="BR9" s="71">
        <v>4555.4792572287497</v>
      </c>
      <c r="BS9" s="72">
        <v>20.476324680689199</v>
      </c>
      <c r="BT9" s="73">
        <v>1.23676600187155E-2</v>
      </c>
      <c r="BU9" s="73">
        <v>0</v>
      </c>
      <c r="BV9" s="73">
        <v>81.089419734738698</v>
      </c>
      <c r="BW9" s="73">
        <v>1.4798199230442199</v>
      </c>
      <c r="BX9" s="74">
        <v>0</v>
      </c>
      <c r="BY9" s="71">
        <v>103.057931998491</v>
      </c>
      <c r="BZ9" s="75">
        <v>4658.5371892272397</v>
      </c>
    </row>
    <row r="10" spans="1:78" ht="15" customHeight="1" x14ac:dyDescent="0.3">
      <c r="A10" s="19" t="s">
        <v>28</v>
      </c>
      <c r="B10" s="11" t="s">
        <v>96</v>
      </c>
      <c r="C10" s="68">
        <v>11.3401948320783</v>
      </c>
      <c r="D10" s="69">
        <v>10.416755038948599</v>
      </c>
      <c r="E10" s="69">
        <v>0.39673369777337703</v>
      </c>
      <c r="F10" s="69">
        <v>0.15711939352482299</v>
      </c>
      <c r="G10" s="69">
        <v>10.595586499551001</v>
      </c>
      <c r="H10" s="69">
        <v>11.7922189704988</v>
      </c>
      <c r="I10" s="69">
        <v>1.1431821443441601</v>
      </c>
      <c r="J10" s="69">
        <v>0.93804730901370104</v>
      </c>
      <c r="K10" s="69">
        <v>6.8011348745718701E-3</v>
      </c>
      <c r="L10" s="69">
        <v>2.7775101351617799</v>
      </c>
      <c r="M10" s="69">
        <v>0.83830213531811104</v>
      </c>
      <c r="N10" s="69">
        <v>3.2246310413928697E-2</v>
      </c>
      <c r="O10" s="69">
        <v>0.57988026208771204</v>
      </c>
      <c r="P10" s="69">
        <v>2.5827160821714399E-3</v>
      </c>
      <c r="Q10" s="69">
        <v>0.14624062721144901</v>
      </c>
      <c r="R10" s="69">
        <v>0.33603605357358102</v>
      </c>
      <c r="S10" s="69">
        <v>1.6371165228062099</v>
      </c>
      <c r="T10" s="69">
        <v>2.6019724799443601E-4</v>
      </c>
      <c r="U10" s="69">
        <v>4.4045729761985299</v>
      </c>
      <c r="V10" s="69">
        <v>5.4251482999152403E-2</v>
      </c>
      <c r="W10" s="69">
        <v>4.8294245166442797</v>
      </c>
      <c r="X10" s="69">
        <v>1.9942031784412</v>
      </c>
      <c r="Y10" s="69">
        <v>0.52973772448826395</v>
      </c>
      <c r="Z10" s="69">
        <v>2.3717882554231701E-2</v>
      </c>
      <c r="AA10" s="69">
        <v>2.9247418370735199</v>
      </c>
      <c r="AB10" s="69">
        <v>6.0022321758541297</v>
      </c>
      <c r="AC10" s="69">
        <v>5.0586396957938904</v>
      </c>
      <c r="AD10" s="69">
        <v>0.45224410039884799</v>
      </c>
      <c r="AE10" s="69">
        <v>0.73091851047387102</v>
      </c>
      <c r="AF10" s="69">
        <v>9.3870459363126504E-2</v>
      </c>
      <c r="AG10" s="69">
        <v>1.9326347372716699</v>
      </c>
      <c r="AH10" s="69">
        <v>23.721825247127398</v>
      </c>
      <c r="AI10" s="69">
        <v>1.1207094124350701</v>
      </c>
      <c r="AJ10" s="69">
        <v>0.736356192858867</v>
      </c>
      <c r="AK10" s="69">
        <v>0.72299410487292104</v>
      </c>
      <c r="AL10" s="69">
        <v>0.214349056800925</v>
      </c>
      <c r="AM10" s="69">
        <v>11.9924339457671</v>
      </c>
      <c r="AN10" s="69">
        <v>0.32788314736037399</v>
      </c>
      <c r="AO10" s="69">
        <v>0.51421751646610203</v>
      </c>
      <c r="AP10" s="69">
        <v>6.8565592284063399</v>
      </c>
      <c r="AQ10" s="69">
        <v>13.288360566483901</v>
      </c>
      <c r="AR10" s="69">
        <v>8.95641915753232</v>
      </c>
      <c r="AS10" s="69">
        <v>0.60732737012967797</v>
      </c>
      <c r="AT10" s="69">
        <v>0</v>
      </c>
      <c r="AU10" s="69">
        <v>0.67742159249186495</v>
      </c>
      <c r="AV10" s="69">
        <v>4.2515702230516497E-2</v>
      </c>
      <c r="AW10" s="69">
        <v>18.1699744584322</v>
      </c>
      <c r="AX10" s="69">
        <v>0</v>
      </c>
      <c r="AY10" s="69">
        <v>1.5970730936967599E-4</v>
      </c>
      <c r="AZ10" s="69">
        <v>4.79310292301382E-2</v>
      </c>
      <c r="BA10" s="69">
        <v>0</v>
      </c>
      <c r="BB10" s="69">
        <v>4.4831229910754899E-3</v>
      </c>
      <c r="BC10" s="69">
        <v>6.9262121469648302E-2</v>
      </c>
      <c r="BD10" s="69">
        <v>0</v>
      </c>
      <c r="BE10" s="69">
        <v>0.301849125480604</v>
      </c>
      <c r="BF10" s="69">
        <v>0.30192561487020297</v>
      </c>
      <c r="BG10" s="69">
        <v>1.7242733424607199</v>
      </c>
      <c r="BH10" s="69">
        <v>1.4688209485708199</v>
      </c>
      <c r="BI10" s="69">
        <v>4.23754321673758E-3</v>
      </c>
      <c r="BJ10" s="69">
        <v>1.3511240828823601</v>
      </c>
      <c r="BK10" s="69">
        <v>0.42135635254611498</v>
      </c>
      <c r="BL10" s="69">
        <v>0</v>
      </c>
      <c r="BM10" s="69">
        <v>0.34674835319623598</v>
      </c>
      <c r="BN10" s="69">
        <v>0.2472863662908</v>
      </c>
      <c r="BO10" s="69">
        <v>0</v>
      </c>
      <c r="BP10" s="69">
        <v>2.54741995215173</v>
      </c>
      <c r="BQ10" s="70">
        <v>0</v>
      </c>
      <c r="BR10" s="71">
        <v>178.954227620127</v>
      </c>
      <c r="BS10" s="72">
        <v>0.79120839400428</v>
      </c>
      <c r="BT10" s="73">
        <v>0</v>
      </c>
      <c r="BU10" s="73">
        <v>0</v>
      </c>
      <c r="BV10" s="73">
        <v>304.77344674154398</v>
      </c>
      <c r="BW10" s="73">
        <v>45.426060133102197</v>
      </c>
      <c r="BX10" s="74">
        <v>0</v>
      </c>
      <c r="BY10" s="71">
        <v>350.99071526864998</v>
      </c>
      <c r="BZ10" s="75">
        <v>529.94494288877695</v>
      </c>
    </row>
    <row r="11" spans="1:78" ht="15" customHeight="1" x14ac:dyDescent="0.3">
      <c r="A11" s="19" t="s">
        <v>29</v>
      </c>
      <c r="B11" s="11" t="s">
        <v>97</v>
      </c>
      <c r="C11" s="68">
        <v>0</v>
      </c>
      <c r="D11" s="69">
        <v>1.7857873877544998E-2</v>
      </c>
      <c r="E11" s="69">
        <v>5.4963865240544698E-3</v>
      </c>
      <c r="F11" s="69">
        <v>2.48137113772985E-2</v>
      </c>
      <c r="G11" s="69">
        <v>3.7314209331543502</v>
      </c>
      <c r="H11" s="69">
        <v>1459.5767737353899</v>
      </c>
      <c r="I11" s="69">
        <v>22.630882480095501</v>
      </c>
      <c r="J11" s="69">
        <v>0.27568632122624098</v>
      </c>
      <c r="K11" s="69">
        <v>0</v>
      </c>
      <c r="L11" s="69">
        <v>0.48597201231492099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0.12435542519989</v>
      </c>
      <c r="S11" s="69">
        <v>0.24635042311962899</v>
      </c>
      <c r="T11" s="69">
        <v>0.245374244196948</v>
      </c>
      <c r="U11" s="69">
        <v>0</v>
      </c>
      <c r="V11" s="69">
        <v>0</v>
      </c>
      <c r="W11" s="69">
        <v>2.2868450050212898E-2</v>
      </c>
      <c r="X11" s="69">
        <v>0.152789545507858</v>
      </c>
      <c r="Y11" s="69">
        <v>0</v>
      </c>
      <c r="Z11" s="69">
        <v>6.7392627449664698E-3</v>
      </c>
      <c r="AA11" s="69">
        <v>0.106757059449473</v>
      </c>
      <c r="AB11" s="69">
        <v>76.775247842840798</v>
      </c>
      <c r="AC11" s="69">
        <v>11047.2373966102</v>
      </c>
      <c r="AD11" s="69">
        <v>33.510996255862302</v>
      </c>
      <c r="AE11" s="69">
        <v>2.0471870876240601</v>
      </c>
      <c r="AF11" s="69">
        <v>0.14399562699544899</v>
      </c>
      <c r="AG11" s="69">
        <v>5.50346960488248</v>
      </c>
      <c r="AH11" s="69">
        <v>10.2134004587937</v>
      </c>
      <c r="AI11" s="69">
        <v>0.85244175542308798</v>
      </c>
      <c r="AJ11" s="69">
        <v>2.2668045508783199</v>
      </c>
      <c r="AK11" s="69">
        <v>0.82445058593472798</v>
      </c>
      <c r="AL11" s="69">
        <v>1.68544033960605</v>
      </c>
      <c r="AM11" s="69">
        <v>4.98395098685027</v>
      </c>
      <c r="AN11" s="69">
        <v>2.01193651974278E-2</v>
      </c>
      <c r="AO11" s="69">
        <v>0.12377100472674001</v>
      </c>
      <c r="AP11" s="69">
        <v>2.6754505823207699</v>
      </c>
      <c r="AQ11" s="69">
        <v>0.50037420346866801</v>
      </c>
      <c r="AR11" s="69">
        <v>3.4852364358787899E-2</v>
      </c>
      <c r="AS11" s="69">
        <v>0.19244880168369299</v>
      </c>
      <c r="AT11" s="69">
        <v>0</v>
      </c>
      <c r="AU11" s="69">
        <v>0.187224161920378</v>
      </c>
      <c r="AV11" s="69">
        <v>2.73470513606844E-3</v>
      </c>
      <c r="AW11" s="69">
        <v>0</v>
      </c>
      <c r="AX11" s="69">
        <v>0</v>
      </c>
      <c r="AY11" s="69">
        <v>0</v>
      </c>
      <c r="AZ11" s="69">
        <v>1.9330369825449199E-2</v>
      </c>
      <c r="BA11" s="69">
        <v>0</v>
      </c>
      <c r="BB11" s="69">
        <v>1.82478875516138E-3</v>
      </c>
      <c r="BC11" s="69">
        <v>1.97075427800746E-2</v>
      </c>
      <c r="BD11" s="69">
        <v>0</v>
      </c>
      <c r="BE11" s="69">
        <v>1.5369172266631299</v>
      </c>
      <c r="BF11" s="69">
        <v>0</v>
      </c>
      <c r="BG11" s="69">
        <v>0</v>
      </c>
      <c r="BH11" s="69">
        <v>0.59274464324242604</v>
      </c>
      <c r="BI11" s="69">
        <v>0</v>
      </c>
      <c r="BJ11" s="69">
        <v>3.5817796749509301E-2</v>
      </c>
      <c r="BK11" s="69">
        <v>3.7254899685440599E-3</v>
      </c>
      <c r="BL11" s="69">
        <v>0</v>
      </c>
      <c r="BM11" s="69">
        <v>8.13499131768846E-2</v>
      </c>
      <c r="BN11" s="69">
        <v>0</v>
      </c>
      <c r="BO11" s="69">
        <v>0</v>
      </c>
      <c r="BP11" s="69">
        <v>0</v>
      </c>
      <c r="BQ11" s="70">
        <v>0</v>
      </c>
      <c r="BR11" s="71">
        <v>12679.72731253</v>
      </c>
      <c r="BS11" s="72">
        <v>14592.6884177385</v>
      </c>
      <c r="BT11" s="73">
        <v>0</v>
      </c>
      <c r="BU11" s="73">
        <v>0</v>
      </c>
      <c r="BV11" s="73">
        <v>2.3987581059160901</v>
      </c>
      <c r="BW11" s="73">
        <v>18.440832887166401</v>
      </c>
      <c r="BX11" s="74">
        <v>0</v>
      </c>
      <c r="BY11" s="71">
        <v>14613.5280087316</v>
      </c>
      <c r="BZ11" s="75">
        <v>27293.2553212616</v>
      </c>
    </row>
    <row r="12" spans="1:78" ht="15" customHeight="1" x14ac:dyDescent="0.3">
      <c r="A12" s="19" t="s">
        <v>30</v>
      </c>
      <c r="B12" s="11" t="s">
        <v>98</v>
      </c>
      <c r="C12" s="68">
        <v>0.74714040484972</v>
      </c>
      <c r="D12" s="69">
        <v>0.337671207516967</v>
      </c>
      <c r="E12" s="69">
        <v>9.2135935521789804E-3</v>
      </c>
      <c r="F12" s="69">
        <v>8.6329977620236507E-3</v>
      </c>
      <c r="G12" s="69">
        <v>27.154171948973101</v>
      </c>
      <c r="H12" s="69">
        <v>0.127249654999391</v>
      </c>
      <c r="I12" s="69">
        <v>387.393809520795</v>
      </c>
      <c r="J12" s="69">
        <v>2.4390131007309801</v>
      </c>
      <c r="K12" s="69">
        <v>3.9743274715111299E-2</v>
      </c>
      <c r="L12" s="69">
        <v>4.5248796736018804</v>
      </c>
      <c r="M12" s="69">
        <v>0.248436764530755</v>
      </c>
      <c r="N12" s="69">
        <v>0</v>
      </c>
      <c r="O12" s="69">
        <v>6.8484736335603898E-3</v>
      </c>
      <c r="P12" s="69">
        <v>0</v>
      </c>
      <c r="Q12" s="69">
        <v>4.6421356095929902E-3</v>
      </c>
      <c r="R12" s="69">
        <v>7.6762608148080299E-4</v>
      </c>
      <c r="S12" s="69">
        <v>2.4069243341730502</v>
      </c>
      <c r="T12" s="69">
        <v>2.1711063918047802</v>
      </c>
      <c r="U12" s="69">
        <v>0</v>
      </c>
      <c r="V12" s="69">
        <v>9.3457673773843805E-4</v>
      </c>
      <c r="W12" s="69">
        <v>1.4678096734619399</v>
      </c>
      <c r="X12" s="69">
        <v>1.50741683501543</v>
      </c>
      <c r="Y12" s="69">
        <v>7.3963138489614305E-2</v>
      </c>
      <c r="Z12" s="69">
        <v>7.3817370188198395E-2</v>
      </c>
      <c r="AA12" s="69">
        <v>0.84930200459786398</v>
      </c>
      <c r="AB12" s="69">
        <v>18.996452999587401</v>
      </c>
      <c r="AC12" s="69">
        <v>19.571764032107101</v>
      </c>
      <c r="AD12" s="69">
        <v>2963.1162907717899</v>
      </c>
      <c r="AE12" s="69">
        <v>18.031300170139598</v>
      </c>
      <c r="AF12" s="69">
        <v>1.0712161859490701</v>
      </c>
      <c r="AG12" s="69">
        <v>46.705879512216001</v>
      </c>
      <c r="AH12" s="69">
        <v>7.5806364450009696</v>
      </c>
      <c r="AI12" s="69">
        <v>5.0315440036989596</v>
      </c>
      <c r="AJ12" s="69">
        <v>20.047238228880801</v>
      </c>
      <c r="AK12" s="69">
        <v>5.3057624598154298</v>
      </c>
      <c r="AL12" s="69">
        <v>14.9828668418362</v>
      </c>
      <c r="AM12" s="69">
        <v>2.6316972834256598</v>
      </c>
      <c r="AN12" s="69">
        <v>9.6190939530395494E-2</v>
      </c>
      <c r="AO12" s="69">
        <v>0.69131771943614795</v>
      </c>
      <c r="AP12" s="69">
        <v>14.1263532682462</v>
      </c>
      <c r="AQ12" s="69">
        <v>0.14839799973787501</v>
      </c>
      <c r="AR12" s="69">
        <v>9.9553609017308795E-2</v>
      </c>
      <c r="AS12" s="69">
        <v>1.1879555659487201E-3</v>
      </c>
      <c r="AT12" s="69">
        <v>0</v>
      </c>
      <c r="AU12" s="69">
        <v>1.1557047032122101E-3</v>
      </c>
      <c r="AV12" s="69">
        <v>1.55335500499758E-2</v>
      </c>
      <c r="AW12" s="69">
        <v>5.6460171694669603E-2</v>
      </c>
      <c r="AX12" s="69">
        <v>0</v>
      </c>
      <c r="AY12" s="69">
        <v>0</v>
      </c>
      <c r="AZ12" s="69">
        <v>1.1932327052746401E-4</v>
      </c>
      <c r="BA12" s="69">
        <v>0</v>
      </c>
      <c r="BB12" s="69">
        <v>1.12641281182801E-5</v>
      </c>
      <c r="BC12" s="69">
        <v>0.251379365517794</v>
      </c>
      <c r="BD12" s="69">
        <v>0</v>
      </c>
      <c r="BE12" s="69">
        <v>4.9283787680411497E-4</v>
      </c>
      <c r="BF12" s="69">
        <v>0</v>
      </c>
      <c r="BG12" s="69">
        <v>0</v>
      </c>
      <c r="BH12" s="69">
        <v>1.1045722318758999E-2</v>
      </c>
      <c r="BI12" s="69">
        <v>0</v>
      </c>
      <c r="BJ12" s="69">
        <v>8.7360098207887302E-2</v>
      </c>
      <c r="BK12" s="69">
        <v>2.9287402800352701E-2</v>
      </c>
      <c r="BL12" s="69">
        <v>0</v>
      </c>
      <c r="BM12" s="69">
        <v>4.22832026841473E-2</v>
      </c>
      <c r="BN12" s="69">
        <v>4.5462005738244798E-2</v>
      </c>
      <c r="BO12" s="69">
        <v>0</v>
      </c>
      <c r="BP12" s="69">
        <v>3.03355654033153E-2</v>
      </c>
      <c r="BQ12" s="70">
        <v>0</v>
      </c>
      <c r="BR12" s="71">
        <v>3570.4000713421901</v>
      </c>
      <c r="BS12" s="72">
        <v>3.4261089821828898</v>
      </c>
      <c r="BT12" s="73">
        <v>0</v>
      </c>
      <c r="BU12" s="73">
        <v>0</v>
      </c>
      <c r="BV12" s="73">
        <v>5.2000730820066199</v>
      </c>
      <c r="BW12" s="73">
        <v>0.113832301772632</v>
      </c>
      <c r="BX12" s="74">
        <v>0</v>
      </c>
      <c r="BY12" s="71">
        <v>8.7400143659621499</v>
      </c>
      <c r="BZ12" s="75">
        <v>3579.1400857081599</v>
      </c>
    </row>
    <row r="13" spans="1:78" ht="15" customHeight="1" x14ac:dyDescent="0.3">
      <c r="A13" s="19" t="s">
        <v>31</v>
      </c>
      <c r="B13" s="11" t="s">
        <v>99</v>
      </c>
      <c r="C13" s="68">
        <v>9.3738174955700195</v>
      </c>
      <c r="D13" s="69">
        <v>848.03292390278102</v>
      </c>
      <c r="E13" s="69">
        <v>7.2762008897793597</v>
      </c>
      <c r="F13" s="69">
        <v>1.8857397734025201</v>
      </c>
      <c r="G13" s="69">
        <v>2.1242425590009701</v>
      </c>
      <c r="H13" s="69">
        <v>1.5004728169758701</v>
      </c>
      <c r="I13" s="69">
        <v>0.27586557165943698</v>
      </c>
      <c r="J13" s="69">
        <v>5225.0874292846702</v>
      </c>
      <c r="K13" s="69">
        <v>6.1818891308412401E-2</v>
      </c>
      <c r="L13" s="69">
        <v>670.30020211906196</v>
      </c>
      <c r="M13" s="69">
        <v>12.3324859207477</v>
      </c>
      <c r="N13" s="69">
        <v>4.3616288957296096E-3</v>
      </c>
      <c r="O13" s="69">
        <v>0.88985539316272</v>
      </c>
      <c r="P13" s="69">
        <v>0.55456662940832502</v>
      </c>
      <c r="Q13" s="69">
        <v>152.56139446028499</v>
      </c>
      <c r="R13" s="69">
        <v>0.88556782312917204</v>
      </c>
      <c r="S13" s="69">
        <v>3.7541522817309501</v>
      </c>
      <c r="T13" s="69">
        <v>0.16102361896481801</v>
      </c>
      <c r="U13" s="69">
        <v>0.44293010269449001</v>
      </c>
      <c r="V13" s="69">
        <v>270.30040625240702</v>
      </c>
      <c r="W13" s="69">
        <v>12.537175049696099</v>
      </c>
      <c r="X13" s="69">
        <v>13.4469388061503</v>
      </c>
      <c r="Y13" s="69">
        <v>931.19525044162401</v>
      </c>
      <c r="Z13" s="69">
        <v>4.6251210722449496</v>
      </c>
      <c r="AA13" s="69">
        <v>2.7799134508949401</v>
      </c>
      <c r="AB13" s="69">
        <v>0.584672230534382</v>
      </c>
      <c r="AC13" s="69">
        <v>1.00609929279373</v>
      </c>
      <c r="AD13" s="69">
        <v>0.38959100341756497</v>
      </c>
      <c r="AE13" s="69">
        <v>26.7689741787066</v>
      </c>
      <c r="AF13" s="69">
        <v>0.21317606046430199</v>
      </c>
      <c r="AG13" s="69">
        <v>0.69573701324965997</v>
      </c>
      <c r="AH13" s="69">
        <v>1.5171098434450501</v>
      </c>
      <c r="AI13" s="69">
        <v>0.90807529900628903</v>
      </c>
      <c r="AJ13" s="69">
        <v>0.43905045474900201</v>
      </c>
      <c r="AK13" s="69">
        <v>0.21919988450880701</v>
      </c>
      <c r="AL13" s="69">
        <v>1.09526320764775</v>
      </c>
      <c r="AM13" s="69">
        <v>0.97549580458273599</v>
      </c>
      <c r="AN13" s="69">
        <v>0.32695747395163399</v>
      </c>
      <c r="AO13" s="69">
        <v>0.45574500047897698</v>
      </c>
      <c r="AP13" s="69">
        <v>4.4583411864756002</v>
      </c>
      <c r="AQ13" s="69">
        <v>68.680021535744402</v>
      </c>
      <c r="AR13" s="69">
        <v>0.12327423175869399</v>
      </c>
      <c r="AS13" s="69">
        <v>4.9452901323874802E-2</v>
      </c>
      <c r="AT13" s="69">
        <v>2.3668291623975001E-2</v>
      </c>
      <c r="AU13" s="69">
        <v>0.342363754413262</v>
      </c>
      <c r="AV13" s="69">
        <v>72.641966746945997</v>
      </c>
      <c r="AW13" s="69">
        <v>3255.3470348328101</v>
      </c>
      <c r="AX13" s="69">
        <v>7.25073981283124E-4</v>
      </c>
      <c r="AY13" s="69">
        <v>2.61121695330538E-2</v>
      </c>
      <c r="AZ13" s="69">
        <v>0.25312753518863501</v>
      </c>
      <c r="BA13" s="69">
        <v>3.3834803670657998E-2</v>
      </c>
      <c r="BB13" s="69">
        <v>0.21848921210703001</v>
      </c>
      <c r="BC13" s="69">
        <v>0.16667315188495099</v>
      </c>
      <c r="BD13" s="69">
        <v>0.2186744809366</v>
      </c>
      <c r="BE13" s="69">
        <v>0.140656276014297</v>
      </c>
      <c r="BF13" s="69">
        <v>0.65855121271629202</v>
      </c>
      <c r="BG13" s="69">
        <v>0.180309704649119</v>
      </c>
      <c r="BH13" s="69">
        <v>0.38198883154162699</v>
      </c>
      <c r="BI13" s="69">
        <v>4.1905512558031002E-2</v>
      </c>
      <c r="BJ13" s="69">
        <v>342.22824563863099</v>
      </c>
      <c r="BK13" s="69">
        <v>153.08342050911</v>
      </c>
      <c r="BL13" s="69">
        <v>24.981901199369901</v>
      </c>
      <c r="BM13" s="69">
        <v>220.28463035032701</v>
      </c>
      <c r="BN13" s="69">
        <v>84.4954316545453</v>
      </c>
      <c r="BO13" s="69">
        <v>0.15741645926777501</v>
      </c>
      <c r="BP13" s="69">
        <v>21.3430232440653</v>
      </c>
      <c r="BQ13" s="70">
        <v>0</v>
      </c>
      <c r="BR13" s="71">
        <v>12458.546243485</v>
      </c>
      <c r="BS13" s="72">
        <v>96.705982154512697</v>
      </c>
      <c r="BT13" s="73">
        <v>24.2885860526961</v>
      </c>
      <c r="BU13" s="73">
        <v>0</v>
      </c>
      <c r="BV13" s="73">
        <v>85827.156067582197</v>
      </c>
      <c r="BW13" s="73">
        <v>2.2401490268169502</v>
      </c>
      <c r="BX13" s="74">
        <v>0</v>
      </c>
      <c r="BY13" s="71">
        <v>85950.390784816205</v>
      </c>
      <c r="BZ13" s="75">
        <v>98408.937028301196</v>
      </c>
    </row>
    <row r="14" spans="1:78" ht="15" customHeight="1" x14ac:dyDescent="0.3">
      <c r="A14" s="19" t="s">
        <v>32</v>
      </c>
      <c r="B14" s="11" t="s">
        <v>100</v>
      </c>
      <c r="C14" s="68">
        <v>12.512739410217099</v>
      </c>
      <c r="D14" s="69">
        <v>50.603866059199497</v>
      </c>
      <c r="E14" s="69">
        <v>1.99782003790899E-2</v>
      </c>
      <c r="F14" s="69">
        <v>9.44747344029742E-2</v>
      </c>
      <c r="G14" s="69">
        <v>42.173694854739601</v>
      </c>
      <c r="H14" s="69">
        <v>14.0501460903149</v>
      </c>
      <c r="I14" s="69">
        <v>1.3096509147300801</v>
      </c>
      <c r="J14" s="69">
        <v>106.338282436406</v>
      </c>
      <c r="K14" s="69">
        <v>524.79816047517295</v>
      </c>
      <c r="L14" s="69">
        <v>1368.0490372741599</v>
      </c>
      <c r="M14" s="69">
        <v>292.16980618205702</v>
      </c>
      <c r="N14" s="69">
        <v>0</v>
      </c>
      <c r="O14" s="69">
        <v>6.6406806524496695E-2</v>
      </c>
      <c r="P14" s="69">
        <v>5.4015287807245897E-2</v>
      </c>
      <c r="Q14" s="69">
        <v>0</v>
      </c>
      <c r="R14" s="69">
        <v>3.7432545906044701</v>
      </c>
      <c r="S14" s="69">
        <v>0.30211086589275099</v>
      </c>
      <c r="T14" s="69">
        <v>0</v>
      </c>
      <c r="U14" s="69">
        <v>903.08827845162898</v>
      </c>
      <c r="V14" s="69">
        <v>411.597706639335</v>
      </c>
      <c r="W14" s="69">
        <v>16.094930216721</v>
      </c>
      <c r="X14" s="69">
        <v>141.99492530983801</v>
      </c>
      <c r="Y14" s="69">
        <v>73.989922721367805</v>
      </c>
      <c r="Z14" s="69">
        <v>33.4619789771127</v>
      </c>
      <c r="AA14" s="69">
        <v>0.12646358006983399</v>
      </c>
      <c r="AB14" s="69">
        <v>0.100685389193214</v>
      </c>
      <c r="AC14" s="69">
        <v>4.54245524072188E-2</v>
      </c>
      <c r="AD14" s="69">
        <v>0.12818994606178699</v>
      </c>
      <c r="AE14" s="69">
        <v>2.9400794514750199</v>
      </c>
      <c r="AF14" s="69">
        <v>0.122875591567675</v>
      </c>
      <c r="AG14" s="69">
        <v>0.81394043139423</v>
      </c>
      <c r="AH14" s="69">
        <v>32.765560091351198</v>
      </c>
      <c r="AI14" s="69">
        <v>1.48775069124507</v>
      </c>
      <c r="AJ14" s="69">
        <v>4.5804437184649202E-2</v>
      </c>
      <c r="AK14" s="69">
        <v>0.79579959982028703</v>
      </c>
      <c r="AL14" s="69">
        <v>5.3004522853530699E-3</v>
      </c>
      <c r="AM14" s="69">
        <v>16.4003630445387</v>
      </c>
      <c r="AN14" s="69">
        <v>0.62817545877547998</v>
      </c>
      <c r="AO14" s="69">
        <v>0.268303588672755</v>
      </c>
      <c r="AP14" s="69">
        <v>24.598447714352702</v>
      </c>
      <c r="AQ14" s="69">
        <v>75.623736112438095</v>
      </c>
      <c r="AR14" s="69">
        <v>56.608635053131003</v>
      </c>
      <c r="AS14" s="69">
        <v>0.68263115337705804</v>
      </c>
      <c r="AT14" s="69">
        <v>1.4006372837168899</v>
      </c>
      <c r="AU14" s="69">
        <v>4.1839553097562403</v>
      </c>
      <c r="AV14" s="69">
        <v>0.15002005280321201</v>
      </c>
      <c r="AW14" s="69">
        <v>384.09953146377097</v>
      </c>
      <c r="AX14" s="69">
        <v>9.2028620701319497E-3</v>
      </c>
      <c r="AY14" s="69">
        <v>6.7622617238703303E-2</v>
      </c>
      <c r="AZ14" s="69">
        <v>1.3891332287730001</v>
      </c>
      <c r="BA14" s="69">
        <v>3.74401803256176</v>
      </c>
      <c r="BB14" s="69">
        <v>5.3929327961635698</v>
      </c>
      <c r="BC14" s="69">
        <v>3.18658481829091E-3</v>
      </c>
      <c r="BD14" s="69">
        <v>7.7094853478305101</v>
      </c>
      <c r="BE14" s="69">
        <v>8.9530302371222508</v>
      </c>
      <c r="BF14" s="69">
        <v>4.4688795921268101</v>
      </c>
      <c r="BG14" s="69">
        <v>7.3119558824266297</v>
      </c>
      <c r="BH14" s="69">
        <v>11.388484724071899</v>
      </c>
      <c r="BI14" s="69">
        <v>3.9395469689876599</v>
      </c>
      <c r="BJ14" s="69">
        <v>54.303303076874499</v>
      </c>
      <c r="BK14" s="69">
        <v>19.730110569073101</v>
      </c>
      <c r="BL14" s="69">
        <v>1.72294883074951</v>
      </c>
      <c r="BM14" s="69">
        <v>22.9748676105378</v>
      </c>
      <c r="BN14" s="69">
        <v>9.1805328455793909</v>
      </c>
      <c r="BO14" s="69">
        <v>0.24088743003707999</v>
      </c>
      <c r="BP14" s="69">
        <v>15.744846819651301</v>
      </c>
      <c r="BQ14" s="70">
        <v>0</v>
      </c>
      <c r="BR14" s="71">
        <v>4778.8106530046998</v>
      </c>
      <c r="BS14" s="72">
        <v>1556.9028450427199</v>
      </c>
      <c r="BT14" s="73">
        <v>1.01155512983009E-2</v>
      </c>
      <c r="BU14" s="73">
        <v>0</v>
      </c>
      <c r="BV14" s="73">
        <v>6798.1584678892896</v>
      </c>
      <c r="BW14" s="73">
        <v>64.429082803309697</v>
      </c>
      <c r="BX14" s="74">
        <v>0</v>
      </c>
      <c r="BY14" s="71">
        <v>8419.5005112866093</v>
      </c>
      <c r="BZ14" s="75">
        <v>13198.311164291301</v>
      </c>
    </row>
    <row r="15" spans="1:78" ht="15" customHeight="1" x14ac:dyDescent="0.3">
      <c r="A15" s="19" t="s">
        <v>33</v>
      </c>
      <c r="B15" s="11" t="s">
        <v>101</v>
      </c>
      <c r="C15" s="68">
        <v>535.47954574950802</v>
      </c>
      <c r="D15" s="69">
        <v>4595.7879406622797</v>
      </c>
      <c r="E15" s="69">
        <v>349.746070198631</v>
      </c>
      <c r="F15" s="69">
        <v>41.407308268384099</v>
      </c>
      <c r="G15" s="69">
        <v>35.573935120236101</v>
      </c>
      <c r="H15" s="69">
        <v>15.3496015280581</v>
      </c>
      <c r="I15" s="69">
        <v>3.2889069162258102</v>
      </c>
      <c r="J15" s="69">
        <v>5145.1467986756197</v>
      </c>
      <c r="K15" s="69">
        <v>7.4238811134749403</v>
      </c>
      <c r="L15" s="69">
        <v>6136.1092228044599</v>
      </c>
      <c r="M15" s="69">
        <v>726.98425167847199</v>
      </c>
      <c r="N15" s="69">
        <v>0.19018667524931901</v>
      </c>
      <c r="O15" s="69">
        <v>8.1468557088298201</v>
      </c>
      <c r="P15" s="69">
        <v>7.1384098348516698</v>
      </c>
      <c r="Q15" s="69">
        <v>6.4264577185137099</v>
      </c>
      <c r="R15" s="69">
        <v>14.3574180289819</v>
      </c>
      <c r="S15" s="69">
        <v>307.03445895476301</v>
      </c>
      <c r="T15" s="69">
        <v>3.04263568740358</v>
      </c>
      <c r="U15" s="69">
        <v>327.084341216849</v>
      </c>
      <c r="V15" s="69">
        <v>240.40714841305299</v>
      </c>
      <c r="W15" s="69">
        <v>140.87408416816501</v>
      </c>
      <c r="X15" s="69">
        <v>267.32454784809602</v>
      </c>
      <c r="Y15" s="69">
        <v>129.33179459855501</v>
      </c>
      <c r="Z15" s="69">
        <v>45.455946622582402</v>
      </c>
      <c r="AA15" s="69">
        <v>30.4191146188362</v>
      </c>
      <c r="AB15" s="69">
        <v>16.1596425113209</v>
      </c>
      <c r="AC15" s="69">
        <v>15.7096503540721</v>
      </c>
      <c r="AD15" s="69">
        <v>4.2878790136896496</v>
      </c>
      <c r="AE15" s="69">
        <v>24.593440220351798</v>
      </c>
      <c r="AF15" s="69">
        <v>1.3290011787018201</v>
      </c>
      <c r="AG15" s="69">
        <v>6.1743351619210802</v>
      </c>
      <c r="AH15" s="69">
        <v>16.1112308816287</v>
      </c>
      <c r="AI15" s="69">
        <v>8.21295125630553</v>
      </c>
      <c r="AJ15" s="69">
        <v>6.3703412324517297</v>
      </c>
      <c r="AK15" s="69">
        <v>1.5775534722942</v>
      </c>
      <c r="AL15" s="69">
        <v>13.7187207072704</v>
      </c>
      <c r="AM15" s="69">
        <v>8.6427864490340003</v>
      </c>
      <c r="AN15" s="69">
        <v>2.0871395634987899</v>
      </c>
      <c r="AO15" s="69">
        <v>6.19168714688485</v>
      </c>
      <c r="AP15" s="69">
        <v>45.421815518305699</v>
      </c>
      <c r="AQ15" s="69">
        <v>728.90125605863705</v>
      </c>
      <c r="AR15" s="69">
        <v>21.9507173168818</v>
      </c>
      <c r="AS15" s="69">
        <v>0.66977948002230203</v>
      </c>
      <c r="AT15" s="69">
        <v>3.3895743421887499</v>
      </c>
      <c r="AU15" s="69">
        <v>8.4393289939667397</v>
      </c>
      <c r="AV15" s="69">
        <v>51.556644664581498</v>
      </c>
      <c r="AW15" s="69">
        <v>3212.8424378497398</v>
      </c>
      <c r="AX15" s="69">
        <v>0.17648551636698701</v>
      </c>
      <c r="AY15" s="69">
        <v>0.32878950378097299</v>
      </c>
      <c r="AZ15" s="69">
        <v>6.3822237382620202</v>
      </c>
      <c r="BA15" s="69">
        <v>2.0122984044964101</v>
      </c>
      <c r="BB15" s="69">
        <v>20.657576017037901</v>
      </c>
      <c r="BC15" s="69">
        <v>5.9704904700591799</v>
      </c>
      <c r="BD15" s="69">
        <v>9.5559838104392494</v>
      </c>
      <c r="BE15" s="69">
        <v>5.1382057704297797</v>
      </c>
      <c r="BF15" s="69">
        <v>16.560427860685898</v>
      </c>
      <c r="BG15" s="69">
        <v>5.2942022975709797</v>
      </c>
      <c r="BH15" s="69">
        <v>8.3923685299340107</v>
      </c>
      <c r="BI15" s="69">
        <v>1.6086313845486899</v>
      </c>
      <c r="BJ15" s="69">
        <v>360.92577677446502</v>
      </c>
      <c r="BK15" s="69">
        <v>272.922383517431</v>
      </c>
      <c r="BL15" s="69">
        <v>37.722070059769401</v>
      </c>
      <c r="BM15" s="69">
        <v>743.32013893794101</v>
      </c>
      <c r="BN15" s="69">
        <v>193.67778764648901</v>
      </c>
      <c r="BO15" s="69">
        <v>4.3619435025946602</v>
      </c>
      <c r="BP15" s="69">
        <v>80.051412815927705</v>
      </c>
      <c r="BQ15" s="70">
        <v>0</v>
      </c>
      <c r="BR15" s="71">
        <v>25098.927972742102</v>
      </c>
      <c r="BS15" s="72">
        <v>776.73935382454397</v>
      </c>
      <c r="BT15" s="73">
        <v>33.828250581653698</v>
      </c>
      <c r="BU15" s="73">
        <v>0</v>
      </c>
      <c r="BV15" s="73">
        <v>106025.77428</v>
      </c>
      <c r="BW15" s="73">
        <v>21.884729412923601</v>
      </c>
      <c r="BX15" s="74">
        <v>0</v>
      </c>
      <c r="BY15" s="71">
        <v>106858.226613819</v>
      </c>
      <c r="BZ15" s="75">
        <v>131957.154586561</v>
      </c>
    </row>
    <row r="16" spans="1:78" ht="15" customHeight="1" x14ac:dyDescent="0.3">
      <c r="A16" s="19" t="s">
        <v>34</v>
      </c>
      <c r="B16" s="11" t="s">
        <v>102</v>
      </c>
      <c r="C16" s="68">
        <v>2.70280840078917</v>
      </c>
      <c r="D16" s="69">
        <v>1.0949079757148901</v>
      </c>
      <c r="E16" s="69">
        <v>5.2060289012036902E-2</v>
      </c>
      <c r="F16" s="69">
        <v>2.9756847711517702</v>
      </c>
      <c r="G16" s="69">
        <v>3.6089176359695698</v>
      </c>
      <c r="H16" s="69">
        <v>5.25414957969324</v>
      </c>
      <c r="I16" s="69">
        <v>0.68892419097816204</v>
      </c>
      <c r="J16" s="69">
        <v>43.154938033142301</v>
      </c>
      <c r="K16" s="69">
        <v>0.15478501193609601</v>
      </c>
      <c r="L16" s="69">
        <v>17.636265155901601</v>
      </c>
      <c r="M16" s="69">
        <v>1214.1231630136299</v>
      </c>
      <c r="N16" s="69">
        <v>1.22028836642731E-2</v>
      </c>
      <c r="O16" s="69">
        <v>0.22735671698134299</v>
      </c>
      <c r="P16" s="69">
        <v>4.5228656631693398E-2</v>
      </c>
      <c r="Q16" s="69">
        <v>0.122502680950559</v>
      </c>
      <c r="R16" s="69">
        <v>1.73937555788453</v>
      </c>
      <c r="S16" s="69">
        <v>1.2195240903628799</v>
      </c>
      <c r="T16" s="69">
        <v>0.26886138951476601</v>
      </c>
      <c r="U16" s="69">
        <v>3.3628146744087299</v>
      </c>
      <c r="V16" s="69">
        <v>0.56056499672266702</v>
      </c>
      <c r="W16" s="69">
        <v>2.0848016817700898</v>
      </c>
      <c r="X16" s="69">
        <v>5.5748483949787699</v>
      </c>
      <c r="Y16" s="69">
        <v>2.1630191735900701</v>
      </c>
      <c r="Z16" s="69">
        <v>1.40036661797703</v>
      </c>
      <c r="AA16" s="69">
        <v>2.0844364851925898</v>
      </c>
      <c r="AB16" s="69">
        <v>0.98848434540491603</v>
      </c>
      <c r="AC16" s="69">
        <v>1.2713368983615101</v>
      </c>
      <c r="AD16" s="69">
        <v>0.24763343059835399</v>
      </c>
      <c r="AE16" s="69">
        <v>5.8542619304547703</v>
      </c>
      <c r="AF16" s="69">
        <v>0.68051058753223903</v>
      </c>
      <c r="AG16" s="69">
        <v>1.8887876241650901</v>
      </c>
      <c r="AH16" s="69">
        <v>10.4168711129069</v>
      </c>
      <c r="AI16" s="69">
        <v>2.9905669729800799</v>
      </c>
      <c r="AJ16" s="69">
        <v>1.34453332727796</v>
      </c>
      <c r="AK16" s="69">
        <v>0.81803500763557402</v>
      </c>
      <c r="AL16" s="69">
        <v>1.3354800574444201</v>
      </c>
      <c r="AM16" s="69">
        <v>5.8074036447235704</v>
      </c>
      <c r="AN16" s="69">
        <v>0.92765205644941895</v>
      </c>
      <c r="AO16" s="69">
        <v>0.615915184463249</v>
      </c>
      <c r="AP16" s="69">
        <v>16.119568209682299</v>
      </c>
      <c r="AQ16" s="69">
        <v>4.3646232875373299</v>
      </c>
      <c r="AR16" s="69">
        <v>0.231365753154537</v>
      </c>
      <c r="AS16" s="69">
        <v>0.146118534611693</v>
      </c>
      <c r="AT16" s="69">
        <v>0.59804503635935702</v>
      </c>
      <c r="AU16" s="69">
        <v>0.216995791769728</v>
      </c>
      <c r="AV16" s="69">
        <v>95.470815643669098</v>
      </c>
      <c r="AW16" s="69">
        <v>7099.9847531118103</v>
      </c>
      <c r="AX16" s="69">
        <v>0</v>
      </c>
      <c r="AY16" s="69">
        <v>2.7585807982034999E-3</v>
      </c>
      <c r="AZ16" s="69">
        <v>2.9001415982332499E-2</v>
      </c>
      <c r="BA16" s="69">
        <v>1.03572681336562E-2</v>
      </c>
      <c r="BB16" s="69">
        <v>5.3787111494081197</v>
      </c>
      <c r="BC16" s="69">
        <v>0.32650273413731501</v>
      </c>
      <c r="BD16" s="69">
        <v>2.4983757353272001E-2</v>
      </c>
      <c r="BE16" s="69">
        <v>3.3881916617090002E-2</v>
      </c>
      <c r="BF16" s="69">
        <v>3.6153111448664399E-2</v>
      </c>
      <c r="BG16" s="69">
        <v>1.9832806318242101E-2</v>
      </c>
      <c r="BH16" s="69">
        <v>0.87698216651486804</v>
      </c>
      <c r="BI16" s="69">
        <v>8.4130224322295805E-2</v>
      </c>
      <c r="BJ16" s="69">
        <v>13.1480278534777</v>
      </c>
      <c r="BK16" s="69">
        <v>7.9447328477117596</v>
      </c>
      <c r="BL16" s="69">
        <v>1.00937419189797</v>
      </c>
      <c r="BM16" s="69">
        <v>11.9637876601223</v>
      </c>
      <c r="BN16" s="69">
        <v>12.298223202642999</v>
      </c>
      <c r="BO16" s="69">
        <v>4.1066199686174096</v>
      </c>
      <c r="BP16" s="69">
        <v>0.794373996335623</v>
      </c>
      <c r="BQ16" s="70">
        <v>0</v>
      </c>
      <c r="BR16" s="71">
        <v>8622.7207004593802</v>
      </c>
      <c r="BS16" s="72">
        <v>5.2126844337335099</v>
      </c>
      <c r="BT16" s="73">
        <v>0.116483585953608</v>
      </c>
      <c r="BU16" s="73">
        <v>0</v>
      </c>
      <c r="BV16" s="73">
        <v>19351.871824321901</v>
      </c>
      <c r="BW16" s="73">
        <v>16.0879881401241</v>
      </c>
      <c r="BX16" s="74">
        <v>0</v>
      </c>
      <c r="BY16" s="71">
        <v>19373.288980481699</v>
      </c>
      <c r="BZ16" s="75">
        <v>27996.009680941101</v>
      </c>
    </row>
    <row r="17" spans="1:78" ht="15" customHeight="1" x14ac:dyDescent="0.3">
      <c r="A17" s="19" t="s">
        <v>35</v>
      </c>
      <c r="B17" s="11" t="s">
        <v>103</v>
      </c>
      <c r="C17" s="68">
        <v>1.35760405247348</v>
      </c>
      <c r="D17" s="69">
        <v>0.143601101524548</v>
      </c>
      <c r="E17" s="69">
        <v>1.0537916984401799E-2</v>
      </c>
      <c r="F17" s="69">
        <v>1.9912237524992598E-3</v>
      </c>
      <c r="G17" s="69">
        <v>0.287925033514141</v>
      </c>
      <c r="H17" s="69">
        <v>0.339772939908011</v>
      </c>
      <c r="I17" s="69">
        <v>3.2363163456471701E-2</v>
      </c>
      <c r="J17" s="69">
        <v>0.29956919780977198</v>
      </c>
      <c r="K17" s="69">
        <v>7.1192413074175698E-3</v>
      </c>
      <c r="L17" s="69">
        <v>0.33260837673570798</v>
      </c>
      <c r="M17" s="69">
        <v>2.2373116687603601E-2</v>
      </c>
      <c r="N17" s="69">
        <v>469.363249927852</v>
      </c>
      <c r="O17" s="69">
        <v>5.5740628582319797E-2</v>
      </c>
      <c r="P17" s="69">
        <v>2.8156234023409801E-2</v>
      </c>
      <c r="Q17" s="69">
        <v>4.5106473524683902E-2</v>
      </c>
      <c r="R17" s="69">
        <v>0.19477642780395599</v>
      </c>
      <c r="S17" s="69">
        <v>1.1655349225059599</v>
      </c>
      <c r="T17" s="69">
        <v>0.12775412191250299</v>
      </c>
      <c r="U17" s="69">
        <v>1.93235846500849E-2</v>
      </c>
      <c r="V17" s="69">
        <v>1.1105175790281601E-2</v>
      </c>
      <c r="W17" s="69">
        <v>5.1451128784717401E-2</v>
      </c>
      <c r="X17" s="69">
        <v>1.8549218005514199E-2</v>
      </c>
      <c r="Y17" s="69">
        <v>0.13168188756840901</v>
      </c>
      <c r="Z17" s="69">
        <v>8.0778858509149898E-2</v>
      </c>
      <c r="AA17" s="69">
        <v>0.25933031038645599</v>
      </c>
      <c r="AB17" s="69">
        <v>0.18456830705355501</v>
      </c>
      <c r="AC17" s="69">
        <v>2.18777303736656E-3</v>
      </c>
      <c r="AD17" s="69">
        <v>1.8903692436931601E-3</v>
      </c>
      <c r="AE17" s="69">
        <v>0.133831243096592</v>
      </c>
      <c r="AF17" s="69">
        <v>6.6752705764579201E-2</v>
      </c>
      <c r="AG17" s="69">
        <v>5.8004506603949797E-2</v>
      </c>
      <c r="AH17" s="69">
        <v>0.76579654099931904</v>
      </c>
      <c r="AI17" s="69">
        <v>6.22365376886483E-2</v>
      </c>
      <c r="AJ17" s="69">
        <v>6.0816867396749498E-2</v>
      </c>
      <c r="AK17" s="69">
        <v>2.2018920941810901E-2</v>
      </c>
      <c r="AL17" s="69">
        <v>9.8656159547263894E-2</v>
      </c>
      <c r="AM17" s="69">
        <v>0.37781467420131898</v>
      </c>
      <c r="AN17" s="69">
        <v>3.7750079126396101E-3</v>
      </c>
      <c r="AO17" s="69">
        <v>9.0243074485871592E-3</v>
      </c>
      <c r="AP17" s="69">
        <v>0.13376479901379201</v>
      </c>
      <c r="AQ17" s="69">
        <v>0.71446647417193199</v>
      </c>
      <c r="AR17" s="69">
        <v>2.0291082538865999E-2</v>
      </c>
      <c r="AS17" s="69">
        <v>2.1518900404511199E-2</v>
      </c>
      <c r="AT17" s="69">
        <v>6.77045582243423E-4</v>
      </c>
      <c r="AU17" s="69">
        <v>4.3503917346850003E-2</v>
      </c>
      <c r="AV17" s="69">
        <v>1.3409677846806601E-2</v>
      </c>
      <c r="AW17" s="69">
        <v>0.10039258105018201</v>
      </c>
      <c r="AX17" s="69">
        <v>7.2808779045982402E-2</v>
      </c>
      <c r="AY17" s="69">
        <v>1.18070837057243E-2</v>
      </c>
      <c r="AZ17" s="69">
        <v>4.3374002352569996E-3</v>
      </c>
      <c r="BA17" s="69">
        <v>8.48601071101866E-2</v>
      </c>
      <c r="BB17" s="69">
        <v>0.124210195402869</v>
      </c>
      <c r="BC17" s="69">
        <v>2.9690640624212599E-2</v>
      </c>
      <c r="BD17" s="69">
        <v>0.14442078677796699</v>
      </c>
      <c r="BE17" s="69">
        <v>5.0345368074816099E-2</v>
      </c>
      <c r="BF17" s="69">
        <v>6.2574402881392294E-2</v>
      </c>
      <c r="BG17" s="69">
        <v>5.12063500752813E-2</v>
      </c>
      <c r="BH17" s="69">
        <v>0.26838556089367599</v>
      </c>
      <c r="BI17" s="69">
        <v>4.0132528340658599E-3</v>
      </c>
      <c r="BJ17" s="69">
        <v>7.7830221092031193E-2</v>
      </c>
      <c r="BK17" s="69">
        <v>6.1029007110397097E-2</v>
      </c>
      <c r="BL17" s="69">
        <v>4.9743302466473599E-2</v>
      </c>
      <c r="BM17" s="69">
        <v>2.3914186904929399E-2</v>
      </c>
      <c r="BN17" s="69">
        <v>6.6407816939426406E-2</v>
      </c>
      <c r="BO17" s="69">
        <v>1.61469215643346E-3</v>
      </c>
      <c r="BP17" s="69">
        <v>4.8271661447737903E-2</v>
      </c>
      <c r="BQ17" s="70">
        <v>0</v>
      </c>
      <c r="BR17" s="71">
        <v>478.52087347872401</v>
      </c>
      <c r="BS17" s="72">
        <v>7.2017012219926504E-3</v>
      </c>
      <c r="BT17" s="73">
        <v>0</v>
      </c>
      <c r="BU17" s="73">
        <v>0</v>
      </c>
      <c r="BV17" s="73">
        <v>4775.2656857827196</v>
      </c>
      <c r="BW17" s="73">
        <v>1.4798199230442199</v>
      </c>
      <c r="BX17" s="74">
        <v>0</v>
      </c>
      <c r="BY17" s="71">
        <v>4776.7527074069903</v>
      </c>
      <c r="BZ17" s="75">
        <v>5255.2735808857096</v>
      </c>
    </row>
    <row r="18" spans="1:78" ht="15" customHeight="1" x14ac:dyDescent="0.3">
      <c r="A18" s="19" t="s">
        <v>36</v>
      </c>
      <c r="B18" s="11" t="s">
        <v>104</v>
      </c>
      <c r="C18" s="68">
        <v>307.80702379229302</v>
      </c>
      <c r="D18" s="69">
        <v>6.2842196421979599</v>
      </c>
      <c r="E18" s="69">
        <v>0.110014075258621</v>
      </c>
      <c r="F18" s="69">
        <v>59.2406988196878</v>
      </c>
      <c r="G18" s="69">
        <v>30.907311255135198</v>
      </c>
      <c r="H18" s="69">
        <v>2.4245677445363198</v>
      </c>
      <c r="I18" s="69">
        <v>1.36305407939149</v>
      </c>
      <c r="J18" s="69">
        <v>2.0990146645138501</v>
      </c>
      <c r="K18" s="69">
        <v>53.273085230081797</v>
      </c>
      <c r="L18" s="69">
        <v>73.282177807106095</v>
      </c>
      <c r="M18" s="69">
        <v>2.6284659729698601</v>
      </c>
      <c r="N18" s="69">
        <v>0.13053651211311601</v>
      </c>
      <c r="O18" s="69">
        <v>3016.8003976064201</v>
      </c>
      <c r="P18" s="69">
        <v>5023.1709776521502</v>
      </c>
      <c r="Q18" s="69">
        <v>863.07467624529704</v>
      </c>
      <c r="R18" s="69">
        <v>3.0932020993466001</v>
      </c>
      <c r="S18" s="69">
        <v>42.235042280405501</v>
      </c>
      <c r="T18" s="69">
        <v>1.2971505525628999</v>
      </c>
      <c r="U18" s="69">
        <v>0.13759506686692899</v>
      </c>
      <c r="V18" s="69">
        <v>6.4645391044865497E-2</v>
      </c>
      <c r="W18" s="69">
        <v>6.3478155014828301</v>
      </c>
      <c r="X18" s="69">
        <v>11.353664787176699</v>
      </c>
      <c r="Y18" s="69">
        <v>2.1822253841766099</v>
      </c>
      <c r="Z18" s="69">
        <v>38.985663298680798</v>
      </c>
      <c r="AA18" s="69">
        <v>191.573307484808</v>
      </c>
      <c r="AB18" s="69">
        <v>9.8020398397622994</v>
      </c>
      <c r="AC18" s="69">
        <v>1.1259907711456401</v>
      </c>
      <c r="AD18" s="69">
        <v>3.2594051702612399</v>
      </c>
      <c r="AE18" s="69">
        <v>17.539804345086299</v>
      </c>
      <c r="AF18" s="69">
        <v>2.3910164894704402</v>
      </c>
      <c r="AG18" s="69">
        <v>14.4749487892033</v>
      </c>
      <c r="AH18" s="69">
        <v>12.0647421459001</v>
      </c>
      <c r="AI18" s="69">
        <v>12.3485316080146</v>
      </c>
      <c r="AJ18" s="69">
        <v>500.593521432324</v>
      </c>
      <c r="AK18" s="69">
        <v>19.9526929908474</v>
      </c>
      <c r="AL18" s="69">
        <v>490.56076664856403</v>
      </c>
      <c r="AM18" s="69">
        <v>4.9384533130916202</v>
      </c>
      <c r="AN18" s="69">
        <v>7.4587932214271904</v>
      </c>
      <c r="AO18" s="69">
        <v>2.78460130415528</v>
      </c>
      <c r="AP18" s="69">
        <v>151.376259658327</v>
      </c>
      <c r="AQ18" s="69">
        <v>59.488209725381701</v>
      </c>
      <c r="AR18" s="69">
        <v>17.578188013680698</v>
      </c>
      <c r="AS18" s="69">
        <v>4.3394358447500796</v>
      </c>
      <c r="AT18" s="69">
        <v>0.133124509337709</v>
      </c>
      <c r="AU18" s="69">
        <v>1.0556688277789099</v>
      </c>
      <c r="AV18" s="69">
        <v>95.723751303761105</v>
      </c>
      <c r="AW18" s="69">
        <v>79.377742758986699</v>
      </c>
      <c r="AX18" s="69">
        <v>0.75311566194021295</v>
      </c>
      <c r="AY18" s="69">
        <v>1.56378963650434</v>
      </c>
      <c r="AZ18" s="69">
        <v>0.85595402193095305</v>
      </c>
      <c r="BA18" s="69">
        <v>0.70293547419498104</v>
      </c>
      <c r="BB18" s="69">
        <v>1.85843774965743</v>
      </c>
      <c r="BC18" s="69">
        <v>1.42628040930679</v>
      </c>
      <c r="BD18" s="69">
        <v>1.71776683195764</v>
      </c>
      <c r="BE18" s="69">
        <v>1.6862179804097801</v>
      </c>
      <c r="BF18" s="69">
        <v>4.1207048740443799</v>
      </c>
      <c r="BG18" s="69">
        <v>2.1272352538664201</v>
      </c>
      <c r="BH18" s="69">
        <v>7.2785743185833596</v>
      </c>
      <c r="BI18" s="69">
        <v>0.266049597705943</v>
      </c>
      <c r="BJ18" s="69">
        <v>12.6864814311848</v>
      </c>
      <c r="BK18" s="69">
        <v>17.149256613107202</v>
      </c>
      <c r="BL18" s="69">
        <v>0.178945028143597</v>
      </c>
      <c r="BM18" s="69">
        <v>32.891821880798098</v>
      </c>
      <c r="BN18" s="69">
        <v>62.744748609873703</v>
      </c>
      <c r="BO18" s="69">
        <v>0.79477653050596797</v>
      </c>
      <c r="BP18" s="69">
        <v>449.27348510566299</v>
      </c>
      <c r="BQ18" s="70">
        <v>0</v>
      </c>
      <c r="BR18" s="71">
        <v>11848.3107986663</v>
      </c>
      <c r="BS18" s="72">
        <v>4.5077621355452298</v>
      </c>
      <c r="BT18" s="73">
        <v>0.36567746161460002</v>
      </c>
      <c r="BU18" s="73">
        <v>0</v>
      </c>
      <c r="BV18" s="73">
        <v>18374.107484336499</v>
      </c>
      <c r="BW18" s="73">
        <v>41.599593653005499</v>
      </c>
      <c r="BX18" s="74">
        <v>0</v>
      </c>
      <c r="BY18" s="71">
        <v>18420.580517586699</v>
      </c>
      <c r="BZ18" s="75">
        <v>30268.891316253001</v>
      </c>
    </row>
    <row r="19" spans="1:78" ht="15" customHeight="1" x14ac:dyDescent="0.3">
      <c r="A19" s="19" t="s">
        <v>37</v>
      </c>
      <c r="B19" s="11" t="s">
        <v>105</v>
      </c>
      <c r="C19" s="68">
        <v>4.3201733927493704</v>
      </c>
      <c r="D19" s="69">
        <v>6.0281430036653399E-2</v>
      </c>
      <c r="E19" s="69">
        <v>1.54934339139099</v>
      </c>
      <c r="F19" s="69">
        <v>1.16159046896709</v>
      </c>
      <c r="G19" s="69">
        <v>16.191449758884598</v>
      </c>
      <c r="H19" s="69">
        <v>1.08638734356972</v>
      </c>
      <c r="I19" s="69">
        <v>9.9777656237592494E-2</v>
      </c>
      <c r="J19" s="69">
        <v>0.350638629885897</v>
      </c>
      <c r="K19" s="69">
        <v>0.82126851686427704</v>
      </c>
      <c r="L19" s="69">
        <v>1.71643768327324</v>
      </c>
      <c r="M19" s="69">
        <v>7.9581816762671606E-2</v>
      </c>
      <c r="N19" s="69">
        <v>6.5396004107505498E-2</v>
      </c>
      <c r="O19" s="69">
        <v>34.173202473301998</v>
      </c>
      <c r="P19" s="69">
        <v>476.48694948640502</v>
      </c>
      <c r="Q19" s="69">
        <v>30.2754700921192</v>
      </c>
      <c r="R19" s="69">
        <v>0.22508281823961501</v>
      </c>
      <c r="S19" s="69">
        <v>1.2791276749759899</v>
      </c>
      <c r="T19" s="69">
        <v>0.12091328333929501</v>
      </c>
      <c r="U19" s="69">
        <v>4.2288632539138997E-2</v>
      </c>
      <c r="V19" s="69">
        <v>1.89636921749399E-2</v>
      </c>
      <c r="W19" s="69">
        <v>0.52596535972417202</v>
      </c>
      <c r="X19" s="69">
        <v>2.0878812620514302</v>
      </c>
      <c r="Y19" s="69">
        <v>0.13346780839851699</v>
      </c>
      <c r="Z19" s="69">
        <v>0.51719178902132201</v>
      </c>
      <c r="AA19" s="69">
        <v>1.6432782670505199</v>
      </c>
      <c r="AB19" s="69">
        <v>2.1233286426148799</v>
      </c>
      <c r="AC19" s="69">
        <v>3.9043064686893801E-2</v>
      </c>
      <c r="AD19" s="69">
        <v>4.1237141541400199E-3</v>
      </c>
      <c r="AE19" s="69">
        <v>7.6832638265104203</v>
      </c>
      <c r="AF19" s="69">
        <v>0.17597797297718701</v>
      </c>
      <c r="AG19" s="69">
        <v>0.119056658997516</v>
      </c>
      <c r="AH19" s="69">
        <v>3.5724344457489798</v>
      </c>
      <c r="AI19" s="69">
        <v>1.05258594084727</v>
      </c>
      <c r="AJ19" s="69">
        <v>15.4171232135939</v>
      </c>
      <c r="AK19" s="69">
        <v>0.44592907010803101</v>
      </c>
      <c r="AL19" s="69">
        <v>15.910330998894199</v>
      </c>
      <c r="AM19" s="69">
        <v>1.26842748602778</v>
      </c>
      <c r="AN19" s="69">
        <v>9.3761958116583894</v>
      </c>
      <c r="AO19" s="69">
        <v>18.5406345429959</v>
      </c>
      <c r="AP19" s="69">
        <v>12.8384700361139</v>
      </c>
      <c r="AQ19" s="69">
        <v>81.578611064571604</v>
      </c>
      <c r="AR19" s="69">
        <v>56.737072373482498</v>
      </c>
      <c r="AS19" s="69">
        <v>2.1309396124168698</v>
      </c>
      <c r="AT19" s="69">
        <v>13.0559335418587</v>
      </c>
      <c r="AU19" s="69">
        <v>15.8640720285994</v>
      </c>
      <c r="AV19" s="69">
        <v>14.552010524689999</v>
      </c>
      <c r="AW19" s="69">
        <v>47.372269273105701</v>
      </c>
      <c r="AX19" s="69">
        <v>6.20222932613924E-2</v>
      </c>
      <c r="AY19" s="69">
        <v>18.915812408189002</v>
      </c>
      <c r="AZ19" s="69">
        <v>3.7290023087373698</v>
      </c>
      <c r="BA19" s="69">
        <v>0.37410739664287102</v>
      </c>
      <c r="BB19" s="69">
        <v>50.939104658067201</v>
      </c>
      <c r="BC19" s="69">
        <v>12.9548608896633</v>
      </c>
      <c r="BD19" s="69">
        <v>1.8653087901968799</v>
      </c>
      <c r="BE19" s="69">
        <v>43.2080609840039</v>
      </c>
      <c r="BF19" s="69">
        <v>12.036554674121099</v>
      </c>
      <c r="BG19" s="69">
        <v>1.5902113550235499</v>
      </c>
      <c r="BH19" s="69">
        <v>26.762899973570999</v>
      </c>
      <c r="BI19" s="69">
        <v>34.311917874874901</v>
      </c>
      <c r="BJ19" s="69">
        <v>90.813307426592502</v>
      </c>
      <c r="BK19" s="69">
        <v>77.8440035049166</v>
      </c>
      <c r="BL19" s="69">
        <v>0.12827111807069599</v>
      </c>
      <c r="BM19" s="69">
        <v>24.921513207229602</v>
      </c>
      <c r="BN19" s="69">
        <v>51.862953139346303</v>
      </c>
      <c r="BO19" s="69">
        <v>23.8074608796591</v>
      </c>
      <c r="BP19" s="69">
        <v>239.21803768060499</v>
      </c>
      <c r="BQ19" s="70">
        <v>0</v>
      </c>
      <c r="BR19" s="71">
        <v>1610.2353531394999</v>
      </c>
      <c r="BS19" s="72">
        <v>118.506733296326</v>
      </c>
      <c r="BT19" s="73">
        <v>13.7267310554376</v>
      </c>
      <c r="BU19" s="73">
        <v>0</v>
      </c>
      <c r="BV19" s="73">
        <v>58556.410184777298</v>
      </c>
      <c r="BW19" s="73">
        <v>13.1428290591571</v>
      </c>
      <c r="BX19" s="74">
        <v>0</v>
      </c>
      <c r="BY19" s="71">
        <v>58701.786478188202</v>
      </c>
      <c r="BZ19" s="75">
        <v>60312.0218313277</v>
      </c>
    </row>
    <row r="20" spans="1:78" ht="15" customHeight="1" x14ac:dyDescent="0.3">
      <c r="A20" s="19" t="s">
        <v>38</v>
      </c>
      <c r="B20" s="11" t="s">
        <v>106</v>
      </c>
      <c r="C20" s="68">
        <v>0.421214402447527</v>
      </c>
      <c r="D20" s="69">
        <v>1.0216518711782701</v>
      </c>
      <c r="E20" s="69">
        <v>1.6495440996726101E-2</v>
      </c>
      <c r="F20" s="69">
        <v>0.26765235766033502</v>
      </c>
      <c r="G20" s="69">
        <v>2.4516934790520799</v>
      </c>
      <c r="H20" s="69">
        <v>0.55259636259643297</v>
      </c>
      <c r="I20" s="69">
        <v>5.7774647511297898E-2</v>
      </c>
      <c r="J20" s="69">
        <v>3.81049028924454</v>
      </c>
      <c r="K20" s="69">
        <v>0.112203206909837</v>
      </c>
      <c r="L20" s="69">
        <v>4.2058672582537397</v>
      </c>
      <c r="M20" s="69">
        <v>0.58617162169651404</v>
      </c>
      <c r="N20" s="69">
        <v>0.334882734207056</v>
      </c>
      <c r="O20" s="69">
        <v>1.79560933717903</v>
      </c>
      <c r="P20" s="69">
        <v>1.6788095390381601</v>
      </c>
      <c r="Q20" s="69">
        <v>1763.4490013469899</v>
      </c>
      <c r="R20" s="69">
        <v>0.25883789863238699</v>
      </c>
      <c r="S20" s="69">
        <v>9.7531826581944792</v>
      </c>
      <c r="T20" s="69">
        <v>0.39280079341465901</v>
      </c>
      <c r="U20" s="69">
        <v>7.0302520301464499E-2</v>
      </c>
      <c r="V20" s="69">
        <v>0.38294565975542399</v>
      </c>
      <c r="W20" s="69">
        <v>0.70301896533363695</v>
      </c>
      <c r="X20" s="69">
        <v>0.63409784367258404</v>
      </c>
      <c r="Y20" s="69">
        <v>1.50521188391605</v>
      </c>
      <c r="Z20" s="69">
        <v>0.178916852398986</v>
      </c>
      <c r="AA20" s="69">
        <v>4.9518783936208903</v>
      </c>
      <c r="AB20" s="69">
        <v>0.64455560321091199</v>
      </c>
      <c r="AC20" s="69">
        <v>0.16557344545981201</v>
      </c>
      <c r="AD20" s="69">
        <v>3.4591180936436698E-2</v>
      </c>
      <c r="AE20" s="69">
        <v>14.573206140055101</v>
      </c>
      <c r="AF20" s="69">
        <v>0.27914054564212898</v>
      </c>
      <c r="AG20" s="69">
        <v>0.60857201688375795</v>
      </c>
      <c r="AH20" s="69">
        <v>1.2025352106738301</v>
      </c>
      <c r="AI20" s="69">
        <v>14.7308524383171</v>
      </c>
      <c r="AJ20" s="69">
        <v>4.71202316246751</v>
      </c>
      <c r="AK20" s="69">
        <v>0.14245208653076599</v>
      </c>
      <c r="AL20" s="69">
        <v>4.7502697205652602</v>
      </c>
      <c r="AM20" s="69">
        <v>0.58559723055090496</v>
      </c>
      <c r="AN20" s="69">
        <v>36.9956516911611</v>
      </c>
      <c r="AO20" s="69">
        <v>0.27786107152872402</v>
      </c>
      <c r="AP20" s="69">
        <v>15.179872631994201</v>
      </c>
      <c r="AQ20" s="69">
        <v>9.5529263886385394</v>
      </c>
      <c r="AR20" s="69">
        <v>4.7328688569594304</v>
      </c>
      <c r="AS20" s="69">
        <v>6.5485251863051805E-2</v>
      </c>
      <c r="AT20" s="69">
        <v>5.80287159670358E-2</v>
      </c>
      <c r="AU20" s="69">
        <v>0.15885908388039799</v>
      </c>
      <c r="AV20" s="69">
        <v>0.24563608792719299</v>
      </c>
      <c r="AW20" s="69">
        <v>2.3401119384584699</v>
      </c>
      <c r="AX20" s="69">
        <v>0.242481372968543</v>
      </c>
      <c r="AY20" s="69">
        <v>10.6988749482481</v>
      </c>
      <c r="AZ20" s="69">
        <v>0.144571112486584</v>
      </c>
      <c r="BA20" s="69">
        <v>0.11586315954519</v>
      </c>
      <c r="BB20" s="69">
        <v>0.51878750853518496</v>
      </c>
      <c r="BC20" s="69">
        <v>0.19375630620613701</v>
      </c>
      <c r="BD20" s="69">
        <v>0.25635717107564798</v>
      </c>
      <c r="BE20" s="69">
        <v>0.29722223243245299</v>
      </c>
      <c r="BF20" s="69">
        <v>1.1098520715642699</v>
      </c>
      <c r="BG20" s="69">
        <v>0.283476666810344</v>
      </c>
      <c r="BH20" s="69">
        <v>2.40233919572831</v>
      </c>
      <c r="BI20" s="69">
        <v>25.796190412902</v>
      </c>
      <c r="BJ20" s="69">
        <v>2.2017507468998998</v>
      </c>
      <c r="BK20" s="69">
        <v>0.91485450113288302</v>
      </c>
      <c r="BL20" s="69">
        <v>2.2325160466868301E-2</v>
      </c>
      <c r="BM20" s="69">
        <v>2.3229703333948</v>
      </c>
      <c r="BN20" s="69">
        <v>5.7658293933065297</v>
      </c>
      <c r="BO20" s="69">
        <v>0.18108211252581799</v>
      </c>
      <c r="BP20" s="69">
        <v>1.5239748816968399</v>
      </c>
      <c r="BQ20" s="70">
        <v>0</v>
      </c>
      <c r="BR20" s="71">
        <v>1966.6225371518001</v>
      </c>
      <c r="BS20" s="72">
        <v>104.28152814370701</v>
      </c>
      <c r="BT20" s="73">
        <v>5.4113188026795399E-2</v>
      </c>
      <c r="BU20" s="73">
        <v>0</v>
      </c>
      <c r="BV20" s="73">
        <v>26042.540520519498</v>
      </c>
      <c r="BW20" s="73">
        <v>4.5832418406848801</v>
      </c>
      <c r="BX20" s="74">
        <v>0</v>
      </c>
      <c r="BY20" s="71">
        <v>26151.459403691901</v>
      </c>
      <c r="BZ20" s="75">
        <v>28118.081940843698</v>
      </c>
    </row>
    <row r="21" spans="1:78" ht="15" customHeight="1" x14ac:dyDescent="0.3">
      <c r="A21" s="19" t="s">
        <v>39</v>
      </c>
      <c r="B21" s="11" t="s">
        <v>107</v>
      </c>
      <c r="C21" s="68">
        <v>271.55839229830002</v>
      </c>
      <c r="D21" s="69">
        <v>95.713322084004801</v>
      </c>
      <c r="E21" s="69">
        <v>6.1248301696340102</v>
      </c>
      <c r="F21" s="69">
        <v>1.8355166362850099</v>
      </c>
      <c r="G21" s="69">
        <v>1.08761618001685</v>
      </c>
      <c r="H21" s="69">
        <v>1.1103728206602199</v>
      </c>
      <c r="I21" s="69">
        <v>0.12959103481840401</v>
      </c>
      <c r="J21" s="69">
        <v>22.624400696172302</v>
      </c>
      <c r="K21" s="69">
        <v>4.4059930632246301E-2</v>
      </c>
      <c r="L21" s="69">
        <v>164.84130074129601</v>
      </c>
      <c r="M21" s="69">
        <v>43.372547138430797</v>
      </c>
      <c r="N21" s="69">
        <v>4.6242506517245501E-3</v>
      </c>
      <c r="O21" s="69">
        <v>13.7907447358272</v>
      </c>
      <c r="P21" s="69">
        <v>0.19222404961122799</v>
      </c>
      <c r="Q21" s="69">
        <v>4.5027033728630803E-2</v>
      </c>
      <c r="R21" s="69">
        <v>1685.50506315813</v>
      </c>
      <c r="S21" s="69">
        <v>133.72347655258599</v>
      </c>
      <c r="T21" s="69">
        <v>2.7485931673300198E-2</v>
      </c>
      <c r="U21" s="69">
        <v>0.11661639028654899</v>
      </c>
      <c r="V21" s="69">
        <v>2.7938847562675E-2</v>
      </c>
      <c r="W21" s="69">
        <v>12.075516964840601</v>
      </c>
      <c r="X21" s="69">
        <v>22.423480986032502</v>
      </c>
      <c r="Y21" s="69">
        <v>0.29389116798835302</v>
      </c>
      <c r="Z21" s="69">
        <v>6.2271075131647903E-2</v>
      </c>
      <c r="AA21" s="69">
        <v>0.69195480423643996</v>
      </c>
      <c r="AB21" s="69">
        <v>21.4739017543214</v>
      </c>
      <c r="AC21" s="69">
        <v>7.8843208353361796</v>
      </c>
      <c r="AD21" s="69">
        <v>7.0199315030335205E-2</v>
      </c>
      <c r="AE21" s="69">
        <v>114.998490427368</v>
      </c>
      <c r="AF21" s="69">
        <v>0.29833904422455199</v>
      </c>
      <c r="AG21" s="69">
        <v>1.5717508831261999</v>
      </c>
      <c r="AH21" s="69">
        <v>97.679746642950207</v>
      </c>
      <c r="AI21" s="69">
        <v>32.178351141005102</v>
      </c>
      <c r="AJ21" s="69">
        <v>36.838988720615198</v>
      </c>
      <c r="AK21" s="69">
        <v>25.105783596420199</v>
      </c>
      <c r="AL21" s="69">
        <v>2168.6286137520601</v>
      </c>
      <c r="AM21" s="69">
        <v>1.4436381495728301</v>
      </c>
      <c r="AN21" s="69">
        <v>58.439055115815698</v>
      </c>
      <c r="AO21" s="69">
        <v>1.1127698852969301</v>
      </c>
      <c r="AP21" s="69">
        <v>1275.88447098247</v>
      </c>
      <c r="AQ21" s="69">
        <v>1083.1030877921601</v>
      </c>
      <c r="AR21" s="69">
        <v>3.9399771147748397E-2</v>
      </c>
      <c r="AS21" s="69">
        <v>4.3217295025127798E-2</v>
      </c>
      <c r="AT21" s="69">
        <v>1.6831914127244901E-4</v>
      </c>
      <c r="AU21" s="69">
        <v>50.257985418990899</v>
      </c>
      <c r="AV21" s="69">
        <v>3.6641637694632898E-2</v>
      </c>
      <c r="AW21" s="69">
        <v>0.52339994272077595</v>
      </c>
      <c r="AX21" s="69">
        <v>0</v>
      </c>
      <c r="AY21" s="69">
        <v>42.527262907413601</v>
      </c>
      <c r="AZ21" s="69">
        <v>5.7221696289047504E-3</v>
      </c>
      <c r="BA21" s="69">
        <v>1.4989089437529499E-2</v>
      </c>
      <c r="BB21" s="69">
        <v>2.0383302997688601E-2</v>
      </c>
      <c r="BC21" s="69">
        <v>80.056206836955397</v>
      </c>
      <c r="BD21" s="69">
        <v>3.9537999947545401E-2</v>
      </c>
      <c r="BE21" s="69">
        <v>4.3889985427843503E-2</v>
      </c>
      <c r="BF21" s="69">
        <v>4.7075088886995298E-2</v>
      </c>
      <c r="BG21" s="69">
        <v>7.4688074274350105E-2</v>
      </c>
      <c r="BH21" s="69">
        <v>35.147636663671797</v>
      </c>
      <c r="BI21" s="69">
        <v>3.0070737865078401E-2</v>
      </c>
      <c r="BJ21" s="69">
        <v>22.1182216808342</v>
      </c>
      <c r="BK21" s="69">
        <v>7.73395457505291</v>
      </c>
      <c r="BL21" s="69">
        <v>5.0499042479437402E-3</v>
      </c>
      <c r="BM21" s="69">
        <v>2.9168041924908099</v>
      </c>
      <c r="BN21" s="69">
        <v>2.1309308617917302</v>
      </c>
      <c r="BO21" s="69">
        <v>1.53534254321762E-2</v>
      </c>
      <c r="BP21" s="69">
        <v>66.843200567322199</v>
      </c>
      <c r="BQ21" s="70">
        <v>0</v>
      </c>
      <c r="BR21" s="71">
        <v>7714.8055641646997</v>
      </c>
      <c r="BS21" s="72">
        <v>131.622827595872</v>
      </c>
      <c r="BT21" s="73">
        <v>1.0941049430369301E-3</v>
      </c>
      <c r="BU21" s="73">
        <v>0</v>
      </c>
      <c r="BV21" s="73">
        <v>794.01666613327995</v>
      </c>
      <c r="BW21" s="73">
        <v>35.0432083035723</v>
      </c>
      <c r="BX21" s="74">
        <v>0</v>
      </c>
      <c r="BY21" s="71">
        <v>960.68379613766695</v>
      </c>
      <c r="BZ21" s="75">
        <v>8675.4893603023702</v>
      </c>
    </row>
    <row r="22" spans="1:78" ht="15" customHeight="1" x14ac:dyDescent="0.3">
      <c r="A22" s="19" t="s">
        <v>40</v>
      </c>
      <c r="B22" s="11" t="s">
        <v>108</v>
      </c>
      <c r="C22" s="68">
        <v>167.07025674800801</v>
      </c>
      <c r="D22" s="69">
        <v>52.731838933160297</v>
      </c>
      <c r="E22" s="69">
        <v>4.9599167261881796</v>
      </c>
      <c r="F22" s="69">
        <v>0.41419679206203502</v>
      </c>
      <c r="G22" s="69">
        <v>55.303344407222802</v>
      </c>
      <c r="H22" s="69">
        <v>127.244245702356</v>
      </c>
      <c r="I22" s="69">
        <v>14.338014107868601</v>
      </c>
      <c r="J22" s="69">
        <v>1174.9168329435499</v>
      </c>
      <c r="K22" s="69">
        <v>8.3936278838147302</v>
      </c>
      <c r="L22" s="69">
        <v>1308.28161816746</v>
      </c>
      <c r="M22" s="69">
        <v>92.528043950930297</v>
      </c>
      <c r="N22" s="69">
        <v>300.18567015911401</v>
      </c>
      <c r="O22" s="69">
        <v>219.57839964392801</v>
      </c>
      <c r="P22" s="69">
        <v>112.704000568135</v>
      </c>
      <c r="Q22" s="69">
        <v>177.46444598464899</v>
      </c>
      <c r="R22" s="69">
        <v>728.67886576951901</v>
      </c>
      <c r="S22" s="69">
        <v>7042.9926537948104</v>
      </c>
      <c r="T22" s="69">
        <v>510.69407675301397</v>
      </c>
      <c r="U22" s="69">
        <v>75.932652933255994</v>
      </c>
      <c r="V22" s="69">
        <v>43.647186053300601</v>
      </c>
      <c r="W22" s="69">
        <v>41.501997817390397</v>
      </c>
      <c r="X22" s="69">
        <v>73.366488234164606</v>
      </c>
      <c r="Y22" s="69">
        <v>523.06274274653902</v>
      </c>
      <c r="Z22" s="69">
        <v>317.902299313794</v>
      </c>
      <c r="AA22" s="69">
        <v>1021.89050973978</v>
      </c>
      <c r="AB22" s="69">
        <v>724.35067635441203</v>
      </c>
      <c r="AC22" s="69">
        <v>9.6223735381366797</v>
      </c>
      <c r="AD22" s="69">
        <v>6.8517062392358596</v>
      </c>
      <c r="AE22" s="69">
        <v>524.18357623918496</v>
      </c>
      <c r="AF22" s="69">
        <v>260.04033994324402</v>
      </c>
      <c r="AG22" s="69">
        <v>160.18466147700599</v>
      </c>
      <c r="AH22" s="69">
        <v>144.92142261916601</v>
      </c>
      <c r="AI22" s="69">
        <v>152.53342678940999</v>
      </c>
      <c r="AJ22" s="69">
        <v>240.595948624892</v>
      </c>
      <c r="AK22" s="69">
        <v>17.456520403924099</v>
      </c>
      <c r="AL22" s="69">
        <v>394.80196718569499</v>
      </c>
      <c r="AM22" s="69">
        <v>49.397508144827597</v>
      </c>
      <c r="AN22" s="69">
        <v>12.395505723319699</v>
      </c>
      <c r="AO22" s="69">
        <v>20.8681755751686</v>
      </c>
      <c r="AP22" s="69">
        <v>143.24149034319299</v>
      </c>
      <c r="AQ22" s="69">
        <v>2745.4701904166</v>
      </c>
      <c r="AR22" s="69">
        <v>74.979592127405198</v>
      </c>
      <c r="AS22" s="69">
        <v>25.701817476600699</v>
      </c>
      <c r="AT22" s="69">
        <v>2.8890277532550002</v>
      </c>
      <c r="AU22" s="69">
        <v>114.900034644779</v>
      </c>
      <c r="AV22" s="69">
        <v>52.1317581616781</v>
      </c>
      <c r="AW22" s="69">
        <v>393.85503810689102</v>
      </c>
      <c r="AX22" s="69">
        <v>294.48920516690998</v>
      </c>
      <c r="AY22" s="69">
        <v>47.711401136545</v>
      </c>
      <c r="AZ22" s="69">
        <v>16.971547021109799</v>
      </c>
      <c r="BA22" s="69">
        <v>336.77569010672602</v>
      </c>
      <c r="BB22" s="69">
        <v>498.71098728177799</v>
      </c>
      <c r="BC22" s="69">
        <v>119.573971599293</v>
      </c>
      <c r="BD22" s="69">
        <v>572.07005041038701</v>
      </c>
      <c r="BE22" s="69">
        <v>200.502585410564</v>
      </c>
      <c r="BF22" s="69">
        <v>284.78512980985499</v>
      </c>
      <c r="BG22" s="69">
        <v>201.85332582981499</v>
      </c>
      <c r="BH22" s="69">
        <v>891.13197746880098</v>
      </c>
      <c r="BI22" s="69">
        <v>15.733002598313499</v>
      </c>
      <c r="BJ22" s="69">
        <v>310.17535899850998</v>
      </c>
      <c r="BK22" s="69">
        <v>242.84765401344299</v>
      </c>
      <c r="BL22" s="69">
        <v>195.46365112055199</v>
      </c>
      <c r="BM22" s="69">
        <v>78.247804102724402</v>
      </c>
      <c r="BN22" s="69">
        <v>278.80260196007202</v>
      </c>
      <c r="BO22" s="69">
        <v>10.4504586691192</v>
      </c>
      <c r="BP22" s="69">
        <v>199.49979614195999</v>
      </c>
      <c r="BQ22" s="70">
        <v>0</v>
      </c>
      <c r="BR22" s="71">
        <v>25262.952882608501</v>
      </c>
      <c r="BS22" s="72">
        <v>1.4435493746585799</v>
      </c>
      <c r="BT22" s="73">
        <v>1.72970501711492</v>
      </c>
      <c r="BU22" s="73">
        <v>0</v>
      </c>
      <c r="BV22" s="73">
        <v>5997.2253375479404</v>
      </c>
      <c r="BW22" s="73">
        <v>177.76486855520099</v>
      </c>
      <c r="BX22" s="74">
        <v>0</v>
      </c>
      <c r="BY22" s="71">
        <v>6178.1634604949104</v>
      </c>
      <c r="BZ22" s="75">
        <v>31441.1163431034</v>
      </c>
    </row>
    <row r="23" spans="1:78" ht="15" customHeight="1" x14ac:dyDescent="0.3">
      <c r="A23" s="19" t="s">
        <v>41</v>
      </c>
      <c r="B23" s="11" t="s">
        <v>109</v>
      </c>
      <c r="C23" s="68">
        <v>5.9332278076459097</v>
      </c>
      <c r="D23" s="69">
        <v>0.41587760052636302</v>
      </c>
      <c r="E23" s="69">
        <v>1.7113755424328601</v>
      </c>
      <c r="F23" s="69">
        <v>0.171814772446862</v>
      </c>
      <c r="G23" s="69">
        <v>8.2206420958389295</v>
      </c>
      <c r="H23" s="69">
        <v>20.8920965284196</v>
      </c>
      <c r="I23" s="69">
        <v>2.6218718525494999</v>
      </c>
      <c r="J23" s="69">
        <v>47.667859085445201</v>
      </c>
      <c r="K23" s="69">
        <v>15.537216652519501</v>
      </c>
      <c r="L23" s="69">
        <v>56.4322071673217</v>
      </c>
      <c r="M23" s="69">
        <v>171.81256757878899</v>
      </c>
      <c r="N23" s="69">
        <v>1.5325411397367601</v>
      </c>
      <c r="O23" s="69">
        <v>7.7880007215302998</v>
      </c>
      <c r="P23" s="69">
        <v>11.1947151972581</v>
      </c>
      <c r="Q23" s="69">
        <v>2.67933637864075</v>
      </c>
      <c r="R23" s="69">
        <v>23.938733803492799</v>
      </c>
      <c r="S23" s="69">
        <v>141.59861713096601</v>
      </c>
      <c r="T23" s="69">
        <v>632.23454576892198</v>
      </c>
      <c r="U23" s="69">
        <v>3.1627224933815099</v>
      </c>
      <c r="V23" s="69">
        <v>8.5096166335092303</v>
      </c>
      <c r="W23" s="69">
        <v>1.39667037150214</v>
      </c>
      <c r="X23" s="69">
        <v>16.153998752144801</v>
      </c>
      <c r="Y23" s="69">
        <v>3.2137463050779802</v>
      </c>
      <c r="Z23" s="69">
        <v>7.5514082675020804</v>
      </c>
      <c r="AA23" s="69">
        <v>29.045824753523899</v>
      </c>
      <c r="AB23" s="69">
        <v>10.741410424798399</v>
      </c>
      <c r="AC23" s="69">
        <v>11.041521665109</v>
      </c>
      <c r="AD23" s="69">
        <v>1.0323624302561201</v>
      </c>
      <c r="AE23" s="69">
        <v>17.218563972793401</v>
      </c>
      <c r="AF23" s="69">
        <v>100.546081980721</v>
      </c>
      <c r="AG23" s="69">
        <v>6.1894872213004897</v>
      </c>
      <c r="AH23" s="69">
        <v>18.812942091556099</v>
      </c>
      <c r="AI23" s="69">
        <v>14.699612777520001</v>
      </c>
      <c r="AJ23" s="69">
        <v>14.368629506095701</v>
      </c>
      <c r="AK23" s="69">
        <v>2.1263237744919001</v>
      </c>
      <c r="AL23" s="69">
        <v>22.683792719185799</v>
      </c>
      <c r="AM23" s="69">
        <v>3.5624095266154101</v>
      </c>
      <c r="AN23" s="69">
        <v>12.4058341436665</v>
      </c>
      <c r="AO23" s="69">
        <v>5.8112235375728298</v>
      </c>
      <c r="AP23" s="69">
        <v>36.223954424007196</v>
      </c>
      <c r="AQ23" s="69">
        <v>4789.2516791849803</v>
      </c>
      <c r="AR23" s="69">
        <v>26.209943628763799</v>
      </c>
      <c r="AS23" s="69">
        <v>0.64400101087696804</v>
      </c>
      <c r="AT23" s="69">
        <v>13.465506315614901</v>
      </c>
      <c r="AU23" s="69">
        <v>36.572573211279</v>
      </c>
      <c r="AV23" s="69">
        <v>1.3606943778623199</v>
      </c>
      <c r="AW23" s="69">
        <v>30.369493219965701</v>
      </c>
      <c r="AX23" s="69">
        <v>584.20077028081903</v>
      </c>
      <c r="AY23" s="69">
        <v>64.189437152554106</v>
      </c>
      <c r="AZ23" s="69">
        <v>319.950965588119</v>
      </c>
      <c r="BA23" s="69">
        <v>195.29461886189</v>
      </c>
      <c r="BB23" s="69">
        <v>791.20354335711102</v>
      </c>
      <c r="BC23" s="69">
        <v>182.03161879031001</v>
      </c>
      <c r="BD23" s="69">
        <v>317.33968300691799</v>
      </c>
      <c r="BE23" s="69">
        <v>155.682734761972</v>
      </c>
      <c r="BF23" s="69">
        <v>2292.42665795418</v>
      </c>
      <c r="BG23" s="69">
        <v>34.688709075865802</v>
      </c>
      <c r="BH23" s="69">
        <v>796.24877275145798</v>
      </c>
      <c r="BI23" s="69">
        <v>0.13916892898220501</v>
      </c>
      <c r="BJ23" s="69">
        <v>735.05978779116299</v>
      </c>
      <c r="BK23" s="69">
        <v>152.982293343078</v>
      </c>
      <c r="BL23" s="69">
        <v>4.6881312385660703</v>
      </c>
      <c r="BM23" s="69">
        <v>91.785997093386996</v>
      </c>
      <c r="BN23" s="69">
        <v>64.734283884141703</v>
      </c>
      <c r="BO23" s="69">
        <v>188.72548725373801</v>
      </c>
      <c r="BP23" s="69">
        <v>179.67699721954901</v>
      </c>
      <c r="BQ23" s="70">
        <v>0</v>
      </c>
      <c r="BR23" s="71">
        <v>13547.804933879999</v>
      </c>
      <c r="BS23" s="72">
        <v>0.16802308368149399</v>
      </c>
      <c r="BT23" s="73">
        <v>0</v>
      </c>
      <c r="BU23" s="73">
        <v>0</v>
      </c>
      <c r="BV23" s="73">
        <v>529.32485999640903</v>
      </c>
      <c r="BW23" s="73">
        <v>20.581398822675901</v>
      </c>
      <c r="BX23" s="74">
        <v>0</v>
      </c>
      <c r="BY23" s="71">
        <v>550.07428190276698</v>
      </c>
      <c r="BZ23" s="75">
        <v>14097.879215782699</v>
      </c>
    </row>
    <row r="24" spans="1:78" ht="15" customHeight="1" x14ac:dyDescent="0.3">
      <c r="A24" s="19" t="s">
        <v>42</v>
      </c>
      <c r="B24" s="11" t="s">
        <v>110</v>
      </c>
      <c r="C24" s="68">
        <v>2543.9398117981</v>
      </c>
      <c r="D24" s="69">
        <v>1310.5865001146699</v>
      </c>
      <c r="E24" s="69">
        <v>129.68751657176401</v>
      </c>
      <c r="F24" s="69">
        <v>170.44058423728299</v>
      </c>
      <c r="G24" s="69">
        <v>322.09162410012499</v>
      </c>
      <c r="H24" s="69">
        <v>1288.6514322615201</v>
      </c>
      <c r="I24" s="69">
        <v>160.91847419115601</v>
      </c>
      <c r="J24" s="69">
        <v>559.02859680953395</v>
      </c>
      <c r="K24" s="69">
        <v>250.715547943654</v>
      </c>
      <c r="L24" s="69">
        <v>657.588147954075</v>
      </c>
      <c r="M24" s="69">
        <v>144.57856964295101</v>
      </c>
      <c r="N24" s="69">
        <v>4.7689551500674003</v>
      </c>
      <c r="O24" s="69">
        <v>59.342875493046897</v>
      </c>
      <c r="P24" s="69">
        <v>15.092266688798199</v>
      </c>
      <c r="Q24" s="69">
        <v>22.826672728053001</v>
      </c>
      <c r="R24" s="69">
        <v>70.554501301806695</v>
      </c>
      <c r="S24" s="69">
        <v>301.261717371315</v>
      </c>
      <c r="T24" s="69">
        <v>4.2691396639631298</v>
      </c>
      <c r="U24" s="69">
        <v>296.47442369231101</v>
      </c>
      <c r="V24" s="69">
        <v>260.46888169609798</v>
      </c>
      <c r="W24" s="69">
        <v>536.66075678300604</v>
      </c>
      <c r="X24" s="69">
        <v>184.16523440742</v>
      </c>
      <c r="Y24" s="69">
        <v>67.650336114276797</v>
      </c>
      <c r="Z24" s="69">
        <v>28.2683300889951</v>
      </c>
      <c r="AA24" s="69">
        <v>280.86201394886899</v>
      </c>
      <c r="AB24" s="69">
        <v>514.63552361043605</v>
      </c>
      <c r="AC24" s="69">
        <v>453.13314758098102</v>
      </c>
      <c r="AD24" s="69">
        <v>249.340517018165</v>
      </c>
      <c r="AE24" s="69">
        <v>73.987701612465401</v>
      </c>
      <c r="AF24" s="69">
        <v>25.700934039294498</v>
      </c>
      <c r="AG24" s="69">
        <v>107.834747773622</v>
      </c>
      <c r="AH24" s="69">
        <v>84.093280187344405</v>
      </c>
      <c r="AI24" s="69">
        <v>109.089405885605</v>
      </c>
      <c r="AJ24" s="69">
        <v>63.2563166123035</v>
      </c>
      <c r="AK24" s="69">
        <v>17.947481228717798</v>
      </c>
      <c r="AL24" s="69">
        <v>48.043481634205797</v>
      </c>
      <c r="AM24" s="69">
        <v>51.785576432066399</v>
      </c>
      <c r="AN24" s="69">
        <v>598.65666559371505</v>
      </c>
      <c r="AO24" s="69">
        <v>168.156908867135</v>
      </c>
      <c r="AP24" s="69">
        <v>838.65609615639801</v>
      </c>
      <c r="AQ24" s="69">
        <v>3078.0357223957599</v>
      </c>
      <c r="AR24" s="69">
        <v>11336.7247531012</v>
      </c>
      <c r="AS24" s="69">
        <v>218.711109454309</v>
      </c>
      <c r="AT24" s="69">
        <v>359.58924986488</v>
      </c>
      <c r="AU24" s="69">
        <v>301.03732475531899</v>
      </c>
      <c r="AV24" s="69">
        <v>14.272749096553</v>
      </c>
      <c r="AW24" s="69">
        <v>1096.5458657254101</v>
      </c>
      <c r="AX24" s="69">
        <v>2.93513001588948</v>
      </c>
      <c r="AY24" s="69">
        <v>10.2380790537281</v>
      </c>
      <c r="AZ24" s="69">
        <v>18.691336521859601</v>
      </c>
      <c r="BA24" s="69">
        <v>41.999808773097499</v>
      </c>
      <c r="BB24" s="69">
        <v>105.316000297719</v>
      </c>
      <c r="BC24" s="69">
        <v>20.1858341605978</v>
      </c>
      <c r="BD24" s="69">
        <v>126.893028504619</v>
      </c>
      <c r="BE24" s="69">
        <v>91.631453386982898</v>
      </c>
      <c r="BF24" s="69">
        <v>41.5147535752807</v>
      </c>
      <c r="BG24" s="69">
        <v>191.74350050771901</v>
      </c>
      <c r="BH24" s="69">
        <v>99.605485687942306</v>
      </c>
      <c r="BI24" s="69">
        <v>55.704848936687299</v>
      </c>
      <c r="BJ24" s="69">
        <v>462.16559438277699</v>
      </c>
      <c r="BK24" s="69">
        <v>67.546543764078095</v>
      </c>
      <c r="BL24" s="69">
        <v>16.0486382203005</v>
      </c>
      <c r="BM24" s="69">
        <v>31.6720026882025</v>
      </c>
      <c r="BN24" s="69">
        <v>54.187742131525702</v>
      </c>
      <c r="BO24" s="69">
        <v>20.310991160256201</v>
      </c>
      <c r="BP24" s="69">
        <v>225.080134747556</v>
      </c>
      <c r="BQ24" s="70">
        <v>0</v>
      </c>
      <c r="BR24" s="71">
        <v>31163.598375895599</v>
      </c>
      <c r="BS24" s="72">
        <v>1056.9046268955899</v>
      </c>
      <c r="BT24" s="73">
        <v>0</v>
      </c>
      <c r="BU24" s="73">
        <v>0</v>
      </c>
      <c r="BV24" s="73">
        <v>51370.579644559497</v>
      </c>
      <c r="BW24" s="73">
        <v>0.56916150886315997</v>
      </c>
      <c r="BX24" s="74">
        <v>0</v>
      </c>
      <c r="BY24" s="71">
        <v>52428.053432964</v>
      </c>
      <c r="BZ24" s="75">
        <v>83591.651808859504</v>
      </c>
    </row>
    <row r="25" spans="1:78" ht="15" customHeight="1" x14ac:dyDescent="0.3">
      <c r="A25" s="19" t="s">
        <v>43</v>
      </c>
      <c r="B25" s="11" t="s">
        <v>111</v>
      </c>
      <c r="C25" s="68">
        <v>18.673504878955399</v>
      </c>
      <c r="D25" s="69">
        <v>43.512686245733697</v>
      </c>
      <c r="E25" s="69">
        <v>4.7585117587632302E-3</v>
      </c>
      <c r="F25" s="69">
        <v>0.15510354375924901</v>
      </c>
      <c r="G25" s="69">
        <v>78.607074035019394</v>
      </c>
      <c r="H25" s="69">
        <v>3.4800909994717202</v>
      </c>
      <c r="I25" s="69">
        <v>0.33101886651396301</v>
      </c>
      <c r="J25" s="69">
        <v>109.033402573804</v>
      </c>
      <c r="K25" s="69">
        <v>92.936155825556</v>
      </c>
      <c r="L25" s="69">
        <v>357.035737317008</v>
      </c>
      <c r="M25" s="69">
        <v>63.757258701532699</v>
      </c>
      <c r="N25" s="69">
        <v>0</v>
      </c>
      <c r="O25" s="69">
        <v>0.490424556715927</v>
      </c>
      <c r="P25" s="69">
        <v>0.196644411318631</v>
      </c>
      <c r="Q25" s="69">
        <v>0.13079823081307099</v>
      </c>
      <c r="R25" s="69">
        <v>8.4717665325898803</v>
      </c>
      <c r="S25" s="69">
        <v>4.7127969377754599</v>
      </c>
      <c r="T25" s="69">
        <v>0</v>
      </c>
      <c r="U25" s="69">
        <v>2287.2752885956702</v>
      </c>
      <c r="V25" s="69">
        <v>161.067092082214</v>
      </c>
      <c r="W25" s="69">
        <v>45.133680549313297</v>
      </c>
      <c r="X25" s="69">
        <v>52.932617648393098</v>
      </c>
      <c r="Y25" s="69">
        <v>191.38960657201</v>
      </c>
      <c r="Z25" s="69">
        <v>85.315832123989495</v>
      </c>
      <c r="AA25" s="69">
        <v>0.65707073940705596</v>
      </c>
      <c r="AB25" s="69">
        <v>0.27825780286124602</v>
      </c>
      <c r="AC25" s="69">
        <v>0.29480080692799199</v>
      </c>
      <c r="AD25" s="69">
        <v>0.35065159493617098</v>
      </c>
      <c r="AE25" s="69">
        <v>7.6054137671402096</v>
      </c>
      <c r="AF25" s="69">
        <v>0.13332403190769601</v>
      </c>
      <c r="AG25" s="69">
        <v>0.21436133375982799</v>
      </c>
      <c r="AH25" s="69">
        <v>6.2861082340067602</v>
      </c>
      <c r="AI25" s="69">
        <v>1.2639441952858399</v>
      </c>
      <c r="AJ25" s="69">
        <v>0.105726900218794</v>
      </c>
      <c r="AK25" s="69">
        <v>0.15721604253928301</v>
      </c>
      <c r="AL25" s="69">
        <v>6.9519844739420897E-2</v>
      </c>
      <c r="AM25" s="69">
        <v>3.1004219889852198</v>
      </c>
      <c r="AN25" s="69">
        <v>1.51074189778892</v>
      </c>
      <c r="AO25" s="69">
        <v>0.32248898710934898</v>
      </c>
      <c r="AP25" s="69">
        <v>51.540648788378903</v>
      </c>
      <c r="AQ25" s="69">
        <v>186.826812656295</v>
      </c>
      <c r="AR25" s="69">
        <v>143.29461229512501</v>
      </c>
      <c r="AS25" s="69">
        <v>0.15543382853128501</v>
      </c>
      <c r="AT25" s="69">
        <v>3.5435619468383299</v>
      </c>
      <c r="AU25" s="69">
        <v>9.1096492928974993</v>
      </c>
      <c r="AV25" s="69">
        <v>0.56219932923135396</v>
      </c>
      <c r="AW25" s="69">
        <v>113.05176058403001</v>
      </c>
      <c r="AX25" s="69">
        <v>2.54333642665465E-2</v>
      </c>
      <c r="AY25" s="69">
        <v>0.18688432400514399</v>
      </c>
      <c r="AZ25" s="69">
        <v>3.3910744652420899</v>
      </c>
      <c r="BA25" s="69">
        <v>9.48553109990306</v>
      </c>
      <c r="BB25" s="69">
        <v>13.6324104149724</v>
      </c>
      <c r="BC25" s="69">
        <v>0</v>
      </c>
      <c r="BD25" s="69">
        <v>19.6185976940987</v>
      </c>
      <c r="BE25" s="69">
        <v>22.718779045337499</v>
      </c>
      <c r="BF25" s="69">
        <v>11.397655426605199</v>
      </c>
      <c r="BG25" s="69">
        <v>18.557787644479902</v>
      </c>
      <c r="BH25" s="69">
        <v>24.5067949044617</v>
      </c>
      <c r="BI25" s="69">
        <v>9.9777353231489396</v>
      </c>
      <c r="BJ25" s="69">
        <v>67.583382014314594</v>
      </c>
      <c r="BK25" s="69">
        <v>10.409956264085601</v>
      </c>
      <c r="BL25" s="69">
        <v>0.84745328775485196</v>
      </c>
      <c r="BM25" s="69">
        <v>8.4030286380006807</v>
      </c>
      <c r="BN25" s="69">
        <v>12.3021945517555</v>
      </c>
      <c r="BO25" s="69">
        <v>0.67447684710713296</v>
      </c>
      <c r="BP25" s="69">
        <v>37.367603309786098</v>
      </c>
      <c r="BQ25" s="70">
        <v>0</v>
      </c>
      <c r="BR25" s="71">
        <v>4406.1648452481804</v>
      </c>
      <c r="BS25" s="72">
        <v>275.10001512916199</v>
      </c>
      <c r="BT25" s="73">
        <v>7.3708509938588906E-2</v>
      </c>
      <c r="BU25" s="73">
        <v>0</v>
      </c>
      <c r="BV25" s="73">
        <v>6644.5919667895196</v>
      </c>
      <c r="BW25" s="73">
        <v>12.180056289671599</v>
      </c>
      <c r="BX25" s="74">
        <v>0</v>
      </c>
      <c r="BY25" s="71">
        <v>6931.9457467183001</v>
      </c>
      <c r="BZ25" s="75">
        <v>11338.110591966501</v>
      </c>
    </row>
    <row r="26" spans="1:78" ht="15" customHeight="1" x14ac:dyDescent="0.3">
      <c r="A26" s="19" t="s">
        <v>44</v>
      </c>
      <c r="B26" s="32" t="s">
        <v>112</v>
      </c>
      <c r="C26" s="68">
        <v>15928.481912961901</v>
      </c>
      <c r="D26" s="69">
        <v>1714.8934245845301</v>
      </c>
      <c r="E26" s="69">
        <v>111.964588867063</v>
      </c>
      <c r="F26" s="69">
        <v>63.844784723482398</v>
      </c>
      <c r="G26" s="69">
        <v>1278.3173115413699</v>
      </c>
      <c r="H26" s="69">
        <v>200.11166309902899</v>
      </c>
      <c r="I26" s="69">
        <v>50.046592954690801</v>
      </c>
      <c r="J26" s="69">
        <v>143.02115757443499</v>
      </c>
      <c r="K26" s="69">
        <v>89.8445249001592</v>
      </c>
      <c r="L26" s="69">
        <v>301.15634407694199</v>
      </c>
      <c r="M26" s="69">
        <v>47.268942752897601</v>
      </c>
      <c r="N26" s="69">
        <v>8.3747101974869</v>
      </c>
      <c r="O26" s="69">
        <v>1245.1012654449601</v>
      </c>
      <c r="P26" s="69">
        <v>56.951747711766302</v>
      </c>
      <c r="Q26" s="69">
        <v>386.21263228013299</v>
      </c>
      <c r="R26" s="69">
        <v>379.04287147357701</v>
      </c>
      <c r="S26" s="69">
        <v>2061.6215984061801</v>
      </c>
      <c r="T26" s="69">
        <v>17.7441307639683</v>
      </c>
      <c r="U26" s="69">
        <v>30.653910180724498</v>
      </c>
      <c r="V26" s="69">
        <v>13.8917323949335</v>
      </c>
      <c r="W26" s="69">
        <v>12520.1243823897</v>
      </c>
      <c r="X26" s="69">
        <v>4566.75829934389</v>
      </c>
      <c r="Y26" s="69">
        <v>1470.8539676671701</v>
      </c>
      <c r="Z26" s="69">
        <v>617.92094190485898</v>
      </c>
      <c r="AA26" s="69">
        <v>6925.8729651429303</v>
      </c>
      <c r="AB26" s="69">
        <v>988.03604267023798</v>
      </c>
      <c r="AC26" s="69">
        <v>429.13765434122899</v>
      </c>
      <c r="AD26" s="69">
        <v>432.41988639830498</v>
      </c>
      <c r="AE26" s="69">
        <v>498.46848994223399</v>
      </c>
      <c r="AF26" s="69">
        <v>51.890354621277098</v>
      </c>
      <c r="AG26" s="69">
        <v>850.60630471371098</v>
      </c>
      <c r="AH26" s="69">
        <v>70.258153944401201</v>
      </c>
      <c r="AI26" s="69">
        <v>33.7435439489511</v>
      </c>
      <c r="AJ26" s="69">
        <v>378.072771678018</v>
      </c>
      <c r="AK26" s="69">
        <v>90.665053417486106</v>
      </c>
      <c r="AL26" s="69">
        <v>633.00231499753295</v>
      </c>
      <c r="AM26" s="69">
        <v>92.837852428358801</v>
      </c>
      <c r="AN26" s="69">
        <v>35.692034913409799</v>
      </c>
      <c r="AO26" s="69">
        <v>341.71500122340802</v>
      </c>
      <c r="AP26" s="69">
        <v>81.014691183622503</v>
      </c>
      <c r="AQ26" s="69">
        <v>214.92365947565</v>
      </c>
      <c r="AR26" s="69">
        <v>24.650744579882002</v>
      </c>
      <c r="AS26" s="69">
        <v>0.99590656625419305</v>
      </c>
      <c r="AT26" s="69">
        <v>0.23712315026667399</v>
      </c>
      <c r="AU26" s="69">
        <v>4.6463671409336396</v>
      </c>
      <c r="AV26" s="69">
        <v>1.9275543219823501</v>
      </c>
      <c r="AW26" s="69">
        <v>24.2930268148232</v>
      </c>
      <c r="AX26" s="69">
        <v>0.78822318383179102</v>
      </c>
      <c r="AY26" s="69">
        <v>1.6964955742249499</v>
      </c>
      <c r="AZ26" s="69">
        <v>1.8491130355996599</v>
      </c>
      <c r="BA26" s="69">
        <v>0.83183692850483504</v>
      </c>
      <c r="BB26" s="69">
        <v>2.1774551726503302</v>
      </c>
      <c r="BC26" s="69">
        <v>6.5913426859408704</v>
      </c>
      <c r="BD26" s="69">
        <v>6.3438134347447104</v>
      </c>
      <c r="BE26" s="69">
        <v>12.9924342094516</v>
      </c>
      <c r="BF26" s="69">
        <v>7.9324526849639598</v>
      </c>
      <c r="BG26" s="69">
        <v>6.6177474803046197</v>
      </c>
      <c r="BH26" s="69">
        <v>43.127155682679501</v>
      </c>
      <c r="BI26" s="69">
        <v>0.16939047023067599</v>
      </c>
      <c r="BJ26" s="69">
        <v>13.8282732694388</v>
      </c>
      <c r="BK26" s="69">
        <v>24.689201283172501</v>
      </c>
      <c r="BL26" s="69">
        <v>2.6934789186672199</v>
      </c>
      <c r="BM26" s="69">
        <v>218.393346053448</v>
      </c>
      <c r="BN26" s="69">
        <v>336.47927451779799</v>
      </c>
      <c r="BO26" s="69">
        <v>3.3861111476660599</v>
      </c>
      <c r="BP26" s="69">
        <v>175.87919428770701</v>
      </c>
      <c r="BQ26" s="70">
        <v>0</v>
      </c>
      <c r="BR26" s="71">
        <v>56375.777275831897</v>
      </c>
      <c r="BS26" s="72">
        <v>204.23477683736701</v>
      </c>
      <c r="BT26" s="73">
        <v>4.6822953539370697</v>
      </c>
      <c r="BU26" s="73">
        <v>0</v>
      </c>
      <c r="BV26" s="73">
        <v>1833.23176105128</v>
      </c>
      <c r="BW26" s="73">
        <v>24.353567584330499</v>
      </c>
      <c r="BX26" s="74">
        <v>0</v>
      </c>
      <c r="BY26" s="71">
        <v>2066.5024008269102</v>
      </c>
      <c r="BZ26" s="75">
        <v>58442.2796766588</v>
      </c>
    </row>
    <row r="27" spans="1:78" ht="15" customHeight="1" x14ac:dyDescent="0.3">
      <c r="A27" s="19" t="s">
        <v>45</v>
      </c>
      <c r="B27" s="11" t="s">
        <v>113</v>
      </c>
      <c r="C27" s="68">
        <v>5594.3427827077803</v>
      </c>
      <c r="D27" s="69">
        <v>644.23815964615596</v>
      </c>
      <c r="E27" s="69">
        <v>17.3723828439703</v>
      </c>
      <c r="F27" s="69">
        <v>392.34118617837299</v>
      </c>
      <c r="G27" s="69">
        <v>104.995322879764</v>
      </c>
      <c r="H27" s="69">
        <v>113.647694480266</v>
      </c>
      <c r="I27" s="69">
        <v>29.839361751337101</v>
      </c>
      <c r="J27" s="69">
        <v>210.98144202549199</v>
      </c>
      <c r="K27" s="69">
        <v>12.6434682036681</v>
      </c>
      <c r="L27" s="69">
        <v>528.96465705513299</v>
      </c>
      <c r="M27" s="69">
        <v>32.056474450725297</v>
      </c>
      <c r="N27" s="69">
        <v>0.28046792006641202</v>
      </c>
      <c r="O27" s="69">
        <v>78.485519130657707</v>
      </c>
      <c r="P27" s="69">
        <v>12.484989250498799</v>
      </c>
      <c r="Q27" s="69">
        <v>39.825326389377402</v>
      </c>
      <c r="R27" s="69">
        <v>281.01124543001703</v>
      </c>
      <c r="S27" s="69">
        <v>506.621588907952</v>
      </c>
      <c r="T27" s="69">
        <v>179.30556977001299</v>
      </c>
      <c r="U27" s="69">
        <v>76.526399415345196</v>
      </c>
      <c r="V27" s="69">
        <v>53.078683117070298</v>
      </c>
      <c r="W27" s="69">
        <v>606.26395614276805</v>
      </c>
      <c r="X27" s="69">
        <v>2279.6285720115502</v>
      </c>
      <c r="Y27" s="69">
        <v>331.433407340668</v>
      </c>
      <c r="Z27" s="69">
        <v>191.44508667400601</v>
      </c>
      <c r="AA27" s="69">
        <v>808.702559319123</v>
      </c>
      <c r="AB27" s="69">
        <v>330.57113279242401</v>
      </c>
      <c r="AC27" s="69">
        <v>98.575389558250095</v>
      </c>
      <c r="AD27" s="69">
        <v>26.228287319773301</v>
      </c>
      <c r="AE27" s="69">
        <v>181.99179771771199</v>
      </c>
      <c r="AF27" s="69">
        <v>51.982038091304901</v>
      </c>
      <c r="AG27" s="69">
        <v>52.784392027921797</v>
      </c>
      <c r="AH27" s="69">
        <v>44.308128657069197</v>
      </c>
      <c r="AI27" s="69">
        <v>126.277831239257</v>
      </c>
      <c r="AJ27" s="69">
        <v>60.145648699836599</v>
      </c>
      <c r="AK27" s="69">
        <v>23.437778718453199</v>
      </c>
      <c r="AL27" s="69">
        <v>153.630009737574</v>
      </c>
      <c r="AM27" s="69">
        <v>173.26817871014401</v>
      </c>
      <c r="AN27" s="69">
        <v>30.2690265485056</v>
      </c>
      <c r="AO27" s="69">
        <v>105.983872907464</v>
      </c>
      <c r="AP27" s="69">
        <v>1741.3489766334601</v>
      </c>
      <c r="AQ27" s="69">
        <v>582.44840005667697</v>
      </c>
      <c r="AR27" s="69">
        <v>68.277140518753001</v>
      </c>
      <c r="AS27" s="69">
        <v>0.27813167144168699</v>
      </c>
      <c r="AT27" s="69">
        <v>2.46252867691799E-2</v>
      </c>
      <c r="AU27" s="69">
        <v>9.5885875917157009</v>
      </c>
      <c r="AV27" s="69">
        <v>4.33107563443785</v>
      </c>
      <c r="AW27" s="69">
        <v>9.7246586887668798</v>
      </c>
      <c r="AX27" s="69">
        <v>20.0220786773268</v>
      </c>
      <c r="AY27" s="69">
        <v>34.581827111510997</v>
      </c>
      <c r="AZ27" s="69">
        <v>1.1888718582234299</v>
      </c>
      <c r="BA27" s="69">
        <v>0.42996380119293798</v>
      </c>
      <c r="BB27" s="69">
        <v>5.9733429309951296</v>
      </c>
      <c r="BC27" s="69">
        <v>233.95194015217501</v>
      </c>
      <c r="BD27" s="69">
        <v>2.79583393851741</v>
      </c>
      <c r="BE27" s="69">
        <v>5.1176492167472496</v>
      </c>
      <c r="BF27" s="69">
        <v>9.2139261657375204</v>
      </c>
      <c r="BG27" s="69">
        <v>3.8357981631607201</v>
      </c>
      <c r="BH27" s="69">
        <v>326.055933201877</v>
      </c>
      <c r="BI27" s="69">
        <v>6.0684882939391699E-2</v>
      </c>
      <c r="BJ27" s="69">
        <v>50.330419071247803</v>
      </c>
      <c r="BK27" s="69">
        <v>51.708898139401001</v>
      </c>
      <c r="BL27" s="69">
        <v>1.43168916988896</v>
      </c>
      <c r="BM27" s="69">
        <v>212.88154363024299</v>
      </c>
      <c r="BN27" s="69">
        <v>35.055284312481902</v>
      </c>
      <c r="BO27" s="69">
        <v>1.5323090332970899</v>
      </c>
      <c r="BP27" s="69">
        <v>34.085516189484402</v>
      </c>
      <c r="BQ27" s="70">
        <v>0</v>
      </c>
      <c r="BR27" s="71">
        <v>18032.244921495902</v>
      </c>
      <c r="BS27" s="72">
        <v>108.87168870110401</v>
      </c>
      <c r="BT27" s="73">
        <v>7.1660190032189997</v>
      </c>
      <c r="BU27" s="73">
        <v>0</v>
      </c>
      <c r="BV27" s="73">
        <v>1184.07979042179</v>
      </c>
      <c r="BW27" s="73">
        <v>13.208444326193099</v>
      </c>
      <c r="BX27" s="74">
        <v>0</v>
      </c>
      <c r="BY27" s="71">
        <v>1313.3259424523101</v>
      </c>
      <c r="BZ27" s="75">
        <v>19345.5708639482</v>
      </c>
    </row>
    <row r="28" spans="1:78" ht="15" customHeight="1" x14ac:dyDescent="0.3">
      <c r="A28" s="33" t="s">
        <v>46</v>
      </c>
      <c r="B28" s="11" t="s">
        <v>114</v>
      </c>
      <c r="C28" s="68">
        <v>137.926639738441</v>
      </c>
      <c r="D28" s="69">
        <v>34.790883474236303</v>
      </c>
      <c r="E28" s="69">
        <v>0.62823498491382301</v>
      </c>
      <c r="F28" s="69">
        <v>10.7885093936614</v>
      </c>
      <c r="G28" s="69">
        <v>65.896418628309306</v>
      </c>
      <c r="H28" s="69">
        <v>97.6420240824215</v>
      </c>
      <c r="I28" s="69">
        <v>9.0951590478577895</v>
      </c>
      <c r="J28" s="69">
        <v>52.576384391768599</v>
      </c>
      <c r="K28" s="69">
        <v>12.536019205432</v>
      </c>
      <c r="L28" s="69">
        <v>113.01470200105101</v>
      </c>
      <c r="M28" s="69">
        <v>15.8970775458414</v>
      </c>
      <c r="N28" s="69">
        <v>1.43908950029798</v>
      </c>
      <c r="O28" s="69">
        <v>40.3302079497522</v>
      </c>
      <c r="P28" s="69">
        <v>27.968540333295302</v>
      </c>
      <c r="Q28" s="69">
        <v>8.8080309535066998</v>
      </c>
      <c r="R28" s="69">
        <v>26.6610909837325</v>
      </c>
      <c r="S28" s="69">
        <v>81.702307871460206</v>
      </c>
      <c r="T28" s="69">
        <v>12.904059326633901</v>
      </c>
      <c r="U28" s="69">
        <v>36.045143807449499</v>
      </c>
      <c r="V28" s="69">
        <v>2.55475906713643</v>
      </c>
      <c r="W28" s="69">
        <v>202.94781560173399</v>
      </c>
      <c r="X28" s="69">
        <v>220.65288146848701</v>
      </c>
      <c r="Y28" s="69">
        <v>727.54881046787898</v>
      </c>
      <c r="Z28" s="69">
        <v>30.5540528472104</v>
      </c>
      <c r="AA28" s="69">
        <v>85.806371244532897</v>
      </c>
      <c r="AB28" s="69">
        <v>53.514187441992398</v>
      </c>
      <c r="AC28" s="69">
        <v>24.9573939301563</v>
      </c>
      <c r="AD28" s="69">
        <v>36.470445549343701</v>
      </c>
      <c r="AE28" s="69">
        <v>340.08265013280902</v>
      </c>
      <c r="AF28" s="69">
        <v>19.473347907793499</v>
      </c>
      <c r="AG28" s="69">
        <v>13.0236943531787</v>
      </c>
      <c r="AH28" s="69">
        <v>21.4621821862664</v>
      </c>
      <c r="AI28" s="69">
        <v>11.606185454368401</v>
      </c>
      <c r="AJ28" s="69">
        <v>19.188198117187302</v>
      </c>
      <c r="AK28" s="69">
        <v>2.5665679386117199</v>
      </c>
      <c r="AL28" s="69">
        <v>18.4769252408623</v>
      </c>
      <c r="AM28" s="69">
        <v>6.7323809793398199</v>
      </c>
      <c r="AN28" s="69">
        <v>7.0870495416571302</v>
      </c>
      <c r="AO28" s="69">
        <v>37.2060683003576</v>
      </c>
      <c r="AP28" s="69">
        <v>90.972035873143597</v>
      </c>
      <c r="AQ28" s="69">
        <v>1352.95560063581</v>
      </c>
      <c r="AR28" s="69">
        <v>181.248654345245</v>
      </c>
      <c r="AS28" s="69">
        <v>4.4659879050818203</v>
      </c>
      <c r="AT28" s="69">
        <v>0.19051433231391199</v>
      </c>
      <c r="AU28" s="69">
        <v>77.387895051992999</v>
      </c>
      <c r="AV28" s="69">
        <v>42.387185329196299</v>
      </c>
      <c r="AW28" s="69">
        <v>43.298576205043098</v>
      </c>
      <c r="AX28" s="69">
        <v>11.7320974889398</v>
      </c>
      <c r="AY28" s="69">
        <v>25.8704304332074</v>
      </c>
      <c r="AZ28" s="69">
        <v>56.333418912197402</v>
      </c>
      <c r="BA28" s="69">
        <v>9.0078325461513806</v>
      </c>
      <c r="BB28" s="69">
        <v>24.429225224571798</v>
      </c>
      <c r="BC28" s="69">
        <v>7.0430840664891496</v>
      </c>
      <c r="BD28" s="69">
        <v>160.804462847053</v>
      </c>
      <c r="BE28" s="69">
        <v>62.628458924343597</v>
      </c>
      <c r="BF28" s="69">
        <v>160.26548681060601</v>
      </c>
      <c r="BG28" s="69">
        <v>63.9339907558251</v>
      </c>
      <c r="BH28" s="69">
        <v>820.953867737888</v>
      </c>
      <c r="BI28" s="69">
        <v>0.28979120092821598</v>
      </c>
      <c r="BJ28" s="69">
        <v>101.06720265643</v>
      </c>
      <c r="BK28" s="69">
        <v>78.239264009046494</v>
      </c>
      <c r="BL28" s="69">
        <v>76.027133409688901</v>
      </c>
      <c r="BM28" s="69">
        <v>82.376307572321195</v>
      </c>
      <c r="BN28" s="69">
        <v>360.127612441434</v>
      </c>
      <c r="BO28" s="69">
        <v>88.854011030633998</v>
      </c>
      <c r="BP28" s="69">
        <v>665.83725833705398</v>
      </c>
      <c r="BQ28" s="70">
        <v>0</v>
      </c>
      <c r="BR28" s="71">
        <v>7317.2898770736001</v>
      </c>
      <c r="BS28" s="72">
        <v>14.744684649706</v>
      </c>
      <c r="BT28" s="73">
        <v>3.6786219642031099</v>
      </c>
      <c r="BU28" s="73">
        <v>0</v>
      </c>
      <c r="BV28" s="73">
        <v>32148.452355771798</v>
      </c>
      <c r="BW28" s="73">
        <v>20.802402327595399</v>
      </c>
      <c r="BX28" s="74">
        <v>0</v>
      </c>
      <c r="BY28" s="71">
        <v>32187.678064713298</v>
      </c>
      <c r="BZ28" s="75">
        <v>39504.967941786897</v>
      </c>
    </row>
    <row r="29" spans="1:78" ht="15" customHeight="1" x14ac:dyDescent="0.3">
      <c r="A29" s="33" t="s">
        <v>47</v>
      </c>
      <c r="B29" s="11" t="s">
        <v>115</v>
      </c>
      <c r="C29" s="68">
        <v>148.05482272822201</v>
      </c>
      <c r="D29" s="69">
        <v>1026.59914786283</v>
      </c>
      <c r="E29" s="69">
        <v>5.6502918613995803</v>
      </c>
      <c r="F29" s="69">
        <v>1.29662204323501</v>
      </c>
      <c r="G29" s="69">
        <v>172.57058578213201</v>
      </c>
      <c r="H29" s="69">
        <v>3.3162227918023102</v>
      </c>
      <c r="I29" s="69">
        <v>0.434230264431271</v>
      </c>
      <c r="J29" s="69">
        <v>16.907003621206101</v>
      </c>
      <c r="K29" s="69">
        <v>0.31557870229914498</v>
      </c>
      <c r="L29" s="69">
        <v>170.64527588027701</v>
      </c>
      <c r="M29" s="69">
        <v>1.44566720017971</v>
      </c>
      <c r="N29" s="69">
        <v>3.4037098684601202E-3</v>
      </c>
      <c r="O29" s="69">
        <v>2.6635589464050899</v>
      </c>
      <c r="P29" s="69">
        <v>2.54704657504386</v>
      </c>
      <c r="Q29" s="69">
        <v>1.2027482216085099</v>
      </c>
      <c r="R29" s="69">
        <v>0.94261075070820199</v>
      </c>
      <c r="S29" s="69">
        <v>5.0327052506278296</v>
      </c>
      <c r="T29" s="69">
        <v>0.27132279524273201</v>
      </c>
      <c r="U29" s="69">
        <v>0.659156600462248</v>
      </c>
      <c r="V29" s="69">
        <v>0.18258793079366101</v>
      </c>
      <c r="W29" s="69">
        <v>33.523320900871298</v>
      </c>
      <c r="X29" s="69">
        <v>186.89065824637501</v>
      </c>
      <c r="Y29" s="69">
        <v>20.3622036129055</v>
      </c>
      <c r="Z29" s="69">
        <v>2180.3826830200101</v>
      </c>
      <c r="AA29" s="69">
        <v>7.3170734443080896</v>
      </c>
      <c r="AB29" s="69">
        <v>1.8225619598998</v>
      </c>
      <c r="AC29" s="69">
        <v>1.7692415680654601</v>
      </c>
      <c r="AD29" s="69">
        <v>1.42567533312838</v>
      </c>
      <c r="AE29" s="69">
        <v>7.1175842639113096</v>
      </c>
      <c r="AF29" s="69">
        <v>1.8309653673370401</v>
      </c>
      <c r="AG29" s="69">
        <v>0.76318503681967298</v>
      </c>
      <c r="AH29" s="69">
        <v>2.1512096400815701</v>
      </c>
      <c r="AI29" s="69">
        <v>0.83525958418663904</v>
      </c>
      <c r="AJ29" s="69">
        <v>0.61716044444144702</v>
      </c>
      <c r="AK29" s="69">
        <v>0.12618801380614</v>
      </c>
      <c r="AL29" s="69">
        <v>2.6618765577147601</v>
      </c>
      <c r="AM29" s="69">
        <v>0.80746681137245602</v>
      </c>
      <c r="AN29" s="69">
        <v>0.22856503877082701</v>
      </c>
      <c r="AO29" s="69">
        <v>1.3406499817498001</v>
      </c>
      <c r="AP29" s="69">
        <v>2.9875018916598601</v>
      </c>
      <c r="AQ29" s="69">
        <v>181.627722922506</v>
      </c>
      <c r="AR29" s="69">
        <v>3.7773842543146698</v>
      </c>
      <c r="AS29" s="69">
        <v>0.26108736688564299</v>
      </c>
      <c r="AT29" s="69">
        <v>5.5548815546022003E-3</v>
      </c>
      <c r="AU29" s="69">
        <v>1.82029542681667</v>
      </c>
      <c r="AV29" s="69">
        <v>1.1445417555650901</v>
      </c>
      <c r="AW29" s="69">
        <v>10.203666515279901</v>
      </c>
      <c r="AX29" s="69">
        <v>6.3583410666366205E-2</v>
      </c>
      <c r="AY29" s="69">
        <v>0.54800688136197995</v>
      </c>
      <c r="AZ29" s="69">
        <v>1.06231144335012</v>
      </c>
      <c r="BA29" s="69">
        <v>0.28330143310565398</v>
      </c>
      <c r="BB29" s="69">
        <v>0.45644717943015201</v>
      </c>
      <c r="BC29" s="69">
        <v>0.19137805326918</v>
      </c>
      <c r="BD29" s="69">
        <v>3.3123344060123601</v>
      </c>
      <c r="BE29" s="69">
        <v>5.6362321016659704</v>
      </c>
      <c r="BF29" s="69">
        <v>34.407048924092798</v>
      </c>
      <c r="BG29" s="69">
        <v>1.9009450376905701</v>
      </c>
      <c r="BH29" s="69">
        <v>16.739394456477001</v>
      </c>
      <c r="BI29" s="69">
        <v>2.5675004910757301E-2</v>
      </c>
      <c r="BJ29" s="69">
        <v>593.795485230895</v>
      </c>
      <c r="BK29" s="69">
        <v>150.62462789156601</v>
      </c>
      <c r="BL29" s="69">
        <v>78.389206740862505</v>
      </c>
      <c r="BM29" s="69">
        <v>3780.9669836326102</v>
      </c>
      <c r="BN29" s="69">
        <v>3021.1710932732899</v>
      </c>
      <c r="BO29" s="69">
        <v>3.2778130246037298</v>
      </c>
      <c r="BP29" s="69">
        <v>216.741352833089</v>
      </c>
      <c r="BQ29" s="70">
        <v>0</v>
      </c>
      <c r="BR29" s="71">
        <v>12124.135094318101</v>
      </c>
      <c r="BS29" s="72">
        <v>2.9964604699964399</v>
      </c>
      <c r="BT29" s="73">
        <v>2556.5512840256802</v>
      </c>
      <c r="BU29" s="73">
        <v>0</v>
      </c>
      <c r="BV29" s="73">
        <v>33626.5231987386</v>
      </c>
      <c r="BW29" s="73">
        <v>11.730863984140599</v>
      </c>
      <c r="BX29" s="74">
        <v>0</v>
      </c>
      <c r="BY29" s="71">
        <v>36197.801807218399</v>
      </c>
      <c r="BZ29" s="75">
        <v>48321.936901536501</v>
      </c>
    </row>
    <row r="30" spans="1:78" ht="15" customHeight="1" x14ac:dyDescent="0.3">
      <c r="A30" s="33" t="s">
        <v>48</v>
      </c>
      <c r="B30" s="11" t="s">
        <v>116</v>
      </c>
      <c r="C30" s="68">
        <v>108.572192739898</v>
      </c>
      <c r="D30" s="69">
        <v>42.054905705449897</v>
      </c>
      <c r="E30" s="69">
        <v>6.5215744096558499</v>
      </c>
      <c r="F30" s="69">
        <v>20.3355404218145</v>
      </c>
      <c r="G30" s="69">
        <v>73.620622369236102</v>
      </c>
      <c r="H30" s="69">
        <v>425.33310701642</v>
      </c>
      <c r="I30" s="69">
        <v>27.620973978317</v>
      </c>
      <c r="J30" s="69">
        <v>437.26917799662198</v>
      </c>
      <c r="K30" s="69">
        <v>37.601742259234598</v>
      </c>
      <c r="L30" s="69">
        <v>1053.63857891612</v>
      </c>
      <c r="M30" s="69">
        <v>375.36809660624499</v>
      </c>
      <c r="N30" s="69">
        <v>3.38694090869667</v>
      </c>
      <c r="O30" s="69">
        <v>94.857450590454206</v>
      </c>
      <c r="P30" s="69">
        <v>50.764117978048198</v>
      </c>
      <c r="Q30" s="69">
        <v>157.514850308467</v>
      </c>
      <c r="R30" s="69">
        <v>73.905913062817305</v>
      </c>
      <c r="S30" s="69">
        <v>195.323788011288</v>
      </c>
      <c r="T30" s="69">
        <v>118.74825370981</v>
      </c>
      <c r="U30" s="69">
        <v>16.527841702627502</v>
      </c>
      <c r="V30" s="69">
        <v>8.44835399921066</v>
      </c>
      <c r="W30" s="69">
        <v>298.91910741930297</v>
      </c>
      <c r="X30" s="69">
        <v>130.83830301078899</v>
      </c>
      <c r="Y30" s="69">
        <v>210.07389958775201</v>
      </c>
      <c r="Z30" s="69">
        <v>63.739998654515198</v>
      </c>
      <c r="AA30" s="69">
        <v>3240.8028440025601</v>
      </c>
      <c r="AB30" s="69">
        <v>429.76896735958599</v>
      </c>
      <c r="AC30" s="69">
        <v>129.30651111882699</v>
      </c>
      <c r="AD30" s="69">
        <v>36.478939670291098</v>
      </c>
      <c r="AE30" s="69">
        <v>167.37849039525801</v>
      </c>
      <c r="AF30" s="69">
        <v>193.52030123216699</v>
      </c>
      <c r="AG30" s="69">
        <v>386.756878489119</v>
      </c>
      <c r="AH30" s="69">
        <v>683.65855846786701</v>
      </c>
      <c r="AI30" s="69">
        <v>1115.3777103396101</v>
      </c>
      <c r="AJ30" s="69">
        <v>795.78802982708999</v>
      </c>
      <c r="AK30" s="69">
        <v>102.726965249937</v>
      </c>
      <c r="AL30" s="69">
        <v>440.08829465941699</v>
      </c>
      <c r="AM30" s="69">
        <v>344.77287107318801</v>
      </c>
      <c r="AN30" s="69">
        <v>69.2597514743223</v>
      </c>
      <c r="AO30" s="69">
        <v>175.22642415947001</v>
      </c>
      <c r="AP30" s="69">
        <v>3417.1724839246699</v>
      </c>
      <c r="AQ30" s="69">
        <v>1215.6514785295101</v>
      </c>
      <c r="AR30" s="69">
        <v>1030.7931164372601</v>
      </c>
      <c r="AS30" s="69">
        <v>2.6410755493833702</v>
      </c>
      <c r="AT30" s="69">
        <v>30.889674195661101</v>
      </c>
      <c r="AU30" s="69">
        <v>21.9506924201924</v>
      </c>
      <c r="AV30" s="69">
        <v>5.1572019732844998</v>
      </c>
      <c r="AW30" s="69">
        <v>56.514243675272901</v>
      </c>
      <c r="AX30" s="69">
        <v>6.5700078227965104</v>
      </c>
      <c r="AY30" s="69">
        <v>1.5357763657083801</v>
      </c>
      <c r="AZ30" s="69">
        <v>2.9302170206423299</v>
      </c>
      <c r="BA30" s="69">
        <v>5.65533425442871</v>
      </c>
      <c r="BB30" s="69">
        <v>17.023751339006601</v>
      </c>
      <c r="BC30" s="69">
        <v>35.286711106545702</v>
      </c>
      <c r="BD30" s="69">
        <v>52.374273819311</v>
      </c>
      <c r="BE30" s="69">
        <v>6.9923510212383704</v>
      </c>
      <c r="BF30" s="69">
        <v>20.0365724181734</v>
      </c>
      <c r="BG30" s="69">
        <v>49.638825751901201</v>
      </c>
      <c r="BH30" s="69">
        <v>98.710191967292303</v>
      </c>
      <c r="BI30" s="69">
        <v>0.52443253733341499</v>
      </c>
      <c r="BJ30" s="69">
        <v>37.441600240683201</v>
      </c>
      <c r="BK30" s="69">
        <v>43.318376478624501</v>
      </c>
      <c r="BL30" s="69">
        <v>2.23614776965371</v>
      </c>
      <c r="BM30" s="69">
        <v>182.91660995199101</v>
      </c>
      <c r="BN30" s="69">
        <v>190.491102091941</v>
      </c>
      <c r="BO30" s="69">
        <v>2.2802687012887</v>
      </c>
      <c r="BP30" s="69">
        <v>41.732241825836802</v>
      </c>
      <c r="BQ30" s="70">
        <v>0</v>
      </c>
      <c r="BR30" s="71">
        <v>18920.361628071099</v>
      </c>
      <c r="BS30" s="72">
        <v>7.4920741770181998</v>
      </c>
      <c r="BT30" s="73">
        <v>0.47262792066958698</v>
      </c>
      <c r="BU30" s="73">
        <v>0</v>
      </c>
      <c r="BV30" s="73">
        <v>5722.4878720904999</v>
      </c>
      <c r="BW30" s="73">
        <v>342.02185867410202</v>
      </c>
      <c r="BX30" s="74">
        <v>0</v>
      </c>
      <c r="BY30" s="71">
        <v>6072.4744328622901</v>
      </c>
      <c r="BZ30" s="75">
        <v>24992.836060933401</v>
      </c>
    </row>
    <row r="31" spans="1:78" ht="15" customHeight="1" x14ac:dyDescent="0.3">
      <c r="A31" s="33" t="s">
        <v>49</v>
      </c>
      <c r="B31" s="11" t="s">
        <v>117</v>
      </c>
      <c r="C31" s="68">
        <v>1789.5376462204299</v>
      </c>
      <c r="D31" s="69">
        <v>1002.28886999208</v>
      </c>
      <c r="E31" s="69">
        <v>27.062456662265902</v>
      </c>
      <c r="F31" s="69">
        <v>25.569741423426699</v>
      </c>
      <c r="G31" s="69">
        <v>22.865898127307201</v>
      </c>
      <c r="H31" s="69">
        <v>16.232013344039601</v>
      </c>
      <c r="I31" s="69">
        <v>6.6896722111036002</v>
      </c>
      <c r="J31" s="69">
        <v>6.48073485306021</v>
      </c>
      <c r="K31" s="69">
        <v>109.87039622275699</v>
      </c>
      <c r="L31" s="69">
        <v>665.64673954638999</v>
      </c>
      <c r="M31" s="69">
        <v>772.54030442887802</v>
      </c>
      <c r="N31" s="69">
        <v>0.28200283786709002</v>
      </c>
      <c r="O31" s="69">
        <v>9.6201390384030194</v>
      </c>
      <c r="P31" s="69">
        <v>30.953276496625801</v>
      </c>
      <c r="Q31" s="69">
        <v>6.73732997094175</v>
      </c>
      <c r="R31" s="69">
        <v>4.77103783294476</v>
      </c>
      <c r="S31" s="69">
        <v>181.198039446113</v>
      </c>
      <c r="T31" s="69">
        <v>3.3784089647072699</v>
      </c>
      <c r="U31" s="69">
        <v>1.0994827146283499</v>
      </c>
      <c r="V31" s="69">
        <v>4.4881719012575303</v>
      </c>
      <c r="W31" s="69">
        <v>394.36068248915097</v>
      </c>
      <c r="X31" s="69">
        <v>102.338769424875</v>
      </c>
      <c r="Y31" s="69">
        <v>129.11334770537101</v>
      </c>
      <c r="Z31" s="69">
        <v>27.156718193427601</v>
      </c>
      <c r="AA31" s="69">
        <v>278.89344597053901</v>
      </c>
      <c r="AB31" s="69">
        <v>2869.0975326666698</v>
      </c>
      <c r="AC31" s="69">
        <v>204.96144085507501</v>
      </c>
      <c r="AD31" s="69">
        <v>12.0433468430784</v>
      </c>
      <c r="AE31" s="69">
        <v>105.538733684558</v>
      </c>
      <c r="AF31" s="69">
        <v>4.2310348412584498</v>
      </c>
      <c r="AG31" s="69">
        <v>129.092749774807</v>
      </c>
      <c r="AH31" s="69">
        <v>150.769611525204</v>
      </c>
      <c r="AI31" s="69">
        <v>676.49888079250695</v>
      </c>
      <c r="AJ31" s="69">
        <v>58.445173120605602</v>
      </c>
      <c r="AK31" s="69">
        <v>46.5768223822568</v>
      </c>
      <c r="AL31" s="69">
        <v>214.52873794086301</v>
      </c>
      <c r="AM31" s="69">
        <v>90.847429629614396</v>
      </c>
      <c r="AN31" s="69">
        <v>262.42015174243301</v>
      </c>
      <c r="AO31" s="69">
        <v>226.72125784510999</v>
      </c>
      <c r="AP31" s="69">
        <v>11682.984220468699</v>
      </c>
      <c r="AQ31" s="69">
        <v>109.538617051613</v>
      </c>
      <c r="AR31" s="69">
        <v>11.681896114859001</v>
      </c>
      <c r="AS31" s="69">
        <v>0.57741702216011204</v>
      </c>
      <c r="AT31" s="69">
        <v>4.3611714324744196E-3</v>
      </c>
      <c r="AU31" s="69">
        <v>2.4406182361270501</v>
      </c>
      <c r="AV31" s="69">
        <v>49.601789737617302</v>
      </c>
      <c r="AW31" s="69">
        <v>180.57740662011699</v>
      </c>
      <c r="AX31" s="69">
        <v>0.52292808874568897</v>
      </c>
      <c r="AY31" s="69">
        <v>0.669955871668238</v>
      </c>
      <c r="AZ31" s="69">
        <v>0.28613861135673702</v>
      </c>
      <c r="BA31" s="69">
        <v>0.59049005268896504</v>
      </c>
      <c r="BB31" s="69">
        <v>0.84089513591535503</v>
      </c>
      <c r="BC31" s="69">
        <v>428.92304331058</v>
      </c>
      <c r="BD31" s="69">
        <v>1.28413769604747</v>
      </c>
      <c r="BE31" s="69">
        <v>2.9939202132117599</v>
      </c>
      <c r="BF31" s="69">
        <v>1.19020438408254</v>
      </c>
      <c r="BG31" s="69">
        <v>1.57965038880946</v>
      </c>
      <c r="BH31" s="69">
        <v>27.819952300501701</v>
      </c>
      <c r="BI31" s="69">
        <v>0.10401722940755</v>
      </c>
      <c r="BJ31" s="69">
        <v>86.900982369191496</v>
      </c>
      <c r="BK31" s="69">
        <v>33.293470170475999</v>
      </c>
      <c r="BL31" s="69">
        <v>0.407651819929086</v>
      </c>
      <c r="BM31" s="69">
        <v>85.232937024913397</v>
      </c>
      <c r="BN31" s="69">
        <v>68.771955783887094</v>
      </c>
      <c r="BO31" s="69">
        <v>0.31187148937723602</v>
      </c>
      <c r="BP31" s="69">
        <v>54.143656130968402</v>
      </c>
      <c r="BQ31" s="70">
        <v>0</v>
      </c>
      <c r="BR31" s="71">
        <v>23504.222414157</v>
      </c>
      <c r="BS31" s="72">
        <v>46.832202371149499</v>
      </c>
      <c r="BT31" s="73">
        <v>5.1067481457678596</v>
      </c>
      <c r="BU31" s="73">
        <v>0</v>
      </c>
      <c r="BV31" s="73">
        <v>1609.09058972139</v>
      </c>
      <c r="BW31" s="73">
        <v>61.725785216813001</v>
      </c>
      <c r="BX31" s="74">
        <v>0</v>
      </c>
      <c r="BY31" s="71">
        <v>1722.7553254551201</v>
      </c>
      <c r="BZ31" s="75">
        <v>25226.977739612099</v>
      </c>
    </row>
    <row r="32" spans="1:78" ht="15" customHeight="1" x14ac:dyDescent="0.3">
      <c r="A32" s="33" t="s">
        <v>50</v>
      </c>
      <c r="B32" s="11" t="s">
        <v>118</v>
      </c>
      <c r="C32" s="68">
        <v>68.887333071475695</v>
      </c>
      <c r="D32" s="69">
        <v>99.189956082159398</v>
      </c>
      <c r="E32" s="69">
        <v>6.15340163838097</v>
      </c>
      <c r="F32" s="69">
        <v>34.861725116263102</v>
      </c>
      <c r="G32" s="69">
        <v>2952.7714477345198</v>
      </c>
      <c r="H32" s="69">
        <v>57.467698990228698</v>
      </c>
      <c r="I32" s="69">
        <v>26.630786169696901</v>
      </c>
      <c r="J32" s="69">
        <v>130.212731118097</v>
      </c>
      <c r="K32" s="69">
        <v>3.0029682366500698</v>
      </c>
      <c r="L32" s="69">
        <v>78.982993008984906</v>
      </c>
      <c r="M32" s="69">
        <v>83.237397738124997</v>
      </c>
      <c r="N32" s="69">
        <v>0.38149088149858601</v>
      </c>
      <c r="O32" s="69">
        <v>7.87642756642175</v>
      </c>
      <c r="P32" s="69">
        <v>1.3454473179797299</v>
      </c>
      <c r="Q32" s="69">
        <v>2.9822149949635399</v>
      </c>
      <c r="R32" s="69">
        <v>18.412151782836201</v>
      </c>
      <c r="S32" s="69">
        <v>84.703434344651498</v>
      </c>
      <c r="T32" s="69">
        <v>2.72517320397123</v>
      </c>
      <c r="U32" s="69">
        <v>8.8287462071387992</v>
      </c>
      <c r="V32" s="69">
        <v>2.41179984493218</v>
      </c>
      <c r="W32" s="69">
        <v>55.718857853887897</v>
      </c>
      <c r="X32" s="69">
        <v>37.855361454826301</v>
      </c>
      <c r="Y32" s="69">
        <v>25.016032473667799</v>
      </c>
      <c r="Z32" s="69">
        <v>5.94044958448369</v>
      </c>
      <c r="AA32" s="69">
        <v>351.29008972664201</v>
      </c>
      <c r="AB32" s="69">
        <v>159.732408594784</v>
      </c>
      <c r="AC32" s="69">
        <v>2238.13217075888</v>
      </c>
      <c r="AD32" s="69">
        <v>98.734633752957393</v>
      </c>
      <c r="AE32" s="69">
        <v>6070.3532152819998</v>
      </c>
      <c r="AF32" s="69">
        <v>37.622626114806401</v>
      </c>
      <c r="AG32" s="69">
        <v>979.22198014919297</v>
      </c>
      <c r="AH32" s="69">
        <v>3062.9789230910601</v>
      </c>
      <c r="AI32" s="69">
        <v>1562.16593672473</v>
      </c>
      <c r="AJ32" s="69">
        <v>2396.4334134355399</v>
      </c>
      <c r="AK32" s="69">
        <v>201.144269780212</v>
      </c>
      <c r="AL32" s="69">
        <v>429.152189039348</v>
      </c>
      <c r="AM32" s="69">
        <v>373.58177180259901</v>
      </c>
      <c r="AN32" s="69">
        <v>70.168555459989406</v>
      </c>
      <c r="AO32" s="69">
        <v>39.749860253569103</v>
      </c>
      <c r="AP32" s="69">
        <v>3391.2135542268302</v>
      </c>
      <c r="AQ32" s="69">
        <v>482.86103895885901</v>
      </c>
      <c r="AR32" s="69">
        <v>12.6624480976781</v>
      </c>
      <c r="AS32" s="69">
        <v>0.373368573439324</v>
      </c>
      <c r="AT32" s="69">
        <v>1.43534292419103E-2</v>
      </c>
      <c r="AU32" s="69">
        <v>0.635368440857221</v>
      </c>
      <c r="AV32" s="69">
        <v>2.5328726769413001</v>
      </c>
      <c r="AW32" s="69">
        <v>31.793562580916198</v>
      </c>
      <c r="AX32" s="69">
        <v>0</v>
      </c>
      <c r="AY32" s="69">
        <v>9.7857265151797407E-2</v>
      </c>
      <c r="AZ32" s="69">
        <v>0.50101113106240602</v>
      </c>
      <c r="BA32" s="69">
        <v>12.5215751253044</v>
      </c>
      <c r="BB32" s="69">
        <v>0.11414273482576499</v>
      </c>
      <c r="BC32" s="69">
        <v>7.74669475314181</v>
      </c>
      <c r="BD32" s="69">
        <v>0.55336283660289898</v>
      </c>
      <c r="BE32" s="69">
        <v>4.5763981042616404</v>
      </c>
      <c r="BF32" s="69">
        <v>4.6135085193121303E-2</v>
      </c>
      <c r="BG32" s="69">
        <v>52.670376746137201</v>
      </c>
      <c r="BH32" s="69">
        <v>8.0840068913694996</v>
      </c>
      <c r="BI32" s="69">
        <v>1.96371604975634</v>
      </c>
      <c r="BJ32" s="69">
        <v>38.603935765206103</v>
      </c>
      <c r="BK32" s="69">
        <v>6.4043746163908599</v>
      </c>
      <c r="BL32" s="69">
        <v>0</v>
      </c>
      <c r="BM32" s="69">
        <v>4.0037517453434504</v>
      </c>
      <c r="BN32" s="69">
        <v>1.4880433843441201</v>
      </c>
      <c r="BO32" s="69">
        <v>1.58083474122892E-2</v>
      </c>
      <c r="BP32" s="69">
        <v>2.8872472478337499</v>
      </c>
      <c r="BQ32" s="70">
        <v>0</v>
      </c>
      <c r="BR32" s="71">
        <v>25930.423075196199</v>
      </c>
      <c r="BS32" s="72">
        <v>151.54635408524501</v>
      </c>
      <c r="BT32" s="73">
        <v>0</v>
      </c>
      <c r="BU32" s="73">
        <v>0</v>
      </c>
      <c r="BV32" s="73">
        <v>374.145918418299</v>
      </c>
      <c r="BW32" s="73">
        <v>215.266195443268</v>
      </c>
      <c r="BX32" s="74">
        <v>0</v>
      </c>
      <c r="BY32" s="71">
        <v>740.95846794681199</v>
      </c>
      <c r="BZ32" s="75">
        <v>26671.381543143099</v>
      </c>
    </row>
    <row r="33" spans="1:78" ht="15" customHeight="1" x14ac:dyDescent="0.3">
      <c r="A33" s="33" t="s">
        <v>51</v>
      </c>
      <c r="B33" s="11" t="s">
        <v>119</v>
      </c>
      <c r="C33" s="68">
        <v>69.090683955182996</v>
      </c>
      <c r="D33" s="69">
        <v>17.923451052423001</v>
      </c>
      <c r="E33" s="69">
        <v>1.0402924214210101</v>
      </c>
      <c r="F33" s="69">
        <v>1.40034363590763</v>
      </c>
      <c r="G33" s="69">
        <v>39.279423493608498</v>
      </c>
      <c r="H33" s="69">
        <v>22.480220047588801</v>
      </c>
      <c r="I33" s="69">
        <v>36.119730515729003</v>
      </c>
      <c r="J33" s="69">
        <v>178.93072753695</v>
      </c>
      <c r="K33" s="69">
        <v>2.5495769149718499</v>
      </c>
      <c r="L33" s="69">
        <v>306.28436115695098</v>
      </c>
      <c r="M33" s="69">
        <v>24.809028637597301</v>
      </c>
      <c r="N33" s="69">
        <v>0.18702054514458699</v>
      </c>
      <c r="O33" s="69">
        <v>2.7494158350720999</v>
      </c>
      <c r="P33" s="69">
        <v>0.70950664528861396</v>
      </c>
      <c r="Q33" s="69">
        <v>1.91577414304464</v>
      </c>
      <c r="R33" s="69">
        <v>4.59705744100562</v>
      </c>
      <c r="S33" s="69">
        <v>206.595774345134</v>
      </c>
      <c r="T33" s="69">
        <v>144.106757517837</v>
      </c>
      <c r="U33" s="69">
        <v>2.2922458640597601</v>
      </c>
      <c r="V33" s="69">
        <v>0.87998026934678297</v>
      </c>
      <c r="W33" s="69">
        <v>415.448416534145</v>
      </c>
      <c r="X33" s="69">
        <v>138.64463503937799</v>
      </c>
      <c r="Y33" s="69">
        <v>17.121446942325299</v>
      </c>
      <c r="Z33" s="69">
        <v>7.5585112578335902</v>
      </c>
      <c r="AA33" s="69">
        <v>61.050266662880702</v>
      </c>
      <c r="AB33" s="69">
        <v>83.233350202523795</v>
      </c>
      <c r="AC33" s="69">
        <v>864.99607035514703</v>
      </c>
      <c r="AD33" s="69">
        <v>6696.40222456634</v>
      </c>
      <c r="AE33" s="69">
        <v>1253.34060086407</v>
      </c>
      <c r="AF33" s="69">
        <v>76.697750167692206</v>
      </c>
      <c r="AG33" s="69">
        <v>3465.0612961187599</v>
      </c>
      <c r="AH33" s="69">
        <v>940.07803389418405</v>
      </c>
      <c r="AI33" s="69">
        <v>379.52336509386299</v>
      </c>
      <c r="AJ33" s="69">
        <v>1852.34390424204</v>
      </c>
      <c r="AK33" s="69">
        <v>363.16411269157499</v>
      </c>
      <c r="AL33" s="69">
        <v>998.17705883359201</v>
      </c>
      <c r="AM33" s="69">
        <v>493.055457045259</v>
      </c>
      <c r="AN33" s="69">
        <v>16.333086618272699</v>
      </c>
      <c r="AO33" s="69">
        <v>61.494460289065501</v>
      </c>
      <c r="AP33" s="69">
        <v>961.43904362070305</v>
      </c>
      <c r="AQ33" s="69">
        <v>177.489503204892</v>
      </c>
      <c r="AR33" s="69">
        <v>17.6764783449681</v>
      </c>
      <c r="AS33" s="69">
        <v>0.522379269703653</v>
      </c>
      <c r="AT33" s="69">
        <v>1.26933790191547E-3</v>
      </c>
      <c r="AU33" s="69">
        <v>0.56935716698110295</v>
      </c>
      <c r="AV33" s="69">
        <v>0.744574224381641</v>
      </c>
      <c r="AW33" s="69">
        <v>8.9608302781468705</v>
      </c>
      <c r="AX33" s="69">
        <v>8.8988507722867302E-2</v>
      </c>
      <c r="AY33" s="69">
        <v>6.3004415961644605E-2</v>
      </c>
      <c r="AZ33" s="69">
        <v>0.381014199650833</v>
      </c>
      <c r="BA33" s="69">
        <v>0.158562334858005</v>
      </c>
      <c r="BB33" s="69">
        <v>0.20601314356195799</v>
      </c>
      <c r="BC33" s="69">
        <v>13.751530964339601</v>
      </c>
      <c r="BD33" s="69">
        <v>0.38593666439186702</v>
      </c>
      <c r="BE33" s="69">
        <v>0.25125015118668598</v>
      </c>
      <c r="BF33" s="69">
        <v>0.18109995411545701</v>
      </c>
      <c r="BG33" s="69">
        <v>0.47418836914607199</v>
      </c>
      <c r="BH33" s="69">
        <v>3.6922951940035502</v>
      </c>
      <c r="BI33" s="69">
        <v>0.56831033378052398</v>
      </c>
      <c r="BJ33" s="69">
        <v>9.2280478405915396</v>
      </c>
      <c r="BK33" s="69">
        <v>2.45407188659664</v>
      </c>
      <c r="BL33" s="69">
        <v>6.7893224816900605E-2</v>
      </c>
      <c r="BM33" s="69">
        <v>9.4407094660654796</v>
      </c>
      <c r="BN33" s="69">
        <v>17.034965236904299</v>
      </c>
      <c r="BO33" s="69">
        <v>4.7618982996950797E-2</v>
      </c>
      <c r="BP33" s="69">
        <v>9.6889849998015105</v>
      </c>
      <c r="BQ33" s="70">
        <v>0</v>
      </c>
      <c r="BR33" s="71">
        <v>20483.233340711398</v>
      </c>
      <c r="BS33" s="72">
        <v>165.367444784068</v>
      </c>
      <c r="BT33" s="73">
        <v>0</v>
      </c>
      <c r="BU33" s="73">
        <v>0</v>
      </c>
      <c r="BV33" s="73">
        <v>410.931813551358</v>
      </c>
      <c r="BW33" s="73">
        <v>113.487895506787</v>
      </c>
      <c r="BX33" s="74">
        <v>0</v>
      </c>
      <c r="BY33" s="71">
        <v>689.78715384221402</v>
      </c>
      <c r="BZ33" s="75">
        <v>21173.020494553599</v>
      </c>
    </row>
    <row r="34" spans="1:78" ht="15" customHeight="1" x14ac:dyDescent="0.3">
      <c r="A34" s="33" t="s">
        <v>52</v>
      </c>
      <c r="B34" s="11" t="s">
        <v>120</v>
      </c>
      <c r="C34" s="68">
        <v>170.43677630947101</v>
      </c>
      <c r="D34" s="69">
        <v>245.43459683127901</v>
      </c>
      <c r="E34" s="69">
        <v>16.818916669861</v>
      </c>
      <c r="F34" s="69">
        <v>12.487775917322301</v>
      </c>
      <c r="G34" s="69">
        <v>304.50306558463001</v>
      </c>
      <c r="H34" s="69">
        <v>714.88297345043202</v>
      </c>
      <c r="I34" s="69">
        <v>95.761310144619003</v>
      </c>
      <c r="J34" s="69">
        <v>982.94102558287</v>
      </c>
      <c r="K34" s="69">
        <v>41.594526161888503</v>
      </c>
      <c r="L34" s="69">
        <v>816.87388340446296</v>
      </c>
      <c r="M34" s="69">
        <v>1325.22049425879</v>
      </c>
      <c r="N34" s="69">
        <v>5.48679071946819</v>
      </c>
      <c r="O34" s="69">
        <v>23.594196833051701</v>
      </c>
      <c r="P34" s="69">
        <v>25.5103873724055</v>
      </c>
      <c r="Q34" s="69">
        <v>14.904290572495</v>
      </c>
      <c r="R34" s="69">
        <v>242.77769364519801</v>
      </c>
      <c r="S34" s="69">
        <v>54.032364354526301</v>
      </c>
      <c r="T34" s="69">
        <v>5.3967913604613598</v>
      </c>
      <c r="U34" s="69">
        <v>132.70179091728599</v>
      </c>
      <c r="V34" s="69">
        <v>30.607326151123399</v>
      </c>
      <c r="W34" s="69">
        <v>213.24370042268399</v>
      </c>
      <c r="X34" s="69">
        <v>332.09359858700299</v>
      </c>
      <c r="Y34" s="69">
        <v>298.58202394132002</v>
      </c>
      <c r="Z34" s="69">
        <v>47.517376936583297</v>
      </c>
      <c r="AA34" s="69">
        <v>92.860459307054796</v>
      </c>
      <c r="AB34" s="69">
        <v>80.632650202794295</v>
      </c>
      <c r="AC34" s="69">
        <v>345.18460815713701</v>
      </c>
      <c r="AD34" s="69">
        <v>168.139746146638</v>
      </c>
      <c r="AE34" s="69">
        <v>2637.0128210675698</v>
      </c>
      <c r="AF34" s="69">
        <v>307.61256447007099</v>
      </c>
      <c r="AG34" s="69">
        <v>817.58421235807305</v>
      </c>
      <c r="AH34" s="69">
        <v>1601.1506703125201</v>
      </c>
      <c r="AI34" s="69">
        <v>1294.68730514965</v>
      </c>
      <c r="AJ34" s="69">
        <v>696.09078404603804</v>
      </c>
      <c r="AK34" s="69">
        <v>299.78924670613401</v>
      </c>
      <c r="AL34" s="69">
        <v>431.67315153148797</v>
      </c>
      <c r="AM34" s="69">
        <v>926.28330607825797</v>
      </c>
      <c r="AN34" s="69">
        <v>421.02506411254899</v>
      </c>
      <c r="AO34" s="69">
        <v>135.976915326712</v>
      </c>
      <c r="AP34" s="69">
        <v>6134.5731960245403</v>
      </c>
      <c r="AQ34" s="69">
        <v>592.65997216404503</v>
      </c>
      <c r="AR34" s="69">
        <v>56.756985987701299</v>
      </c>
      <c r="AS34" s="69">
        <v>2.6280217813418498</v>
      </c>
      <c r="AT34" s="69">
        <v>0.105039534634242</v>
      </c>
      <c r="AU34" s="69">
        <v>3.7587948558953399</v>
      </c>
      <c r="AV34" s="69">
        <v>42.4633132742238</v>
      </c>
      <c r="AW34" s="69">
        <v>517.35963257236597</v>
      </c>
      <c r="AX34" s="69">
        <v>8.6451128537603193E-3</v>
      </c>
      <c r="AY34" s="69">
        <v>1.77466768928714</v>
      </c>
      <c r="AZ34" s="69">
        <v>6.1861104688550999</v>
      </c>
      <c r="BA34" s="69">
        <v>1.0897996140555399</v>
      </c>
      <c r="BB34" s="69">
        <v>0.770513895084731</v>
      </c>
      <c r="BC34" s="69">
        <v>119.025440221594</v>
      </c>
      <c r="BD34" s="69">
        <v>2.75899951461024</v>
      </c>
      <c r="BE34" s="69">
        <v>5.5422346981500601</v>
      </c>
      <c r="BF34" s="69">
        <v>1.8869667858850301</v>
      </c>
      <c r="BG34" s="69">
        <v>3.9536970122157702</v>
      </c>
      <c r="BH34" s="69">
        <v>109.067385924761</v>
      </c>
      <c r="BI34" s="69">
        <v>32.868994053861897</v>
      </c>
      <c r="BJ34" s="69">
        <v>227.68022142707301</v>
      </c>
      <c r="BK34" s="69">
        <v>15.9300228296283</v>
      </c>
      <c r="BL34" s="69">
        <v>0.305842751382086</v>
      </c>
      <c r="BM34" s="69">
        <v>25.5953576095737</v>
      </c>
      <c r="BN34" s="69">
        <v>63.379239139165797</v>
      </c>
      <c r="BO34" s="69">
        <v>0.83328035077991203</v>
      </c>
      <c r="BP34" s="69">
        <v>44.2587931181898</v>
      </c>
      <c r="BQ34" s="70">
        <v>0</v>
      </c>
      <c r="BR34" s="71">
        <v>24422.3283495137</v>
      </c>
      <c r="BS34" s="72">
        <v>13.2040099023626</v>
      </c>
      <c r="BT34" s="73">
        <v>0</v>
      </c>
      <c r="BU34" s="73">
        <v>0</v>
      </c>
      <c r="BV34" s="73">
        <v>4784.7143810892603</v>
      </c>
      <c r="BW34" s="73">
        <v>1466.48208731964</v>
      </c>
      <c r="BX34" s="74">
        <v>0</v>
      </c>
      <c r="BY34" s="71">
        <v>6264.4004783112596</v>
      </c>
      <c r="BZ34" s="75">
        <v>30686.7288278249</v>
      </c>
    </row>
    <row r="35" spans="1:78" ht="15" customHeight="1" x14ac:dyDescent="0.3">
      <c r="A35" s="33" t="s">
        <v>53</v>
      </c>
      <c r="B35" s="11" t="s">
        <v>121</v>
      </c>
      <c r="C35" s="68">
        <v>0.95244115551755504</v>
      </c>
      <c r="D35" s="69">
        <v>1.9781574881375099</v>
      </c>
      <c r="E35" s="69">
        <v>0.369225332494037</v>
      </c>
      <c r="F35" s="69">
        <v>2.6688589095117501</v>
      </c>
      <c r="G35" s="69">
        <v>360.99894439608198</v>
      </c>
      <c r="H35" s="69">
        <v>149.22947870990501</v>
      </c>
      <c r="I35" s="69">
        <v>14.0898636870698</v>
      </c>
      <c r="J35" s="69">
        <v>23.677839726814501</v>
      </c>
      <c r="K35" s="69">
        <v>0.341543255855562</v>
      </c>
      <c r="L35" s="69">
        <v>5.3468714303903004</v>
      </c>
      <c r="M35" s="69">
        <v>2.1893297307800599</v>
      </c>
      <c r="N35" s="69">
        <v>0.117652059621331</v>
      </c>
      <c r="O35" s="69">
        <v>1.2516524173024699</v>
      </c>
      <c r="P35" s="69">
        <v>6.4295266061730301</v>
      </c>
      <c r="Q35" s="69">
        <v>1.3921541796161401</v>
      </c>
      <c r="R35" s="69">
        <v>6.3485394900631302</v>
      </c>
      <c r="S35" s="69">
        <v>3.4231217472456299</v>
      </c>
      <c r="T35" s="69">
        <v>128.13071838172101</v>
      </c>
      <c r="U35" s="69">
        <v>0.51858538111458796</v>
      </c>
      <c r="V35" s="69">
        <v>0.29022682179215398</v>
      </c>
      <c r="W35" s="69">
        <v>4.8538745993014798</v>
      </c>
      <c r="X35" s="69">
        <v>3.8153639775446502</v>
      </c>
      <c r="Y35" s="69">
        <v>2.1670308231826998</v>
      </c>
      <c r="Z35" s="69">
        <v>1.30580226176192</v>
      </c>
      <c r="AA35" s="69">
        <v>12.253652179615701</v>
      </c>
      <c r="AB35" s="69">
        <v>4.0431082369864297</v>
      </c>
      <c r="AC35" s="69">
        <v>1.13934853428901</v>
      </c>
      <c r="AD35" s="69">
        <v>2.64067890824913</v>
      </c>
      <c r="AE35" s="69">
        <v>4.2568188615708804</v>
      </c>
      <c r="AF35" s="69">
        <v>7553.0588972654296</v>
      </c>
      <c r="AG35" s="69">
        <v>340.12034576489498</v>
      </c>
      <c r="AH35" s="69">
        <v>840.09410332795903</v>
      </c>
      <c r="AI35" s="69">
        <v>125.059438616124</v>
      </c>
      <c r="AJ35" s="69">
        <v>102.48341952904801</v>
      </c>
      <c r="AK35" s="69">
        <v>36.599482731626097</v>
      </c>
      <c r="AL35" s="69">
        <v>43.3856808895857</v>
      </c>
      <c r="AM35" s="69">
        <v>573.75050006211097</v>
      </c>
      <c r="AN35" s="69">
        <v>94.235978448915901</v>
      </c>
      <c r="AO35" s="69">
        <v>12.0802108591843</v>
      </c>
      <c r="AP35" s="69">
        <v>349.17130471261203</v>
      </c>
      <c r="AQ35" s="69">
        <v>188.121232893262</v>
      </c>
      <c r="AR35" s="69">
        <v>18.034227605164499</v>
      </c>
      <c r="AS35" s="69">
        <v>7.9340406561501799</v>
      </c>
      <c r="AT35" s="69">
        <v>0.95122029582058398</v>
      </c>
      <c r="AU35" s="69">
        <v>139.42611016758801</v>
      </c>
      <c r="AV35" s="69">
        <v>0.39105290965409301</v>
      </c>
      <c r="AW35" s="69">
        <v>0.82328690426767603</v>
      </c>
      <c r="AX35" s="69">
        <v>0.70664772498846096</v>
      </c>
      <c r="AY35" s="69">
        <v>135.89792068585001</v>
      </c>
      <c r="AZ35" s="69">
        <v>72.1143510868433</v>
      </c>
      <c r="BA35" s="69">
        <v>1875.2631159006</v>
      </c>
      <c r="BB35" s="69">
        <v>154.358696709486</v>
      </c>
      <c r="BC35" s="69">
        <v>4.5016117775129398</v>
      </c>
      <c r="BD35" s="69">
        <v>205.19203142183201</v>
      </c>
      <c r="BE35" s="69">
        <v>792.54602898252494</v>
      </c>
      <c r="BF35" s="69">
        <v>113.181616271142</v>
      </c>
      <c r="BG35" s="69">
        <v>27.274900694270901</v>
      </c>
      <c r="BH35" s="69">
        <v>445.64303814457003</v>
      </c>
      <c r="BI35" s="69">
        <v>42.450319676316703</v>
      </c>
      <c r="BJ35" s="69">
        <v>154.50195060700699</v>
      </c>
      <c r="BK35" s="69">
        <v>332.40515201067097</v>
      </c>
      <c r="BL35" s="69">
        <v>68.965201620709493</v>
      </c>
      <c r="BM35" s="69">
        <v>447.645872324739</v>
      </c>
      <c r="BN35" s="69">
        <v>215.487081146783</v>
      </c>
      <c r="BO35" s="69">
        <v>22.953372656508801</v>
      </c>
      <c r="BP35" s="69">
        <v>456.907660581963</v>
      </c>
      <c r="BQ35" s="70">
        <v>0</v>
      </c>
      <c r="BR35" s="71">
        <v>16739.937512953398</v>
      </c>
      <c r="BS35" s="72">
        <v>4.8528064752704703</v>
      </c>
      <c r="BT35" s="73">
        <v>0</v>
      </c>
      <c r="BU35" s="73">
        <v>0</v>
      </c>
      <c r="BV35" s="73">
        <v>35373.196117658001</v>
      </c>
      <c r="BW35" s="73">
        <v>12961.031696753</v>
      </c>
      <c r="BX35" s="74">
        <v>0</v>
      </c>
      <c r="BY35" s="71">
        <v>48339.0806208863</v>
      </c>
      <c r="BZ35" s="75">
        <v>65079.018133839701</v>
      </c>
    </row>
    <row r="36" spans="1:78" ht="15" customHeight="1" x14ac:dyDescent="0.3">
      <c r="A36" s="33" t="s">
        <v>54</v>
      </c>
      <c r="B36" s="11" t="s">
        <v>122</v>
      </c>
      <c r="C36" s="68">
        <v>17.9255319487287</v>
      </c>
      <c r="D36" s="69">
        <v>40.062022914015301</v>
      </c>
      <c r="E36" s="69">
        <v>3.5358925639292802</v>
      </c>
      <c r="F36" s="69">
        <v>5.6586647116481599</v>
      </c>
      <c r="G36" s="69">
        <v>179.45144309834399</v>
      </c>
      <c r="H36" s="69">
        <v>72.656760892262099</v>
      </c>
      <c r="I36" s="69">
        <v>9.2695520419348298</v>
      </c>
      <c r="J36" s="69">
        <v>24.062438372301202</v>
      </c>
      <c r="K36" s="69">
        <v>7.1095640207045596</v>
      </c>
      <c r="L36" s="69">
        <v>27.297520819272801</v>
      </c>
      <c r="M36" s="69">
        <v>14.122988026785</v>
      </c>
      <c r="N36" s="69">
        <v>9.4543991188954193E-2</v>
      </c>
      <c r="O36" s="69">
        <v>9.1641631654974507</v>
      </c>
      <c r="P36" s="69">
        <v>0.307361828955309</v>
      </c>
      <c r="Q36" s="69">
        <v>0.66803712408812399</v>
      </c>
      <c r="R36" s="69">
        <v>11.102435034869099</v>
      </c>
      <c r="S36" s="69">
        <v>17.908078418796801</v>
      </c>
      <c r="T36" s="69">
        <v>4.1516991831734096</v>
      </c>
      <c r="U36" s="69">
        <v>0.98232983531252205</v>
      </c>
      <c r="V36" s="69">
        <v>0.25956490191996701</v>
      </c>
      <c r="W36" s="69">
        <v>35.114945471833401</v>
      </c>
      <c r="X36" s="69">
        <v>8.3558734725690407</v>
      </c>
      <c r="Y36" s="69">
        <v>11.309047292712201</v>
      </c>
      <c r="Z36" s="69">
        <v>2.3236033023923999</v>
      </c>
      <c r="AA36" s="69">
        <v>37.556340196565799</v>
      </c>
      <c r="AB36" s="69">
        <v>67.7757169827117</v>
      </c>
      <c r="AC36" s="69">
        <v>24.487450281942198</v>
      </c>
      <c r="AD36" s="69">
        <v>78.903848237863301</v>
      </c>
      <c r="AE36" s="69">
        <v>60.287948209103497</v>
      </c>
      <c r="AF36" s="69">
        <v>604.99344836158798</v>
      </c>
      <c r="AG36" s="69">
        <v>5913.9458549386</v>
      </c>
      <c r="AH36" s="69">
        <v>2074.63920493667</v>
      </c>
      <c r="AI36" s="69">
        <v>500.75489339734099</v>
      </c>
      <c r="AJ36" s="69">
        <v>464.94532221988698</v>
      </c>
      <c r="AK36" s="69">
        <v>137.755305846662</v>
      </c>
      <c r="AL36" s="69">
        <v>173.01016870074801</v>
      </c>
      <c r="AM36" s="69">
        <v>1309.7323582818699</v>
      </c>
      <c r="AN36" s="69">
        <v>1928.2446689066801</v>
      </c>
      <c r="AO36" s="69">
        <v>99.636465991888002</v>
      </c>
      <c r="AP36" s="69">
        <v>3249.4028629280101</v>
      </c>
      <c r="AQ36" s="69">
        <v>483.28206121390701</v>
      </c>
      <c r="AR36" s="69">
        <v>496.42806574679503</v>
      </c>
      <c r="AS36" s="69">
        <v>7.7909646300015396</v>
      </c>
      <c r="AT36" s="69">
        <v>1.7590832367569899E-2</v>
      </c>
      <c r="AU36" s="69">
        <v>19.1151649173583</v>
      </c>
      <c r="AV36" s="69">
        <v>6.7709317585728002</v>
      </c>
      <c r="AW36" s="69">
        <v>6.7181135445657301</v>
      </c>
      <c r="AX36" s="69">
        <v>0.227703594310915</v>
      </c>
      <c r="AY36" s="69">
        <v>17.670924079310499</v>
      </c>
      <c r="AZ36" s="69">
        <v>275.42719001475501</v>
      </c>
      <c r="BA36" s="69">
        <v>10.8946794497597</v>
      </c>
      <c r="BB36" s="69">
        <v>11.6051545448047</v>
      </c>
      <c r="BC36" s="69">
        <v>139.27189139535901</v>
      </c>
      <c r="BD36" s="69">
        <v>129.60742330064701</v>
      </c>
      <c r="BE36" s="69">
        <v>26.2169005248331</v>
      </c>
      <c r="BF36" s="69">
        <v>16.555219991725899</v>
      </c>
      <c r="BG36" s="69">
        <v>6.04809641829676</v>
      </c>
      <c r="BH36" s="69">
        <v>219.63086312029699</v>
      </c>
      <c r="BI36" s="69">
        <v>0.401801200124838</v>
      </c>
      <c r="BJ36" s="69">
        <v>34.009863770625003</v>
      </c>
      <c r="BK36" s="69">
        <v>18.1413776547911</v>
      </c>
      <c r="BL36" s="69">
        <v>0.234355746792512</v>
      </c>
      <c r="BM36" s="69">
        <v>13.579800102728599</v>
      </c>
      <c r="BN36" s="69">
        <v>2.9341502961675401</v>
      </c>
      <c r="BO36" s="69">
        <v>16.866294109003999</v>
      </c>
      <c r="BP36" s="69">
        <v>660.75689006465598</v>
      </c>
      <c r="BQ36" s="70">
        <v>0</v>
      </c>
      <c r="BR36" s="71">
        <v>19849.169392873901</v>
      </c>
      <c r="BS36" s="72">
        <v>40.984111672051903</v>
      </c>
      <c r="BT36" s="73">
        <v>0</v>
      </c>
      <c r="BU36" s="73">
        <v>0</v>
      </c>
      <c r="BV36" s="73">
        <v>19068.926127389801</v>
      </c>
      <c r="BW36" s="73">
        <v>3876.33880313282</v>
      </c>
      <c r="BX36" s="74">
        <v>0</v>
      </c>
      <c r="BY36" s="71">
        <v>22986.249042194599</v>
      </c>
      <c r="BZ36" s="75">
        <v>42835.418435068597</v>
      </c>
    </row>
    <row r="37" spans="1:78" ht="15" customHeight="1" x14ac:dyDescent="0.3">
      <c r="A37" s="33" t="s">
        <v>55</v>
      </c>
      <c r="B37" s="11" t="s">
        <v>123</v>
      </c>
      <c r="C37" s="68">
        <v>13.651621609839401</v>
      </c>
      <c r="D37" s="69">
        <v>22.889410474276598</v>
      </c>
      <c r="E37" s="69">
        <v>4.4862518294511604</v>
      </c>
      <c r="F37" s="69">
        <v>39.4519952234415</v>
      </c>
      <c r="G37" s="69">
        <v>2726.9281046268802</v>
      </c>
      <c r="H37" s="69">
        <v>3299.55536798711</v>
      </c>
      <c r="I37" s="69">
        <v>337.32885821868098</v>
      </c>
      <c r="J37" s="69">
        <v>23.0644014490552</v>
      </c>
      <c r="K37" s="69">
        <v>1.8665287398191699</v>
      </c>
      <c r="L37" s="69">
        <v>25.2585000141388</v>
      </c>
      <c r="M37" s="69">
        <v>30.7687402166037</v>
      </c>
      <c r="N37" s="69">
        <v>0.20989541395467801</v>
      </c>
      <c r="O37" s="69">
        <v>6.6126142478381702</v>
      </c>
      <c r="P37" s="69">
        <v>4.02651993648269</v>
      </c>
      <c r="Q37" s="69">
        <v>2.6444850723492501</v>
      </c>
      <c r="R37" s="69">
        <v>94.213782865739802</v>
      </c>
      <c r="S37" s="69">
        <v>5.1139773536170399</v>
      </c>
      <c r="T37" s="69">
        <v>3.4357740361348501</v>
      </c>
      <c r="U37" s="69">
        <v>2.8089692515981901</v>
      </c>
      <c r="V37" s="69">
        <v>0.73082004072629103</v>
      </c>
      <c r="W37" s="69">
        <v>7.9135051167434902</v>
      </c>
      <c r="X37" s="69">
        <v>8.8979556048144701</v>
      </c>
      <c r="Y37" s="69">
        <v>7.86977795286972</v>
      </c>
      <c r="Z37" s="69">
        <v>1.7784173531701399</v>
      </c>
      <c r="AA37" s="69">
        <v>34.430409919152403</v>
      </c>
      <c r="AB37" s="69">
        <v>13.1308604014603</v>
      </c>
      <c r="AC37" s="69">
        <v>12.7679008292444</v>
      </c>
      <c r="AD37" s="69">
        <v>30.365090633483401</v>
      </c>
      <c r="AE37" s="69">
        <v>71.730948424419296</v>
      </c>
      <c r="AF37" s="69">
        <v>74.738430757942098</v>
      </c>
      <c r="AG37" s="69">
        <v>374.104655064437</v>
      </c>
      <c r="AH37" s="69">
        <v>8187.4633222698703</v>
      </c>
      <c r="AI37" s="69">
        <v>416.12386040193701</v>
      </c>
      <c r="AJ37" s="69">
        <v>84.432537979322703</v>
      </c>
      <c r="AK37" s="69">
        <v>177.04554172457199</v>
      </c>
      <c r="AL37" s="69">
        <v>36.550584263526403</v>
      </c>
      <c r="AM37" s="69">
        <v>3856.35593297368</v>
      </c>
      <c r="AN37" s="69">
        <v>71.601536047842004</v>
      </c>
      <c r="AO37" s="69">
        <v>43.428059463697601</v>
      </c>
      <c r="AP37" s="69">
        <v>1203.09701226641</v>
      </c>
      <c r="AQ37" s="69">
        <v>448.28640027224299</v>
      </c>
      <c r="AR37" s="69">
        <v>80.482592278035895</v>
      </c>
      <c r="AS37" s="69">
        <v>137.63195193990899</v>
      </c>
      <c r="AT37" s="69">
        <v>0.208159075236929</v>
      </c>
      <c r="AU37" s="69">
        <v>135.53357757975701</v>
      </c>
      <c r="AV37" s="69">
        <v>3.86520563727065</v>
      </c>
      <c r="AW37" s="69">
        <v>11.808348043220001</v>
      </c>
      <c r="AX37" s="69">
        <v>0.28375125502617499</v>
      </c>
      <c r="AY37" s="69">
        <v>1.6027745161155</v>
      </c>
      <c r="AZ37" s="69">
        <v>21.9251564922812</v>
      </c>
      <c r="BA37" s="69">
        <v>12.1775280212011</v>
      </c>
      <c r="BB37" s="69">
        <v>3.1066968181637198</v>
      </c>
      <c r="BC37" s="69">
        <v>7.80568577388902</v>
      </c>
      <c r="BD37" s="69">
        <v>5.7326762777193103</v>
      </c>
      <c r="BE37" s="69">
        <v>19.295759896481901</v>
      </c>
      <c r="BF37" s="69">
        <v>2.7506578177402798</v>
      </c>
      <c r="BG37" s="69">
        <v>2.4256644922824</v>
      </c>
      <c r="BH37" s="69">
        <v>433.20475520790598</v>
      </c>
      <c r="BI37" s="69">
        <v>0.79937129587415201</v>
      </c>
      <c r="BJ37" s="69">
        <v>32.566099843540101</v>
      </c>
      <c r="BK37" s="69">
        <v>9.9352095446479005</v>
      </c>
      <c r="BL37" s="69">
        <v>0.56128698351679096</v>
      </c>
      <c r="BM37" s="69">
        <v>81.763747103686796</v>
      </c>
      <c r="BN37" s="69">
        <v>34.721200321536003</v>
      </c>
      <c r="BO37" s="69">
        <v>0.798545641150607</v>
      </c>
      <c r="BP37" s="69">
        <v>33.018270209789598</v>
      </c>
      <c r="BQ37" s="70">
        <v>0</v>
      </c>
      <c r="BR37" s="71">
        <v>22881.164030394601</v>
      </c>
      <c r="BS37" s="72">
        <v>86.883091180604595</v>
      </c>
      <c r="BT37" s="73">
        <v>0</v>
      </c>
      <c r="BU37" s="73">
        <v>0</v>
      </c>
      <c r="BV37" s="73">
        <v>2969.3913588113701</v>
      </c>
      <c r="BW37" s="73">
        <v>31432.415421023699</v>
      </c>
      <c r="BX37" s="74">
        <v>0</v>
      </c>
      <c r="BY37" s="71">
        <v>34488.689871015697</v>
      </c>
      <c r="BZ37" s="75">
        <v>57369.853901410199</v>
      </c>
    </row>
    <row r="38" spans="1:78" ht="15" customHeight="1" x14ac:dyDescent="0.3">
      <c r="A38" s="33" t="s">
        <v>56</v>
      </c>
      <c r="B38" s="11" t="s">
        <v>124</v>
      </c>
      <c r="C38" s="68">
        <v>0.72243050076881699</v>
      </c>
      <c r="D38" s="69">
        <v>0.908581334401662</v>
      </c>
      <c r="E38" s="69">
        <v>0.103066548791494</v>
      </c>
      <c r="F38" s="69">
        <v>0.31150674597985001</v>
      </c>
      <c r="G38" s="69">
        <v>23.5152107153095</v>
      </c>
      <c r="H38" s="69">
        <v>23.8159703380487</v>
      </c>
      <c r="I38" s="69">
        <v>2.28348294977412</v>
      </c>
      <c r="J38" s="69">
        <v>0.94418394894989799</v>
      </c>
      <c r="K38" s="69">
        <v>6.3244375425366801</v>
      </c>
      <c r="L38" s="69">
        <v>1.44196643687002</v>
      </c>
      <c r="M38" s="69">
        <v>0.82778846476968304</v>
      </c>
      <c r="N38" s="69">
        <v>1.9909968083814001E-3</v>
      </c>
      <c r="O38" s="69">
        <v>1.8385732824732299</v>
      </c>
      <c r="P38" s="69">
        <v>0.31121054105335699</v>
      </c>
      <c r="Q38" s="69">
        <v>0.38047947948509198</v>
      </c>
      <c r="R38" s="69">
        <v>0.97855985895335995</v>
      </c>
      <c r="S38" s="69">
        <v>0.45145764118904103</v>
      </c>
      <c r="T38" s="69">
        <v>8.6138882398821004E-2</v>
      </c>
      <c r="U38" s="69">
        <v>6.0007962723272197E-2</v>
      </c>
      <c r="V38" s="69">
        <v>1.7077318760724401E-2</v>
      </c>
      <c r="W38" s="69">
        <v>0.79298223586473404</v>
      </c>
      <c r="X38" s="69">
        <v>1.86952400030254</v>
      </c>
      <c r="Y38" s="69">
        <v>0.25745728512800098</v>
      </c>
      <c r="Z38" s="69">
        <v>9.1273779528129706E-2</v>
      </c>
      <c r="AA38" s="69">
        <v>2.83272959601338</v>
      </c>
      <c r="AB38" s="69">
        <v>1.4708037244719601</v>
      </c>
      <c r="AC38" s="69">
        <v>0.71958612459190596</v>
      </c>
      <c r="AD38" s="69">
        <v>0.54011246563471604</v>
      </c>
      <c r="AE38" s="69">
        <v>2.4794923021720798</v>
      </c>
      <c r="AF38" s="69">
        <v>9.9202249998631107</v>
      </c>
      <c r="AG38" s="69">
        <v>92.291508034990002</v>
      </c>
      <c r="AH38" s="69">
        <v>93.091494239618797</v>
      </c>
      <c r="AI38" s="69">
        <v>415.22217805743901</v>
      </c>
      <c r="AJ38" s="69">
        <v>79.818896763963807</v>
      </c>
      <c r="AK38" s="69">
        <v>41.718457558961397</v>
      </c>
      <c r="AL38" s="69">
        <v>3.42083593301167</v>
      </c>
      <c r="AM38" s="69">
        <v>51.132454871074202</v>
      </c>
      <c r="AN38" s="69">
        <v>34.732044507567501</v>
      </c>
      <c r="AO38" s="69">
        <v>2.23055595187025</v>
      </c>
      <c r="AP38" s="69">
        <v>69.802285825636204</v>
      </c>
      <c r="AQ38" s="69">
        <v>126.85174464004599</v>
      </c>
      <c r="AR38" s="69">
        <v>89.443229636850404</v>
      </c>
      <c r="AS38" s="69">
        <v>1.2327898667369299</v>
      </c>
      <c r="AT38" s="69">
        <v>5.5755715546498797E-4</v>
      </c>
      <c r="AU38" s="69">
        <v>1.3827303352325599</v>
      </c>
      <c r="AV38" s="69">
        <v>0.29739198717308601</v>
      </c>
      <c r="AW38" s="69">
        <v>0.43110140424315602</v>
      </c>
      <c r="AX38" s="69">
        <v>0</v>
      </c>
      <c r="AY38" s="69">
        <v>0.30462726971610099</v>
      </c>
      <c r="AZ38" s="69">
        <v>5.0342600031595897</v>
      </c>
      <c r="BA38" s="69">
        <v>5.7576480171970902E-2</v>
      </c>
      <c r="BB38" s="69">
        <v>0.20730883546969101</v>
      </c>
      <c r="BC38" s="69">
        <v>2.5366144733247999</v>
      </c>
      <c r="BD38" s="69">
        <v>2.3367753361088099</v>
      </c>
      <c r="BE38" s="69">
        <v>0.34510019869647701</v>
      </c>
      <c r="BF38" s="69">
        <v>0.27534057815445201</v>
      </c>
      <c r="BG38" s="69">
        <v>1.26756445147221</v>
      </c>
      <c r="BH38" s="69">
        <v>7.3296202556644898</v>
      </c>
      <c r="BI38" s="69">
        <v>1.19421672471695E-2</v>
      </c>
      <c r="BJ38" s="69">
        <v>4.89265692035044</v>
      </c>
      <c r="BK38" s="69">
        <v>2.2319749018391501</v>
      </c>
      <c r="BL38" s="69">
        <v>0</v>
      </c>
      <c r="BM38" s="69">
        <v>1.76828292228394</v>
      </c>
      <c r="BN38" s="69">
        <v>4.5759010257470499E-2</v>
      </c>
      <c r="BO38" s="69">
        <v>0.29886096792075201</v>
      </c>
      <c r="BP38" s="69">
        <v>4.4587487780860204</v>
      </c>
      <c r="BQ38" s="70">
        <v>0</v>
      </c>
      <c r="BR38" s="71">
        <v>1222.8015787251099</v>
      </c>
      <c r="BS38" s="72">
        <v>28.840167536880799</v>
      </c>
      <c r="BT38" s="73">
        <v>0</v>
      </c>
      <c r="BU38" s="73">
        <v>0</v>
      </c>
      <c r="BV38" s="73">
        <v>38431.517268256102</v>
      </c>
      <c r="BW38" s="73">
        <v>30128.9704156195</v>
      </c>
      <c r="BX38" s="74">
        <v>0</v>
      </c>
      <c r="BY38" s="71">
        <v>68589.327851412498</v>
      </c>
      <c r="BZ38" s="75">
        <v>69812.129430137604</v>
      </c>
    </row>
    <row r="39" spans="1:78" ht="15" customHeight="1" x14ac:dyDescent="0.3">
      <c r="A39" s="33" t="s">
        <v>57</v>
      </c>
      <c r="B39" s="11" t="s">
        <v>125</v>
      </c>
      <c r="C39" s="68">
        <v>10.2516343031317</v>
      </c>
      <c r="D39" s="69">
        <v>7.0757535949213697</v>
      </c>
      <c r="E39" s="69">
        <v>0.37564436695848602</v>
      </c>
      <c r="F39" s="69">
        <v>2.2193399491630901</v>
      </c>
      <c r="G39" s="69">
        <v>70.005242090020701</v>
      </c>
      <c r="H39" s="69">
        <v>76.699033787603796</v>
      </c>
      <c r="I39" s="69">
        <v>8.4231359852394192</v>
      </c>
      <c r="J39" s="69">
        <v>10.6070993409179</v>
      </c>
      <c r="K39" s="69">
        <v>1.1425664499504</v>
      </c>
      <c r="L39" s="69">
        <v>15.3191185523764</v>
      </c>
      <c r="M39" s="69">
        <v>15.224087083309101</v>
      </c>
      <c r="N39" s="69">
        <v>6.0350232872570402E-2</v>
      </c>
      <c r="O39" s="69">
        <v>2.3251385013961201</v>
      </c>
      <c r="P39" s="69">
        <v>0.52598539671706102</v>
      </c>
      <c r="Q39" s="69">
        <v>1.74175398088916</v>
      </c>
      <c r="R39" s="69">
        <v>4.7241595931469096</v>
      </c>
      <c r="S39" s="69">
        <v>3.0187544517673901</v>
      </c>
      <c r="T39" s="69">
        <v>2.3023895725494699</v>
      </c>
      <c r="U39" s="69">
        <v>1.3398942882354301</v>
      </c>
      <c r="V39" s="69">
        <v>0.43511631355389802</v>
      </c>
      <c r="W39" s="69">
        <v>4.9459389301899703</v>
      </c>
      <c r="X39" s="69">
        <v>5.3871105372235704</v>
      </c>
      <c r="Y39" s="69">
        <v>4.1542790117695896</v>
      </c>
      <c r="Z39" s="69">
        <v>1.2137473595285699</v>
      </c>
      <c r="AA39" s="69">
        <v>15.3417333887494</v>
      </c>
      <c r="AB39" s="69">
        <v>11.1905751737392</v>
      </c>
      <c r="AC39" s="69">
        <v>9.3606380680857697</v>
      </c>
      <c r="AD39" s="69">
        <v>15.692067850669799</v>
      </c>
      <c r="AE39" s="69">
        <v>31.166046659411101</v>
      </c>
      <c r="AF39" s="69">
        <v>36.144258367989501</v>
      </c>
      <c r="AG39" s="69">
        <v>63.247077360328802</v>
      </c>
      <c r="AH39" s="69">
        <v>214.16240383599899</v>
      </c>
      <c r="AI39" s="69">
        <v>13817.9007619571</v>
      </c>
      <c r="AJ39" s="69">
        <v>3903.8835837942502</v>
      </c>
      <c r="AK39" s="69">
        <v>30.356633432475999</v>
      </c>
      <c r="AL39" s="69">
        <v>9.5327008553660004</v>
      </c>
      <c r="AM39" s="69">
        <v>109.195017448724</v>
      </c>
      <c r="AN39" s="69">
        <v>17.464978900036499</v>
      </c>
      <c r="AO39" s="69">
        <v>3.55301698015673</v>
      </c>
      <c r="AP39" s="69">
        <v>144.743134939284</v>
      </c>
      <c r="AQ39" s="69">
        <v>5865.0148664275002</v>
      </c>
      <c r="AR39" s="69">
        <v>3928.2248573289098</v>
      </c>
      <c r="AS39" s="69">
        <v>3.2206791914838502</v>
      </c>
      <c r="AT39" s="69">
        <v>0.114788057323262</v>
      </c>
      <c r="AU39" s="69">
        <v>3.9987429856001002</v>
      </c>
      <c r="AV39" s="69">
        <v>0.84787265841042403</v>
      </c>
      <c r="AW39" s="69">
        <v>5.2728137288363399</v>
      </c>
      <c r="AX39" s="69">
        <v>2.9927880786766201E-2</v>
      </c>
      <c r="AY39" s="69">
        <v>0.33336356722415</v>
      </c>
      <c r="AZ39" s="69">
        <v>2.3062291730558302</v>
      </c>
      <c r="BA39" s="69">
        <v>1.4505061427344801</v>
      </c>
      <c r="BB39" s="69">
        <v>0.185269826836236</v>
      </c>
      <c r="BC39" s="69">
        <v>3.2992485594174501</v>
      </c>
      <c r="BD39" s="69">
        <v>1.10485712586999</v>
      </c>
      <c r="BE39" s="69">
        <v>16.4091019186796</v>
      </c>
      <c r="BF39" s="69">
        <v>0.21406722427239999</v>
      </c>
      <c r="BG39" s="69">
        <v>65.011900180502295</v>
      </c>
      <c r="BH39" s="69">
        <v>12.6941192987004</v>
      </c>
      <c r="BI39" s="69">
        <v>0.27793809385513202</v>
      </c>
      <c r="BJ39" s="69">
        <v>215.73708277468199</v>
      </c>
      <c r="BK39" s="69">
        <v>108.640168452124</v>
      </c>
      <c r="BL39" s="69">
        <v>1.1054067214771901E-2</v>
      </c>
      <c r="BM39" s="69">
        <v>70.964022685841201</v>
      </c>
      <c r="BN39" s="69">
        <v>2.07560502906008</v>
      </c>
      <c r="BO39" s="69">
        <v>0.13596928970243499</v>
      </c>
      <c r="BP39" s="69">
        <v>4.1938378466031603</v>
      </c>
      <c r="BQ39" s="70">
        <v>0</v>
      </c>
      <c r="BR39" s="71">
        <v>28994.220792200998</v>
      </c>
      <c r="BS39" s="72">
        <v>12.159458538593</v>
      </c>
      <c r="BT39" s="73">
        <v>0</v>
      </c>
      <c r="BU39" s="73">
        <v>0</v>
      </c>
      <c r="BV39" s="73">
        <v>527.84325129858405</v>
      </c>
      <c r="BW39" s="73">
        <v>832.62273866583303</v>
      </c>
      <c r="BX39" s="74">
        <v>0</v>
      </c>
      <c r="BY39" s="71">
        <v>1372.6254485030099</v>
      </c>
      <c r="BZ39" s="75">
        <v>30366.846240703999</v>
      </c>
    </row>
    <row r="40" spans="1:78" ht="15" customHeight="1" x14ac:dyDescent="0.3">
      <c r="A40" s="33" t="s">
        <v>58</v>
      </c>
      <c r="B40" s="11" t="s">
        <v>126</v>
      </c>
      <c r="C40" s="68">
        <v>0.29526919720786898</v>
      </c>
      <c r="D40" s="69">
        <v>0.40129599909723201</v>
      </c>
      <c r="E40" s="69">
        <v>7.6970488919574795E-2</v>
      </c>
      <c r="F40" s="69">
        <v>0.22180024885237101</v>
      </c>
      <c r="G40" s="69">
        <v>14.6657980637889</v>
      </c>
      <c r="H40" s="69">
        <v>17.629363508365401</v>
      </c>
      <c r="I40" s="69">
        <v>1.80944338697353</v>
      </c>
      <c r="J40" s="69">
        <v>1.41378890108494</v>
      </c>
      <c r="K40" s="69">
        <v>9.9656105990864802E-2</v>
      </c>
      <c r="L40" s="69">
        <v>1.5791669929888299</v>
      </c>
      <c r="M40" s="69">
        <v>1.73962745717376</v>
      </c>
      <c r="N40" s="69">
        <v>6.2298932391289096E-3</v>
      </c>
      <c r="O40" s="69">
        <v>0.25392307356906002</v>
      </c>
      <c r="P40" s="69">
        <v>4.9711484558411101</v>
      </c>
      <c r="Q40" s="69">
        <v>0.81859017865626904</v>
      </c>
      <c r="R40" s="69">
        <v>0.790428438098292</v>
      </c>
      <c r="S40" s="69">
        <v>0.13976566569089899</v>
      </c>
      <c r="T40" s="69">
        <v>6.51400962747999E-2</v>
      </c>
      <c r="U40" s="69">
        <v>0.18415160556846999</v>
      </c>
      <c r="V40" s="69">
        <v>4.7910698646130602E-2</v>
      </c>
      <c r="W40" s="69">
        <v>0.88779755931170301</v>
      </c>
      <c r="X40" s="69">
        <v>0.60377366093623197</v>
      </c>
      <c r="Y40" s="69">
        <v>0.48463605210529598</v>
      </c>
      <c r="Z40" s="69">
        <v>0.30963700928078303</v>
      </c>
      <c r="AA40" s="69">
        <v>1.6718198748264099</v>
      </c>
      <c r="AB40" s="69">
        <v>0.79540370308604302</v>
      </c>
      <c r="AC40" s="69">
        <v>0.66745357055351795</v>
      </c>
      <c r="AD40" s="69">
        <v>0.150267275435368</v>
      </c>
      <c r="AE40" s="69">
        <v>3.7701353274604199</v>
      </c>
      <c r="AF40" s="69">
        <v>0.86350938779001596</v>
      </c>
      <c r="AG40" s="69">
        <v>8.2619112698637895</v>
      </c>
      <c r="AH40" s="69">
        <v>41.5921675753182</v>
      </c>
      <c r="AI40" s="69">
        <v>18.239330494964001</v>
      </c>
      <c r="AJ40" s="69">
        <v>5.7476854993057298</v>
      </c>
      <c r="AK40" s="69">
        <v>1123.5135717728599</v>
      </c>
      <c r="AL40" s="69">
        <v>5.3375307384909796</v>
      </c>
      <c r="AM40" s="69">
        <v>28.007892892922602</v>
      </c>
      <c r="AN40" s="69">
        <v>1.5458689692961001</v>
      </c>
      <c r="AO40" s="69">
        <v>0.61337388880479504</v>
      </c>
      <c r="AP40" s="69">
        <v>16.8106705004964</v>
      </c>
      <c r="AQ40" s="69">
        <v>69.142177079505899</v>
      </c>
      <c r="AR40" s="69">
        <v>69.951480023875604</v>
      </c>
      <c r="AS40" s="69">
        <v>1.1041019134807499</v>
      </c>
      <c r="AT40" s="69">
        <v>4.1027790685159503E-4</v>
      </c>
      <c r="AU40" s="69">
        <v>1.2615112802238599</v>
      </c>
      <c r="AV40" s="69">
        <v>8.4606796430787695E-2</v>
      </c>
      <c r="AW40" s="69">
        <v>0.63686056587008499</v>
      </c>
      <c r="AX40" s="69">
        <v>0</v>
      </c>
      <c r="AY40" s="69">
        <v>0.14174750279258599</v>
      </c>
      <c r="AZ40" s="69">
        <v>0.205412512337145</v>
      </c>
      <c r="BA40" s="69">
        <v>0.31018826910514602</v>
      </c>
      <c r="BB40" s="69">
        <v>0.45336108595331498</v>
      </c>
      <c r="BC40" s="69">
        <v>0.57986750633919004</v>
      </c>
      <c r="BD40" s="69">
        <v>0.77195812744982495</v>
      </c>
      <c r="BE40" s="69">
        <v>1.01016620225307</v>
      </c>
      <c r="BF40" s="69">
        <v>1.1086092328482899</v>
      </c>
      <c r="BG40" s="69">
        <v>1.6414260345834499</v>
      </c>
      <c r="BH40" s="69">
        <v>2.8903953343270801</v>
      </c>
      <c r="BI40" s="69">
        <v>9.1985164266842404E-2</v>
      </c>
      <c r="BJ40" s="69">
        <v>11.723953407783499</v>
      </c>
      <c r="BK40" s="69">
        <v>3.7321621832827501</v>
      </c>
      <c r="BL40" s="69">
        <v>8.7391057986489301E-2</v>
      </c>
      <c r="BM40" s="69">
        <v>16.620146155376901</v>
      </c>
      <c r="BN40" s="69">
        <v>49.085970083342197</v>
      </c>
      <c r="BO40" s="69">
        <v>0.36692472333361098</v>
      </c>
      <c r="BP40" s="69">
        <v>36.855741534410903</v>
      </c>
      <c r="BQ40" s="70">
        <v>0</v>
      </c>
      <c r="BR40" s="71">
        <v>1576.94245953421</v>
      </c>
      <c r="BS40" s="72">
        <v>0.60701533736171398</v>
      </c>
      <c r="BT40" s="73">
        <v>0</v>
      </c>
      <c r="BU40" s="73">
        <v>0</v>
      </c>
      <c r="BV40" s="73">
        <v>6278.4011587961304</v>
      </c>
      <c r="BW40" s="73">
        <v>3462.5885350766498</v>
      </c>
      <c r="BX40" s="74">
        <v>0</v>
      </c>
      <c r="BY40" s="71">
        <v>9741.5967092101491</v>
      </c>
      <c r="BZ40" s="75">
        <v>11318.539168744401</v>
      </c>
    </row>
    <row r="41" spans="1:78" ht="15" customHeight="1" x14ac:dyDescent="0.3">
      <c r="A41" s="33" t="s">
        <v>59</v>
      </c>
      <c r="B41" s="11" t="s">
        <v>127</v>
      </c>
      <c r="C41" s="68">
        <v>19.347968828982399</v>
      </c>
      <c r="D41" s="69">
        <v>16.795579452763299</v>
      </c>
      <c r="E41" s="69">
        <v>7.1145570705639303</v>
      </c>
      <c r="F41" s="69">
        <v>1.47551594644731</v>
      </c>
      <c r="G41" s="69">
        <v>69.689461214612606</v>
      </c>
      <c r="H41" s="69">
        <v>69.886963826177293</v>
      </c>
      <c r="I41" s="69">
        <v>5.96882139504691</v>
      </c>
      <c r="J41" s="69">
        <v>21.988540212136702</v>
      </c>
      <c r="K41" s="69">
        <v>6.8089014020134799</v>
      </c>
      <c r="L41" s="69">
        <v>31.692510604102601</v>
      </c>
      <c r="M41" s="69">
        <v>20.608446459250199</v>
      </c>
      <c r="N41" s="69">
        <v>0.356738856399758</v>
      </c>
      <c r="O41" s="69">
        <v>26.323770302800099</v>
      </c>
      <c r="P41" s="69">
        <v>861.09803435032404</v>
      </c>
      <c r="Q41" s="69">
        <v>134.91083667384399</v>
      </c>
      <c r="R41" s="69">
        <v>18.467157643884399</v>
      </c>
      <c r="S41" s="69">
        <v>10.049708897092399</v>
      </c>
      <c r="T41" s="69">
        <v>5.1492481823977503</v>
      </c>
      <c r="U41" s="69">
        <v>6.4638904329811302</v>
      </c>
      <c r="V41" s="69">
        <v>2.2486643983621502</v>
      </c>
      <c r="W41" s="69">
        <v>114.930260114454</v>
      </c>
      <c r="X41" s="69">
        <v>45.207136905969698</v>
      </c>
      <c r="Y41" s="69">
        <v>8.2346561891369205</v>
      </c>
      <c r="Z41" s="69">
        <v>62.282759428308097</v>
      </c>
      <c r="AA41" s="69">
        <v>43.917973978646799</v>
      </c>
      <c r="AB41" s="69">
        <v>109.723852901199</v>
      </c>
      <c r="AC41" s="69">
        <v>8.7763527544585394</v>
      </c>
      <c r="AD41" s="69">
        <v>7.3624261698605498</v>
      </c>
      <c r="AE41" s="69">
        <v>24.858296939636599</v>
      </c>
      <c r="AF41" s="69">
        <v>61.514272913300701</v>
      </c>
      <c r="AG41" s="69">
        <v>25.949869369488201</v>
      </c>
      <c r="AH41" s="69">
        <v>430.97196536192399</v>
      </c>
      <c r="AI41" s="69">
        <v>185.48082260399599</v>
      </c>
      <c r="AJ41" s="69">
        <v>182.62008327539499</v>
      </c>
      <c r="AK41" s="69">
        <v>12.288712880651101</v>
      </c>
      <c r="AL41" s="69">
        <v>2207.7906487733198</v>
      </c>
      <c r="AM41" s="69">
        <v>109.06679821803</v>
      </c>
      <c r="AN41" s="69">
        <v>32.1228448701087</v>
      </c>
      <c r="AO41" s="69">
        <v>29.974638415287</v>
      </c>
      <c r="AP41" s="69">
        <v>438.43761627354598</v>
      </c>
      <c r="AQ41" s="69">
        <v>368.94430495400701</v>
      </c>
      <c r="AR41" s="69">
        <v>71.576297256803102</v>
      </c>
      <c r="AS41" s="69">
        <v>84.111386893302196</v>
      </c>
      <c r="AT41" s="69">
        <v>0.102046019956386</v>
      </c>
      <c r="AU41" s="69">
        <v>146.124500490808</v>
      </c>
      <c r="AV41" s="69">
        <v>5.2078933008556998</v>
      </c>
      <c r="AW41" s="69">
        <v>11.110135739977901</v>
      </c>
      <c r="AX41" s="69">
        <v>0.77044804379027998</v>
      </c>
      <c r="AY41" s="69">
        <v>28.434080550270501</v>
      </c>
      <c r="AZ41" s="69">
        <v>1.83975306240172</v>
      </c>
      <c r="BA41" s="69">
        <v>65.672892895866696</v>
      </c>
      <c r="BB41" s="69">
        <v>92.719076095658806</v>
      </c>
      <c r="BC41" s="69">
        <v>79.672652604188897</v>
      </c>
      <c r="BD41" s="69">
        <v>145.00767414926401</v>
      </c>
      <c r="BE41" s="69">
        <v>234.877155134768</v>
      </c>
      <c r="BF41" s="69">
        <v>232.427209601941</v>
      </c>
      <c r="BG41" s="69">
        <v>326.14502009105701</v>
      </c>
      <c r="BH41" s="69">
        <v>107.442624366286</v>
      </c>
      <c r="BI41" s="69">
        <v>11.775799794215001</v>
      </c>
      <c r="BJ41" s="69">
        <v>536.50240840617403</v>
      </c>
      <c r="BK41" s="69">
        <v>801.57812942226894</v>
      </c>
      <c r="BL41" s="69">
        <v>19.1330943945052</v>
      </c>
      <c r="BM41" s="69">
        <v>3448.4091231827902</v>
      </c>
      <c r="BN41" s="69">
        <v>10247.6153684086</v>
      </c>
      <c r="BO41" s="69">
        <v>75.364742456027898</v>
      </c>
      <c r="BP41" s="69">
        <v>68.779556239802005</v>
      </c>
      <c r="BQ41" s="70">
        <v>0</v>
      </c>
      <c r="BR41" s="71">
        <v>22689.300678042498</v>
      </c>
      <c r="BS41" s="72">
        <v>211.170431256173</v>
      </c>
      <c r="BT41" s="73">
        <v>17.025471228195201</v>
      </c>
      <c r="BU41" s="73">
        <v>0</v>
      </c>
      <c r="BV41" s="73">
        <v>46602.9727951022</v>
      </c>
      <c r="BW41" s="73">
        <v>9169.7527994587599</v>
      </c>
      <c r="BX41" s="74">
        <v>0</v>
      </c>
      <c r="BY41" s="71">
        <v>56000.921497045303</v>
      </c>
      <c r="BZ41" s="75">
        <v>78690.222175087794</v>
      </c>
    </row>
    <row r="42" spans="1:78" ht="15" customHeight="1" x14ac:dyDescent="0.3">
      <c r="A42" s="33" t="s">
        <v>60</v>
      </c>
      <c r="B42" s="11" t="s">
        <v>128</v>
      </c>
      <c r="C42" s="68">
        <v>3.6828507723919701</v>
      </c>
      <c r="D42" s="69">
        <v>2.71115794958643</v>
      </c>
      <c r="E42" s="69">
        <v>0.143588934249502</v>
      </c>
      <c r="F42" s="69">
        <v>0.45941697823898903</v>
      </c>
      <c r="G42" s="69">
        <v>26.0053273617504</v>
      </c>
      <c r="H42" s="69">
        <v>25.632110878608401</v>
      </c>
      <c r="I42" s="69">
        <v>2.7683381038879</v>
      </c>
      <c r="J42" s="69">
        <v>2.3551312352982698</v>
      </c>
      <c r="K42" s="69">
        <v>0.35298716755277199</v>
      </c>
      <c r="L42" s="69">
        <v>3.01122194375982</v>
      </c>
      <c r="M42" s="69">
        <v>3.8088074379939201</v>
      </c>
      <c r="N42" s="69">
        <v>9.6338555244261503E-3</v>
      </c>
      <c r="O42" s="69">
        <v>0.12557893959650701</v>
      </c>
      <c r="P42" s="69">
        <v>0.52231350948864796</v>
      </c>
      <c r="Q42" s="69">
        <v>0.13398874814775399</v>
      </c>
      <c r="R42" s="69">
        <v>1.29100535671465</v>
      </c>
      <c r="S42" s="69">
        <v>0.65621490947609395</v>
      </c>
      <c r="T42" s="69">
        <v>1.10887208775164</v>
      </c>
      <c r="U42" s="69">
        <v>0.23873898633153201</v>
      </c>
      <c r="V42" s="69">
        <v>5.5952193677451502E-2</v>
      </c>
      <c r="W42" s="69">
        <v>1.3878041228679401</v>
      </c>
      <c r="X42" s="69">
        <v>0.84024692619045205</v>
      </c>
      <c r="Y42" s="69">
        <v>0.77267561694903797</v>
      </c>
      <c r="Z42" s="69">
        <v>0.173531220992373</v>
      </c>
      <c r="AA42" s="69">
        <v>1.64482792530029</v>
      </c>
      <c r="AB42" s="69">
        <v>4.2090863373018301</v>
      </c>
      <c r="AC42" s="69">
        <v>2.6804440558893301</v>
      </c>
      <c r="AD42" s="69">
        <v>1.8257039461742799</v>
      </c>
      <c r="AE42" s="69">
        <v>9.2287915861932195</v>
      </c>
      <c r="AF42" s="69">
        <v>22.660407358666301</v>
      </c>
      <c r="AG42" s="69">
        <v>62.996471897150798</v>
      </c>
      <c r="AH42" s="69">
        <v>84.068545896940606</v>
      </c>
      <c r="AI42" s="69">
        <v>12.0706643108555</v>
      </c>
      <c r="AJ42" s="69">
        <v>8.3051468379655997</v>
      </c>
      <c r="AK42" s="69">
        <v>4.8841791793191396</v>
      </c>
      <c r="AL42" s="69">
        <v>4.9923062397071796</v>
      </c>
      <c r="AM42" s="69">
        <v>44.043832359588698</v>
      </c>
      <c r="AN42" s="69">
        <v>23.390737869198901</v>
      </c>
      <c r="AO42" s="69">
        <v>1.74026394470287</v>
      </c>
      <c r="AP42" s="69">
        <v>72.018949870509601</v>
      </c>
      <c r="AQ42" s="69">
        <v>10.4253480484679</v>
      </c>
      <c r="AR42" s="69">
        <v>6.2708936227465397</v>
      </c>
      <c r="AS42" s="69">
        <v>1.0542415144808499</v>
      </c>
      <c r="AT42" s="69">
        <v>1.1913216010232401E-2</v>
      </c>
      <c r="AU42" s="69">
        <v>1.5166932381040299</v>
      </c>
      <c r="AV42" s="69">
        <v>0.226415796594686</v>
      </c>
      <c r="AW42" s="69">
        <v>1.2733384244735999</v>
      </c>
      <c r="AX42" s="69">
        <v>0</v>
      </c>
      <c r="AY42" s="69">
        <v>0.43422914381852601</v>
      </c>
      <c r="AZ42" s="69">
        <v>3.3569365579169199</v>
      </c>
      <c r="BA42" s="69">
        <v>1.3483270230315301</v>
      </c>
      <c r="BB42" s="69">
        <v>0.26747896210200101</v>
      </c>
      <c r="BC42" s="69">
        <v>2.31155553575385</v>
      </c>
      <c r="BD42" s="69">
        <v>1.6908806413631801</v>
      </c>
      <c r="BE42" s="69">
        <v>8.8505431262785201</v>
      </c>
      <c r="BF42" s="69">
        <v>0.43553216525081301</v>
      </c>
      <c r="BG42" s="69">
        <v>0.31593722701443799</v>
      </c>
      <c r="BH42" s="69">
        <v>5.8941727862397704</v>
      </c>
      <c r="BI42" s="69">
        <v>9.1560930635542395E-2</v>
      </c>
      <c r="BJ42" s="69">
        <v>2.1720727887797802</v>
      </c>
      <c r="BK42" s="69">
        <v>1.94729547546333</v>
      </c>
      <c r="BL42" s="69">
        <v>4.2060673641301602E-2</v>
      </c>
      <c r="BM42" s="69">
        <v>8.0154455878636206</v>
      </c>
      <c r="BN42" s="69">
        <v>7.5454510784039996</v>
      </c>
      <c r="BO42" s="69">
        <v>0.25319831902525702</v>
      </c>
      <c r="BP42" s="69">
        <v>2.2078901904589698</v>
      </c>
      <c r="BQ42" s="70">
        <v>0</v>
      </c>
      <c r="BR42" s="71">
        <v>506.96726692640999</v>
      </c>
      <c r="BS42" s="72">
        <v>1.25824961713019</v>
      </c>
      <c r="BT42" s="73">
        <v>0</v>
      </c>
      <c r="BU42" s="73">
        <v>0</v>
      </c>
      <c r="BV42" s="73">
        <v>108.60934304192</v>
      </c>
      <c r="BW42" s="73">
        <v>250.723272403316</v>
      </c>
      <c r="BX42" s="74">
        <v>0</v>
      </c>
      <c r="BY42" s="71">
        <v>360.59086506236599</v>
      </c>
      <c r="BZ42" s="75">
        <v>867.55813198877604</v>
      </c>
    </row>
    <row r="43" spans="1:78" ht="15" customHeight="1" x14ac:dyDescent="0.3">
      <c r="A43" s="33" t="s">
        <v>61</v>
      </c>
      <c r="B43" s="11" t="s">
        <v>129</v>
      </c>
      <c r="C43" s="68">
        <v>0</v>
      </c>
      <c r="D43" s="69">
        <v>0</v>
      </c>
      <c r="E43" s="69">
        <v>0</v>
      </c>
      <c r="F43" s="69">
        <v>0</v>
      </c>
      <c r="G43" s="69">
        <v>0</v>
      </c>
      <c r="H43" s="69">
        <v>34.348482653227499</v>
      </c>
      <c r="I43" s="69">
        <v>0</v>
      </c>
      <c r="J43" s="69">
        <v>8.9785995742138205</v>
      </c>
      <c r="K43" s="69">
        <v>0</v>
      </c>
      <c r="L43" s="69">
        <v>46.762808273764598</v>
      </c>
      <c r="M43" s="69">
        <v>9.8311521961304607</v>
      </c>
      <c r="N43" s="69">
        <v>0</v>
      </c>
      <c r="O43" s="69">
        <v>10.459251685400099</v>
      </c>
      <c r="P43" s="69">
        <v>2.1174716778347</v>
      </c>
      <c r="Q43" s="69">
        <v>1.3646976706503</v>
      </c>
      <c r="R43" s="69">
        <v>4.0076747171110902</v>
      </c>
      <c r="S43" s="69">
        <v>38.855136226592599</v>
      </c>
      <c r="T43" s="69">
        <v>1.3024007643614901</v>
      </c>
      <c r="U43" s="69">
        <v>0</v>
      </c>
      <c r="V43" s="69">
        <v>0</v>
      </c>
      <c r="W43" s="69">
        <v>102.23494749365101</v>
      </c>
      <c r="X43" s="69">
        <v>11.545146881360701</v>
      </c>
      <c r="Y43" s="69">
        <v>1.61987054686592</v>
      </c>
      <c r="Z43" s="69">
        <v>2.5943981530557401</v>
      </c>
      <c r="AA43" s="69">
        <v>5.9800054404239598</v>
      </c>
      <c r="AB43" s="69">
        <v>92.489277518788199</v>
      </c>
      <c r="AC43" s="69">
        <v>10.386407241168801</v>
      </c>
      <c r="AD43" s="69">
        <v>10.2591160998265</v>
      </c>
      <c r="AE43" s="69">
        <v>11.5319601064942</v>
      </c>
      <c r="AF43" s="69">
        <v>0</v>
      </c>
      <c r="AG43" s="69">
        <v>2.4521061341881198</v>
      </c>
      <c r="AH43" s="69">
        <v>3.7801893597723399</v>
      </c>
      <c r="AI43" s="69">
        <v>4.4886571255295804</v>
      </c>
      <c r="AJ43" s="69">
        <v>7.8086838442730997</v>
      </c>
      <c r="AK43" s="69">
        <v>1.0024943897088401</v>
      </c>
      <c r="AL43" s="69">
        <v>0.85636632979925797</v>
      </c>
      <c r="AM43" s="69">
        <v>0</v>
      </c>
      <c r="AN43" s="69">
        <v>492.33489403117301</v>
      </c>
      <c r="AO43" s="69">
        <v>0</v>
      </c>
      <c r="AP43" s="69">
        <v>1.6882425000552701</v>
      </c>
      <c r="AQ43" s="69">
        <v>7.3382506656077702</v>
      </c>
      <c r="AR43" s="69">
        <v>14.487552491441701</v>
      </c>
      <c r="AS43" s="69">
        <v>0</v>
      </c>
      <c r="AT43" s="69">
        <v>0</v>
      </c>
      <c r="AU43" s="69">
        <v>0</v>
      </c>
      <c r="AV43" s="69">
        <v>13.787451268107301</v>
      </c>
      <c r="AW43" s="69">
        <v>15.2945812211504</v>
      </c>
      <c r="AX43" s="69">
        <v>0</v>
      </c>
      <c r="AY43" s="69">
        <v>1.0252169447122499</v>
      </c>
      <c r="AZ43" s="69">
        <v>0</v>
      </c>
      <c r="BA43" s="69">
        <v>0</v>
      </c>
      <c r="BB43" s="69">
        <v>2.4196493665133398</v>
      </c>
      <c r="BC43" s="69">
        <v>0</v>
      </c>
      <c r="BD43" s="69">
        <v>0</v>
      </c>
      <c r="BE43" s="69">
        <v>0</v>
      </c>
      <c r="BF43" s="69">
        <v>0</v>
      </c>
      <c r="BG43" s="69">
        <v>0</v>
      </c>
      <c r="BH43" s="69">
        <v>15.2582965550759</v>
      </c>
      <c r="BI43" s="69">
        <v>0</v>
      </c>
      <c r="BJ43" s="69">
        <v>15.4128853339133</v>
      </c>
      <c r="BK43" s="69">
        <v>5.7235248788286004</v>
      </c>
      <c r="BL43" s="69">
        <v>25.5211178656815</v>
      </c>
      <c r="BM43" s="69">
        <v>2.79174958669212</v>
      </c>
      <c r="BN43" s="69">
        <v>0</v>
      </c>
      <c r="BO43" s="69">
        <v>2.0977150982509598</v>
      </c>
      <c r="BP43" s="69">
        <v>34.232170659486798</v>
      </c>
      <c r="BQ43" s="70">
        <v>0</v>
      </c>
      <c r="BR43" s="71">
        <v>1076.4706005708799</v>
      </c>
      <c r="BS43" s="72">
        <v>0</v>
      </c>
      <c r="BT43" s="73">
        <v>0</v>
      </c>
      <c r="BU43" s="73">
        <v>0</v>
      </c>
      <c r="BV43" s="73">
        <v>817.82221431418202</v>
      </c>
      <c r="BW43" s="73">
        <v>0</v>
      </c>
      <c r="BX43" s="74">
        <v>0</v>
      </c>
      <c r="BY43" s="71">
        <v>817.82221431418202</v>
      </c>
      <c r="BZ43" s="75">
        <v>1894.2928148850699</v>
      </c>
    </row>
    <row r="44" spans="1:78" ht="15" customHeight="1" x14ac:dyDescent="0.3">
      <c r="A44" s="33" t="s">
        <v>62</v>
      </c>
      <c r="B44" s="11" t="s">
        <v>130</v>
      </c>
      <c r="C44" s="68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90.155791187423404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147.15773776373601</v>
      </c>
      <c r="AB44" s="69">
        <v>278.66057593746501</v>
      </c>
      <c r="AC44" s="69">
        <v>1349.8090059121901</v>
      </c>
      <c r="AD44" s="69">
        <v>620.71156509064099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35.135735815557602</v>
      </c>
      <c r="AK44" s="69">
        <v>16.5853148223947</v>
      </c>
      <c r="AL44" s="69">
        <v>0</v>
      </c>
      <c r="AM44" s="69">
        <v>0</v>
      </c>
      <c r="AN44" s="69">
        <v>0</v>
      </c>
      <c r="AO44" s="69">
        <v>0</v>
      </c>
      <c r="AP44" s="69">
        <v>0.63158089491789204</v>
      </c>
      <c r="AQ44" s="69">
        <v>0</v>
      </c>
      <c r="AR44" s="69">
        <v>0</v>
      </c>
      <c r="AS44" s="69">
        <v>0</v>
      </c>
      <c r="AT44" s="69">
        <v>0</v>
      </c>
      <c r="AU44" s="69">
        <v>0</v>
      </c>
      <c r="AV44" s="69">
        <v>0</v>
      </c>
      <c r="AW44" s="69">
        <v>0</v>
      </c>
      <c r="AX44" s="69">
        <v>0</v>
      </c>
      <c r="AY44" s="69">
        <v>0</v>
      </c>
      <c r="AZ44" s="69">
        <v>0</v>
      </c>
      <c r="BA44" s="69">
        <v>0</v>
      </c>
      <c r="BB44" s="69">
        <v>0</v>
      </c>
      <c r="BC44" s="69">
        <v>0</v>
      </c>
      <c r="BD44" s="69">
        <v>0</v>
      </c>
      <c r="BE44" s="69">
        <v>0.94764902411947205</v>
      </c>
      <c r="BF44" s="69">
        <v>0</v>
      </c>
      <c r="BG44" s="69">
        <v>0</v>
      </c>
      <c r="BH44" s="69">
        <v>0</v>
      </c>
      <c r="BI44" s="69">
        <v>0</v>
      </c>
      <c r="BJ44" s="69">
        <v>0</v>
      </c>
      <c r="BK44" s="69">
        <v>0</v>
      </c>
      <c r="BL44" s="69">
        <v>0</v>
      </c>
      <c r="BM44" s="69">
        <v>0</v>
      </c>
      <c r="BN44" s="69">
        <v>0</v>
      </c>
      <c r="BO44" s="69">
        <v>0</v>
      </c>
      <c r="BP44" s="69">
        <v>0</v>
      </c>
      <c r="BQ44" s="70">
        <v>0</v>
      </c>
      <c r="BR44" s="71">
        <v>2539.7949564484402</v>
      </c>
      <c r="BS44" s="72">
        <v>0</v>
      </c>
      <c r="BT44" s="73">
        <v>0</v>
      </c>
      <c r="BU44" s="73">
        <v>0</v>
      </c>
      <c r="BV44" s="73">
        <v>0</v>
      </c>
      <c r="BW44" s="73">
        <v>0</v>
      </c>
      <c r="BX44" s="74">
        <v>0</v>
      </c>
      <c r="BY44" s="71">
        <v>0</v>
      </c>
      <c r="BZ44" s="75">
        <v>2539.7949564484402</v>
      </c>
    </row>
    <row r="45" spans="1:78" ht="15" customHeight="1" x14ac:dyDescent="0.3">
      <c r="A45" s="33" t="s">
        <v>63</v>
      </c>
      <c r="B45" s="11" t="s">
        <v>131</v>
      </c>
      <c r="C45" s="68">
        <v>0</v>
      </c>
      <c r="D45" s="69">
        <v>0</v>
      </c>
      <c r="E45" s="69">
        <v>0</v>
      </c>
      <c r="F45" s="69">
        <v>2.37240341047525E-2</v>
      </c>
      <c r="G45" s="69">
        <v>0.23245840464189299</v>
      </c>
      <c r="H45" s="69">
        <v>0.54144407594400901</v>
      </c>
      <c r="I45" s="69">
        <v>8.3321849391332498E-2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1.5927618816947799E-3</v>
      </c>
      <c r="AE45" s="69">
        <v>0</v>
      </c>
      <c r="AF45" s="69">
        <v>0</v>
      </c>
      <c r="AG45" s="69">
        <v>0</v>
      </c>
      <c r="AH45" s="69">
        <v>0.49521676696900602</v>
      </c>
      <c r="AI45" s="69">
        <v>0</v>
      </c>
      <c r="AJ45" s="69">
        <v>0</v>
      </c>
      <c r="AK45" s="69">
        <v>0</v>
      </c>
      <c r="AL45" s="69">
        <v>0</v>
      </c>
      <c r="AM45" s="69">
        <v>0.222921112622914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69">
        <v>0</v>
      </c>
      <c r="AU45" s="69">
        <v>0</v>
      </c>
      <c r="AV45" s="69">
        <v>0</v>
      </c>
      <c r="AW45" s="69">
        <v>0</v>
      </c>
      <c r="AX45" s="69">
        <v>0</v>
      </c>
      <c r="AY45" s="69">
        <v>0</v>
      </c>
      <c r="AZ45" s="69">
        <v>0</v>
      </c>
      <c r="BA45" s="69">
        <v>0</v>
      </c>
      <c r="BB45" s="69">
        <v>0</v>
      </c>
      <c r="BC45" s="69">
        <v>0</v>
      </c>
      <c r="BD45" s="69">
        <v>0</v>
      </c>
      <c r="BE45" s="69">
        <v>0</v>
      </c>
      <c r="BF45" s="69">
        <v>0</v>
      </c>
      <c r="BG45" s="69">
        <v>0</v>
      </c>
      <c r="BH45" s="69">
        <v>0</v>
      </c>
      <c r="BI45" s="69">
        <v>0</v>
      </c>
      <c r="BJ45" s="69">
        <v>0</v>
      </c>
      <c r="BK45" s="69">
        <v>0</v>
      </c>
      <c r="BL45" s="69">
        <v>0</v>
      </c>
      <c r="BM45" s="69">
        <v>0</v>
      </c>
      <c r="BN45" s="69">
        <v>0</v>
      </c>
      <c r="BO45" s="69">
        <v>0</v>
      </c>
      <c r="BP45" s="69">
        <v>0</v>
      </c>
      <c r="BQ45" s="70">
        <v>0</v>
      </c>
      <c r="BR45" s="71">
        <v>1.6006790055555999</v>
      </c>
      <c r="BS45" s="72">
        <v>2.1667065404940698E-2</v>
      </c>
      <c r="BT45" s="73">
        <v>0</v>
      </c>
      <c r="BU45" s="73">
        <v>0</v>
      </c>
      <c r="BV45" s="73">
        <v>0</v>
      </c>
      <c r="BW45" s="73">
        <v>6.4216831585279497</v>
      </c>
      <c r="BX45" s="74">
        <v>0</v>
      </c>
      <c r="BY45" s="71">
        <v>6.4433502239328897</v>
      </c>
      <c r="BZ45" s="75">
        <v>8.0440292294884905</v>
      </c>
    </row>
    <row r="46" spans="1:78" ht="15" customHeight="1" x14ac:dyDescent="0.3">
      <c r="A46" s="33" t="s">
        <v>64</v>
      </c>
      <c r="B46" s="11" t="s">
        <v>132</v>
      </c>
      <c r="C46" s="68">
        <v>332.35835039716602</v>
      </c>
      <c r="D46" s="69">
        <v>291.34624707102</v>
      </c>
      <c r="E46" s="69">
        <v>7.4672971600428601</v>
      </c>
      <c r="F46" s="69">
        <v>2.0937711597339899</v>
      </c>
      <c r="G46" s="69">
        <v>75.949221153675197</v>
      </c>
      <c r="H46" s="69">
        <v>50.516550386705902</v>
      </c>
      <c r="I46" s="69">
        <v>5.0643556872354498</v>
      </c>
      <c r="J46" s="69">
        <v>930.93222954926603</v>
      </c>
      <c r="K46" s="69">
        <v>2.4627967276301299</v>
      </c>
      <c r="L46" s="69">
        <v>723.58976768139996</v>
      </c>
      <c r="M46" s="69">
        <v>108.017679083435</v>
      </c>
      <c r="N46" s="69">
        <v>1.1904837452149599</v>
      </c>
      <c r="O46" s="69">
        <v>3.1568057358617398</v>
      </c>
      <c r="P46" s="69">
        <v>19.317755351351401</v>
      </c>
      <c r="Q46" s="69">
        <v>7.0164433209398798</v>
      </c>
      <c r="R46" s="69">
        <v>16.540584684279601</v>
      </c>
      <c r="S46" s="69">
        <v>40.009814531434799</v>
      </c>
      <c r="T46" s="69">
        <v>10.53624796587</v>
      </c>
      <c r="U46" s="69">
        <v>45.747780676951898</v>
      </c>
      <c r="V46" s="69">
        <v>24.105706572482401</v>
      </c>
      <c r="W46" s="69">
        <v>32.374668774479801</v>
      </c>
      <c r="X46" s="69">
        <v>42.151988639076897</v>
      </c>
      <c r="Y46" s="69">
        <v>30.030199849343401</v>
      </c>
      <c r="Z46" s="69">
        <v>310.99566263062599</v>
      </c>
      <c r="AA46" s="69">
        <v>36.091082946324697</v>
      </c>
      <c r="AB46" s="69">
        <v>28.3305959290694</v>
      </c>
      <c r="AC46" s="69">
        <v>11.4471837122907</v>
      </c>
      <c r="AD46" s="69">
        <v>11.9581287933889</v>
      </c>
      <c r="AE46" s="69">
        <v>37.887943928749799</v>
      </c>
      <c r="AF46" s="69">
        <v>112.34542587855</v>
      </c>
      <c r="AG46" s="69">
        <v>56.753284950012599</v>
      </c>
      <c r="AH46" s="69">
        <v>137.40304576746999</v>
      </c>
      <c r="AI46" s="69">
        <v>161.85055909244301</v>
      </c>
      <c r="AJ46" s="69">
        <v>58.950724416228901</v>
      </c>
      <c r="AK46" s="69">
        <v>7.59568947695763</v>
      </c>
      <c r="AL46" s="69">
        <v>86.968249494931499</v>
      </c>
      <c r="AM46" s="69">
        <v>69.819204142453998</v>
      </c>
      <c r="AN46" s="69">
        <v>12.2469008442998</v>
      </c>
      <c r="AO46" s="69">
        <v>12.094544253873</v>
      </c>
      <c r="AP46" s="69">
        <v>274.753833910693</v>
      </c>
      <c r="AQ46" s="69">
        <v>246.29272407542601</v>
      </c>
      <c r="AR46" s="69">
        <v>54.771708278044997</v>
      </c>
      <c r="AS46" s="69">
        <v>3.3330083163913602</v>
      </c>
      <c r="AT46" s="69">
        <v>0.51315916828661301</v>
      </c>
      <c r="AU46" s="69">
        <v>10.0616202817566</v>
      </c>
      <c r="AV46" s="69">
        <v>17.938679923737801</v>
      </c>
      <c r="AW46" s="69">
        <v>606.185619851978</v>
      </c>
      <c r="AX46" s="69">
        <v>5.4004188029999396</v>
      </c>
      <c r="AY46" s="69">
        <v>7.6724179236963996</v>
      </c>
      <c r="AZ46" s="69">
        <v>5.2810282287718504</v>
      </c>
      <c r="BA46" s="69">
        <v>89.951527575840799</v>
      </c>
      <c r="BB46" s="69">
        <v>17.154577002591999</v>
      </c>
      <c r="BC46" s="69">
        <v>8.5981301301448205</v>
      </c>
      <c r="BD46" s="69">
        <v>18.068610583583698</v>
      </c>
      <c r="BE46" s="69">
        <v>40.231089662004898</v>
      </c>
      <c r="BF46" s="69">
        <v>35.174160211029502</v>
      </c>
      <c r="BG46" s="69">
        <v>9.8963218260849199</v>
      </c>
      <c r="BH46" s="69">
        <v>36.538454718852797</v>
      </c>
      <c r="BI46" s="69">
        <v>2.49734222845077</v>
      </c>
      <c r="BJ46" s="69">
        <v>203.42729579529399</v>
      </c>
      <c r="BK46" s="69">
        <v>112.62133011492</v>
      </c>
      <c r="BL46" s="69">
        <v>24.9292579267278</v>
      </c>
      <c r="BM46" s="69">
        <v>767.27104596300205</v>
      </c>
      <c r="BN46" s="69">
        <v>600.91057879202106</v>
      </c>
      <c r="BO46" s="69">
        <v>4.2891081053672497</v>
      </c>
      <c r="BP46" s="69">
        <v>85.6802176290891</v>
      </c>
      <c r="BQ46" s="70">
        <v>0</v>
      </c>
      <c r="BR46" s="71">
        <v>7244.1582391890597</v>
      </c>
      <c r="BS46" s="72">
        <v>82.301488601295105</v>
      </c>
      <c r="BT46" s="73">
        <v>363.87649794386499</v>
      </c>
      <c r="BU46" s="73">
        <v>0</v>
      </c>
      <c r="BV46" s="73">
        <v>27281.036777309098</v>
      </c>
      <c r="BW46" s="73">
        <v>912.15255886513501</v>
      </c>
      <c r="BX46" s="74">
        <v>0</v>
      </c>
      <c r="BY46" s="71">
        <v>28639.367322719401</v>
      </c>
      <c r="BZ46" s="75">
        <v>35883.5255619085</v>
      </c>
    </row>
    <row r="47" spans="1:78" ht="15" customHeight="1" x14ac:dyDescent="0.3">
      <c r="A47" s="33" t="s">
        <v>65</v>
      </c>
      <c r="B47" s="11" t="s">
        <v>133</v>
      </c>
      <c r="C47" s="68">
        <v>2.4150668642025099</v>
      </c>
      <c r="D47" s="69">
        <v>4.5836794359693798</v>
      </c>
      <c r="E47" s="69">
        <v>2.2813000005166502</v>
      </c>
      <c r="F47" s="69">
        <v>1.02898125066047E-2</v>
      </c>
      <c r="G47" s="69">
        <v>0.72388132010768202</v>
      </c>
      <c r="H47" s="69">
        <v>0</v>
      </c>
      <c r="I47" s="69">
        <v>3.6905960169327599E-3</v>
      </c>
      <c r="J47" s="69">
        <v>1.28078213499044</v>
      </c>
      <c r="K47" s="69">
        <v>2.4779987634115399E-2</v>
      </c>
      <c r="L47" s="69">
        <v>0.50984153418226197</v>
      </c>
      <c r="M47" s="69">
        <v>0.12819343623940199</v>
      </c>
      <c r="N47" s="69">
        <v>3.6874782489403298E-3</v>
      </c>
      <c r="O47" s="69">
        <v>2.1704841835719701E-2</v>
      </c>
      <c r="P47" s="69">
        <v>4.3033527788892698E-3</v>
      </c>
      <c r="Q47" s="69">
        <v>1.5738937518462299E-2</v>
      </c>
      <c r="R47" s="69">
        <v>1.76787914963795</v>
      </c>
      <c r="S47" s="69">
        <v>3.1170477745960201</v>
      </c>
      <c r="T47" s="69">
        <v>3.4645667618409703E-2</v>
      </c>
      <c r="U47" s="69">
        <v>4.7083321736565402</v>
      </c>
      <c r="V47" s="69">
        <v>0.18809205611730501</v>
      </c>
      <c r="W47" s="69">
        <v>0.293444548646832</v>
      </c>
      <c r="X47" s="69">
        <v>8.1609869270192398E-2</v>
      </c>
      <c r="Y47" s="69">
        <v>0.43635115497108901</v>
      </c>
      <c r="Z47" s="69">
        <v>0.192554791488948</v>
      </c>
      <c r="AA47" s="69">
        <v>1.4666725253391799</v>
      </c>
      <c r="AB47" s="69">
        <v>0.15686403495958801</v>
      </c>
      <c r="AC47" s="69">
        <v>0.67893745424109797</v>
      </c>
      <c r="AD47" s="69">
        <v>7.6271234273389103E-3</v>
      </c>
      <c r="AE47" s="69">
        <v>1.1944188174344601</v>
      </c>
      <c r="AF47" s="69">
        <v>6.0827205208037402E-2</v>
      </c>
      <c r="AG47" s="69">
        <v>0.26746397893504298</v>
      </c>
      <c r="AH47" s="69">
        <v>0.63945722720521703</v>
      </c>
      <c r="AI47" s="69">
        <v>0.37518027039091201</v>
      </c>
      <c r="AJ47" s="69">
        <v>0.58651416500267795</v>
      </c>
      <c r="AK47" s="69">
        <v>4.2060829845804303E-2</v>
      </c>
      <c r="AL47" s="69">
        <v>0.189566613802129</v>
      </c>
      <c r="AM47" s="69">
        <v>0.105884721059957</v>
      </c>
      <c r="AN47" s="69">
        <v>3.12041810448433E-2</v>
      </c>
      <c r="AO47" s="69">
        <v>6.0608231817350797E-2</v>
      </c>
      <c r="AP47" s="69">
        <v>1.99651185362609</v>
      </c>
      <c r="AQ47" s="69">
        <v>0.87542793739464597</v>
      </c>
      <c r="AR47" s="69">
        <v>0.29655637908348098</v>
      </c>
      <c r="AS47" s="69">
        <v>0</v>
      </c>
      <c r="AT47" s="69">
        <v>7.5109282751042198E-3</v>
      </c>
      <c r="AU47" s="69">
        <v>2.2795462664785399E-2</v>
      </c>
      <c r="AV47" s="69">
        <v>2.6672838727461899E-4</v>
      </c>
      <c r="AW47" s="69">
        <v>2.6496089320164E-2</v>
      </c>
      <c r="AX47" s="69">
        <v>0</v>
      </c>
      <c r="AY47" s="69">
        <v>0</v>
      </c>
      <c r="AZ47" s="69">
        <v>6.1059500413866196E-3</v>
      </c>
      <c r="BA47" s="69">
        <v>2.1854652702029999E-2</v>
      </c>
      <c r="BB47" s="69">
        <v>2.9700906229291901E-2</v>
      </c>
      <c r="BC47" s="69">
        <v>9.6890045014924406E-3</v>
      </c>
      <c r="BD47" s="69">
        <v>5.15120280042759E-2</v>
      </c>
      <c r="BE47" s="69">
        <v>4.6567172199227798E-2</v>
      </c>
      <c r="BF47" s="69">
        <v>2.28374783475747E-2</v>
      </c>
      <c r="BG47" s="69">
        <v>4.7392774967088699E-2</v>
      </c>
      <c r="BH47" s="69">
        <v>6.2064322395519497E-2</v>
      </c>
      <c r="BI47" s="69">
        <v>2.0519648227226701E-2</v>
      </c>
      <c r="BJ47" s="69">
        <v>0.142692103781455</v>
      </c>
      <c r="BK47" s="69">
        <v>2.9026695997228499E-2</v>
      </c>
      <c r="BL47" s="69">
        <v>0</v>
      </c>
      <c r="BM47" s="69">
        <v>4.8911894674905802E-2</v>
      </c>
      <c r="BN47" s="69">
        <v>3.5819371016280001E-2</v>
      </c>
      <c r="BO47" s="69">
        <v>1.4505748053459499E-3</v>
      </c>
      <c r="BP47" s="69">
        <v>0.10034591218894499</v>
      </c>
      <c r="BQ47" s="70">
        <v>0</v>
      </c>
      <c r="BR47" s="71">
        <v>32.592240167295699</v>
      </c>
      <c r="BS47" s="72">
        <v>5.5711920225425798E-3</v>
      </c>
      <c r="BT47" s="73">
        <v>0</v>
      </c>
      <c r="BU47" s="73">
        <v>0</v>
      </c>
      <c r="BV47" s="73">
        <v>21.948793813044901</v>
      </c>
      <c r="BW47" s="73">
        <v>0.32369887453475199</v>
      </c>
      <c r="BX47" s="74">
        <v>0</v>
      </c>
      <c r="BY47" s="71">
        <v>22.2780638796022</v>
      </c>
      <c r="BZ47" s="75">
        <v>54.870304046897999</v>
      </c>
    </row>
    <row r="48" spans="1:78" ht="15" customHeight="1" x14ac:dyDescent="0.3">
      <c r="A48" s="33" t="s">
        <v>66</v>
      </c>
      <c r="B48" s="11" t="s">
        <v>134</v>
      </c>
      <c r="C48" s="68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69">
        <v>0</v>
      </c>
      <c r="AU48" s="69">
        <v>0</v>
      </c>
      <c r="AV48" s="69">
        <v>0</v>
      </c>
      <c r="AW48" s="69">
        <v>0</v>
      </c>
      <c r="AX48" s="69">
        <v>0</v>
      </c>
      <c r="AY48" s="69">
        <v>0</v>
      </c>
      <c r="AZ48" s="69">
        <v>0</v>
      </c>
      <c r="BA48" s="69">
        <v>0</v>
      </c>
      <c r="BB48" s="69">
        <v>0</v>
      </c>
      <c r="BC48" s="69">
        <v>0</v>
      </c>
      <c r="BD48" s="69">
        <v>0</v>
      </c>
      <c r="BE48" s="69">
        <v>0</v>
      </c>
      <c r="BF48" s="69">
        <v>0</v>
      </c>
      <c r="BG48" s="69">
        <v>0</v>
      </c>
      <c r="BH48" s="69">
        <v>0</v>
      </c>
      <c r="BI48" s="69">
        <v>0</v>
      </c>
      <c r="BJ48" s="69">
        <v>0</v>
      </c>
      <c r="BK48" s="69">
        <v>0</v>
      </c>
      <c r="BL48" s="69">
        <v>0</v>
      </c>
      <c r="BM48" s="69">
        <v>0</v>
      </c>
      <c r="BN48" s="69">
        <v>0</v>
      </c>
      <c r="BO48" s="69">
        <v>0</v>
      </c>
      <c r="BP48" s="69">
        <v>0</v>
      </c>
      <c r="BQ48" s="70">
        <v>0</v>
      </c>
      <c r="BR48" s="71">
        <v>0</v>
      </c>
      <c r="BS48" s="72">
        <v>0</v>
      </c>
      <c r="BT48" s="73">
        <v>0</v>
      </c>
      <c r="BU48" s="73">
        <v>0</v>
      </c>
      <c r="BV48" s="73">
        <v>0</v>
      </c>
      <c r="BW48" s="73">
        <v>0</v>
      </c>
      <c r="BX48" s="74">
        <v>0</v>
      </c>
      <c r="BY48" s="71">
        <v>0</v>
      </c>
      <c r="BZ48" s="75">
        <v>0</v>
      </c>
    </row>
    <row r="49" spans="1:78" ht="15" customHeight="1" x14ac:dyDescent="0.3">
      <c r="A49" s="33" t="s">
        <v>67</v>
      </c>
      <c r="B49" s="11" t="s">
        <v>135</v>
      </c>
      <c r="C49" s="68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69">
        <v>0</v>
      </c>
      <c r="AU49" s="69">
        <v>0</v>
      </c>
      <c r="AV49" s="69">
        <v>0</v>
      </c>
      <c r="AW49" s="69">
        <v>0</v>
      </c>
      <c r="AX49" s="69">
        <v>0</v>
      </c>
      <c r="AY49" s="69">
        <v>0</v>
      </c>
      <c r="AZ49" s="69">
        <v>0</v>
      </c>
      <c r="BA49" s="69">
        <v>0</v>
      </c>
      <c r="BB49" s="69">
        <v>0</v>
      </c>
      <c r="BC49" s="69">
        <v>0</v>
      </c>
      <c r="BD49" s="69">
        <v>0</v>
      </c>
      <c r="BE49" s="69">
        <v>0</v>
      </c>
      <c r="BF49" s="69">
        <v>0</v>
      </c>
      <c r="BG49" s="69">
        <v>0</v>
      </c>
      <c r="BH49" s="69">
        <v>0</v>
      </c>
      <c r="BI49" s="69">
        <v>0</v>
      </c>
      <c r="BJ49" s="69">
        <v>0</v>
      </c>
      <c r="BK49" s="69">
        <v>0</v>
      </c>
      <c r="BL49" s="69">
        <v>0</v>
      </c>
      <c r="BM49" s="69">
        <v>0</v>
      </c>
      <c r="BN49" s="69">
        <v>0</v>
      </c>
      <c r="BO49" s="69">
        <v>0</v>
      </c>
      <c r="BP49" s="69">
        <v>0</v>
      </c>
      <c r="BQ49" s="70">
        <v>0</v>
      </c>
      <c r="BR49" s="71">
        <v>0</v>
      </c>
      <c r="BS49" s="72">
        <v>0</v>
      </c>
      <c r="BT49" s="73">
        <v>0</v>
      </c>
      <c r="BU49" s="73">
        <v>0</v>
      </c>
      <c r="BV49" s="73">
        <v>0</v>
      </c>
      <c r="BW49" s="73">
        <v>0</v>
      </c>
      <c r="BX49" s="74">
        <v>0</v>
      </c>
      <c r="BY49" s="71">
        <v>0</v>
      </c>
      <c r="BZ49" s="75">
        <v>0</v>
      </c>
    </row>
    <row r="50" spans="1:78" ht="15" customHeight="1" x14ac:dyDescent="0.3">
      <c r="A50" s="33" t="s">
        <v>68</v>
      </c>
      <c r="B50" s="11" t="s">
        <v>136</v>
      </c>
      <c r="C50" s="68">
        <v>0</v>
      </c>
      <c r="D50" s="69">
        <v>6.0628584152158903E-3</v>
      </c>
      <c r="E50" s="69">
        <v>1.8660571532283701E-3</v>
      </c>
      <c r="F50" s="69">
        <v>8.4244081836507192E-3</v>
      </c>
      <c r="G50" s="69">
        <v>1.1949150167288001</v>
      </c>
      <c r="H50" s="69">
        <v>1.3413690030529699</v>
      </c>
      <c r="I50" s="69">
        <v>0.125295778168555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4.22194344814441E-2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7.7277862667258701E-3</v>
      </c>
      <c r="AB50" s="69">
        <v>0</v>
      </c>
      <c r="AC50" s="69">
        <v>0</v>
      </c>
      <c r="AD50" s="69">
        <v>3.9704829128508297E-3</v>
      </c>
      <c r="AE50" s="69">
        <v>5.1031765619075197E-3</v>
      </c>
      <c r="AF50" s="69">
        <v>7.78487964596277E-3</v>
      </c>
      <c r="AG50" s="69">
        <v>7.7905650982291602E-2</v>
      </c>
      <c r="AH50" s="69">
        <v>3.1804634603394399</v>
      </c>
      <c r="AI50" s="69">
        <v>0.10409139266538101</v>
      </c>
      <c r="AJ50" s="69">
        <v>7.8731857339408402E-4</v>
      </c>
      <c r="AK50" s="69">
        <v>7.7074701808130905E-2</v>
      </c>
      <c r="AL50" s="69">
        <v>0</v>
      </c>
      <c r="AM50" s="69">
        <v>1.59367485415128</v>
      </c>
      <c r="AN50" s="69">
        <v>3.5803729849674701E-3</v>
      </c>
      <c r="AO50" s="69">
        <v>1.75802927775115E-2</v>
      </c>
      <c r="AP50" s="69">
        <v>0.44732767931005402</v>
      </c>
      <c r="AQ50" s="69">
        <v>0.16582821021817301</v>
      </c>
      <c r="AR50" s="69">
        <v>8.0178140753870905E-3</v>
      </c>
      <c r="AS50" s="69">
        <v>6.5337556127179605E-2</v>
      </c>
      <c r="AT50" s="69">
        <v>0</v>
      </c>
      <c r="AU50" s="69">
        <v>6.3563758676671703E-2</v>
      </c>
      <c r="AV50" s="69">
        <v>9.2844927459113903E-4</v>
      </c>
      <c r="AW50" s="69">
        <v>0</v>
      </c>
      <c r="AX50" s="69">
        <v>0</v>
      </c>
      <c r="AY50" s="69">
        <v>0</v>
      </c>
      <c r="AZ50" s="69">
        <v>6.5627798790105201E-3</v>
      </c>
      <c r="BA50" s="69">
        <v>0</v>
      </c>
      <c r="BB50" s="69">
        <v>6.1952704650540698E-4</v>
      </c>
      <c r="BC50" s="69">
        <v>0</v>
      </c>
      <c r="BD50" s="69">
        <v>0</v>
      </c>
      <c r="BE50" s="69">
        <v>0</v>
      </c>
      <c r="BF50" s="69">
        <v>0</v>
      </c>
      <c r="BG50" s="69">
        <v>0</v>
      </c>
      <c r="BH50" s="69">
        <v>0.20124046529835399</v>
      </c>
      <c r="BI50" s="69">
        <v>0</v>
      </c>
      <c r="BJ50" s="69">
        <v>9.5719630126344692E-3</v>
      </c>
      <c r="BK50" s="69">
        <v>4.8760756002595902E-4</v>
      </c>
      <c r="BL50" s="69">
        <v>0</v>
      </c>
      <c r="BM50" s="69">
        <v>2.76187976835102E-2</v>
      </c>
      <c r="BN50" s="69">
        <v>0</v>
      </c>
      <c r="BO50" s="69">
        <v>0</v>
      </c>
      <c r="BP50" s="69">
        <v>0</v>
      </c>
      <c r="BQ50" s="70">
        <v>0</v>
      </c>
      <c r="BR50" s="71">
        <v>8.7970015340158092</v>
      </c>
      <c r="BS50" s="72">
        <v>3.0468735939199701E-2</v>
      </c>
      <c r="BT50" s="73">
        <v>0</v>
      </c>
      <c r="BU50" s="73">
        <v>0</v>
      </c>
      <c r="BV50" s="73">
        <v>0.63198732222366805</v>
      </c>
      <c r="BW50" s="73">
        <v>6.2607765974947602</v>
      </c>
      <c r="BX50" s="74">
        <v>0</v>
      </c>
      <c r="BY50" s="71">
        <v>6.92323265565763</v>
      </c>
      <c r="BZ50" s="75">
        <v>15.7202341896734</v>
      </c>
    </row>
    <row r="51" spans="1:78" ht="15" customHeight="1" x14ac:dyDescent="0.3">
      <c r="A51" s="33" t="s">
        <v>69</v>
      </c>
      <c r="B51" s="11" t="s">
        <v>137</v>
      </c>
      <c r="C51" s="68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69">
        <v>0</v>
      </c>
      <c r="AT51" s="69">
        <v>0</v>
      </c>
      <c r="AU51" s="69">
        <v>0</v>
      </c>
      <c r="AV51" s="69">
        <v>0</v>
      </c>
      <c r="AW51" s="69">
        <v>0</v>
      </c>
      <c r="AX51" s="69">
        <v>0</v>
      </c>
      <c r="AY51" s="69">
        <v>0</v>
      </c>
      <c r="AZ51" s="69">
        <v>0</v>
      </c>
      <c r="BA51" s="69">
        <v>0</v>
      </c>
      <c r="BB51" s="69">
        <v>0</v>
      </c>
      <c r="BC51" s="69">
        <v>0</v>
      </c>
      <c r="BD51" s="69">
        <v>0</v>
      </c>
      <c r="BE51" s="69">
        <v>0</v>
      </c>
      <c r="BF51" s="69">
        <v>0</v>
      </c>
      <c r="BG51" s="69">
        <v>0</v>
      </c>
      <c r="BH51" s="69">
        <v>0</v>
      </c>
      <c r="BI51" s="69">
        <v>0</v>
      </c>
      <c r="BJ51" s="69">
        <v>0</v>
      </c>
      <c r="BK51" s="69">
        <v>0</v>
      </c>
      <c r="BL51" s="69">
        <v>0</v>
      </c>
      <c r="BM51" s="69">
        <v>0</v>
      </c>
      <c r="BN51" s="69">
        <v>0</v>
      </c>
      <c r="BO51" s="69">
        <v>0</v>
      </c>
      <c r="BP51" s="69">
        <v>0</v>
      </c>
      <c r="BQ51" s="70">
        <v>0</v>
      </c>
      <c r="BR51" s="71">
        <v>0</v>
      </c>
      <c r="BS51" s="72">
        <v>0</v>
      </c>
      <c r="BT51" s="73">
        <v>0</v>
      </c>
      <c r="BU51" s="73">
        <v>0</v>
      </c>
      <c r="BV51" s="73">
        <v>0</v>
      </c>
      <c r="BW51" s="73">
        <v>0</v>
      </c>
      <c r="BX51" s="74">
        <v>0</v>
      </c>
      <c r="BY51" s="71">
        <v>0</v>
      </c>
      <c r="BZ51" s="75">
        <v>0</v>
      </c>
    </row>
    <row r="52" spans="1:78" ht="15" customHeight="1" x14ac:dyDescent="0.3">
      <c r="A52" s="33" t="s">
        <v>70</v>
      </c>
      <c r="B52" s="11" t="s">
        <v>138</v>
      </c>
      <c r="C52" s="68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v>0</v>
      </c>
      <c r="P52" s="69">
        <v>0</v>
      </c>
      <c r="Q52" s="69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69">
        <v>0</v>
      </c>
      <c r="AU52" s="69">
        <v>0</v>
      </c>
      <c r="AV52" s="69">
        <v>0</v>
      </c>
      <c r="AW52" s="69">
        <v>0</v>
      </c>
      <c r="AX52" s="69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69">
        <v>0</v>
      </c>
      <c r="BK52" s="69">
        <v>0</v>
      </c>
      <c r="BL52" s="69">
        <v>0</v>
      </c>
      <c r="BM52" s="69">
        <v>0</v>
      </c>
      <c r="BN52" s="69">
        <v>0</v>
      </c>
      <c r="BO52" s="69">
        <v>0</v>
      </c>
      <c r="BP52" s="69">
        <v>0</v>
      </c>
      <c r="BQ52" s="70">
        <v>0</v>
      </c>
      <c r="BR52" s="71">
        <v>0</v>
      </c>
      <c r="BS52" s="72">
        <v>0</v>
      </c>
      <c r="BT52" s="73">
        <v>0</v>
      </c>
      <c r="BU52" s="73">
        <v>0</v>
      </c>
      <c r="BV52" s="73">
        <v>0</v>
      </c>
      <c r="BW52" s="73">
        <v>0</v>
      </c>
      <c r="BX52" s="74">
        <v>0</v>
      </c>
      <c r="BY52" s="71">
        <v>0</v>
      </c>
      <c r="BZ52" s="75">
        <v>0</v>
      </c>
    </row>
    <row r="53" spans="1:78" ht="15" customHeight="1" x14ac:dyDescent="0.3">
      <c r="A53" s="33" t="s">
        <v>71</v>
      </c>
      <c r="B53" s="11" t="s">
        <v>139</v>
      </c>
      <c r="C53" s="68">
        <v>9.2788806580122396E-2</v>
      </c>
      <c r="D53" s="69">
        <v>0</v>
      </c>
      <c r="E53" s="69">
        <v>3.1924709354316599E-2</v>
      </c>
      <c r="F53" s="69">
        <v>0</v>
      </c>
      <c r="G53" s="69">
        <v>0.121785308636411</v>
      </c>
      <c r="H53" s="69">
        <v>0.358585559623121</v>
      </c>
      <c r="I53" s="69">
        <v>4.6394403290061198E-2</v>
      </c>
      <c r="J53" s="69">
        <v>0.79072747407254795</v>
      </c>
      <c r="K53" s="69">
        <v>0.30040984147880401</v>
      </c>
      <c r="L53" s="69">
        <v>0.91330048424864496</v>
      </c>
      <c r="M53" s="69">
        <v>3.3315195267373499</v>
      </c>
      <c r="N53" s="69">
        <v>0</v>
      </c>
      <c r="O53" s="69">
        <v>0.121919090271861</v>
      </c>
      <c r="P53" s="69">
        <v>0.119717660078688</v>
      </c>
      <c r="Q53" s="69">
        <v>1.7224506564869499E-2</v>
      </c>
      <c r="R53" s="69">
        <v>0.37934123325706598</v>
      </c>
      <c r="S53" s="69">
        <v>2.2763345881001902</v>
      </c>
      <c r="T53" s="69">
        <v>12.296645449131701</v>
      </c>
      <c r="U53" s="69">
        <v>5.25717222587909E-2</v>
      </c>
      <c r="V53" s="69">
        <v>0.16122022772973499</v>
      </c>
      <c r="W53" s="69">
        <v>134.931376628077</v>
      </c>
      <c r="X53" s="69">
        <v>0.29228795810458502</v>
      </c>
      <c r="Y53" s="69">
        <v>0</v>
      </c>
      <c r="Z53" s="69">
        <v>0.107480151819823</v>
      </c>
      <c r="AA53" s="69">
        <v>0.29224380006704498</v>
      </c>
      <c r="AB53" s="69">
        <v>8.7327623353606304E-2</v>
      </c>
      <c r="AC53" s="69">
        <v>0.21155568777797901</v>
      </c>
      <c r="AD53" s="69">
        <v>1.9660869549575001E-2</v>
      </c>
      <c r="AE53" s="69">
        <v>0.267215435040076</v>
      </c>
      <c r="AF53" s="69">
        <v>1.9245128826280999</v>
      </c>
      <c r="AG53" s="69">
        <v>8.7327623353606304E-2</v>
      </c>
      <c r="AH53" s="69">
        <v>0.229494758158797</v>
      </c>
      <c r="AI53" s="69">
        <v>0.22976190972264299</v>
      </c>
      <c r="AJ53" s="69">
        <v>2.52155648740949</v>
      </c>
      <c r="AK53" s="69">
        <v>3.4795802467546003E-2</v>
      </c>
      <c r="AL53" s="69">
        <v>0.29268683640426102</v>
      </c>
      <c r="AM53" s="69">
        <v>9.0951191529456192</v>
      </c>
      <c r="AN53" s="69">
        <v>41.397143398559798</v>
      </c>
      <c r="AO53" s="69">
        <v>2.7489030984686198</v>
      </c>
      <c r="AP53" s="69">
        <v>0.31841881528517402</v>
      </c>
      <c r="AQ53" s="69">
        <v>248.77239881389599</v>
      </c>
      <c r="AR53" s="69">
        <v>0.49210783976001699</v>
      </c>
      <c r="AS53" s="69">
        <v>0</v>
      </c>
      <c r="AT53" s="69">
        <v>0.263081448013462</v>
      </c>
      <c r="AU53" s="69">
        <v>0.68988730722788305</v>
      </c>
      <c r="AV53" s="69">
        <v>30.332164446536702</v>
      </c>
      <c r="AW53" s="69">
        <v>0.55127721987997302</v>
      </c>
      <c r="AX53" s="69">
        <v>17.907896502892601</v>
      </c>
      <c r="AY53" s="69">
        <v>2.3912799882431601</v>
      </c>
      <c r="AZ53" s="69">
        <v>61.086327926877097</v>
      </c>
      <c r="BA53" s="69">
        <v>3.7803141049122502</v>
      </c>
      <c r="BB53" s="69">
        <v>651.337628321289</v>
      </c>
      <c r="BC53" s="69">
        <v>24.939507145246498</v>
      </c>
      <c r="BD53" s="69">
        <v>173.84573606724501</v>
      </c>
      <c r="BE53" s="69">
        <v>81.4772549351203</v>
      </c>
      <c r="BF53" s="69">
        <v>1936.6929898353201</v>
      </c>
      <c r="BG53" s="69">
        <v>12.996642166907799</v>
      </c>
      <c r="BH53" s="69">
        <v>16.924085567216402</v>
      </c>
      <c r="BI53" s="69">
        <v>0</v>
      </c>
      <c r="BJ53" s="69">
        <v>742.52960260934105</v>
      </c>
      <c r="BK53" s="69">
        <v>1658.2728825655399</v>
      </c>
      <c r="BL53" s="69">
        <v>953.53223127287004</v>
      </c>
      <c r="BM53" s="69">
        <v>37.574839324935198</v>
      </c>
      <c r="BN53" s="69">
        <v>67.915473484972097</v>
      </c>
      <c r="BO53" s="69">
        <v>3.68322369781102</v>
      </c>
      <c r="BP53" s="69">
        <v>85.653974646699695</v>
      </c>
      <c r="BQ53" s="70">
        <v>0</v>
      </c>
      <c r="BR53" s="71">
        <v>7030.1440867493602</v>
      </c>
      <c r="BS53" s="72">
        <v>0</v>
      </c>
      <c r="BT53" s="73">
        <v>0</v>
      </c>
      <c r="BU53" s="73">
        <v>0</v>
      </c>
      <c r="BV53" s="73">
        <v>5084.8175506708203</v>
      </c>
      <c r="BW53" s="73">
        <v>0</v>
      </c>
      <c r="BX53" s="74">
        <v>0</v>
      </c>
      <c r="BY53" s="71">
        <v>5084.8175506708203</v>
      </c>
      <c r="BZ53" s="75">
        <v>12114.9616374202</v>
      </c>
    </row>
    <row r="54" spans="1:78" ht="15" customHeight="1" x14ac:dyDescent="0.3">
      <c r="A54" s="33" t="s">
        <v>72</v>
      </c>
      <c r="B54" s="11" t="s">
        <v>140</v>
      </c>
      <c r="C54" s="68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  <c r="AE54" s="69">
        <v>0</v>
      </c>
      <c r="AF54" s="69">
        <v>0</v>
      </c>
      <c r="AG54" s="69">
        <v>0</v>
      </c>
      <c r="AH54" s="69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69">
        <v>0</v>
      </c>
      <c r="AU54" s="69">
        <v>0</v>
      </c>
      <c r="AV54" s="69">
        <v>0</v>
      </c>
      <c r="AW54" s="69">
        <v>0</v>
      </c>
      <c r="AX54" s="69">
        <v>0</v>
      </c>
      <c r="AY54" s="69">
        <v>0</v>
      </c>
      <c r="AZ54" s="69">
        <v>0</v>
      </c>
      <c r="BA54" s="69">
        <v>0</v>
      </c>
      <c r="BB54" s="69">
        <v>0</v>
      </c>
      <c r="BC54" s="69">
        <v>0</v>
      </c>
      <c r="BD54" s="69">
        <v>0</v>
      </c>
      <c r="BE54" s="69">
        <v>0</v>
      </c>
      <c r="BF54" s="69">
        <v>0</v>
      </c>
      <c r="BG54" s="69">
        <v>0</v>
      </c>
      <c r="BH54" s="69">
        <v>0</v>
      </c>
      <c r="BI54" s="69">
        <v>0</v>
      </c>
      <c r="BJ54" s="69">
        <v>0</v>
      </c>
      <c r="BK54" s="69">
        <v>0</v>
      </c>
      <c r="BL54" s="69">
        <v>0</v>
      </c>
      <c r="BM54" s="69">
        <v>0</v>
      </c>
      <c r="BN54" s="69">
        <v>0</v>
      </c>
      <c r="BO54" s="69">
        <v>0</v>
      </c>
      <c r="BP54" s="69">
        <v>0</v>
      </c>
      <c r="BQ54" s="70">
        <v>0</v>
      </c>
      <c r="BR54" s="71">
        <v>0</v>
      </c>
      <c r="BS54" s="72">
        <v>0</v>
      </c>
      <c r="BT54" s="73">
        <v>0</v>
      </c>
      <c r="BU54" s="73">
        <v>0</v>
      </c>
      <c r="BV54" s="73">
        <v>0</v>
      </c>
      <c r="BW54" s="73">
        <v>0</v>
      </c>
      <c r="BX54" s="74">
        <v>0</v>
      </c>
      <c r="BY54" s="71">
        <v>0</v>
      </c>
      <c r="BZ54" s="75">
        <v>0</v>
      </c>
    </row>
    <row r="55" spans="1:78" ht="15" customHeight="1" x14ac:dyDescent="0.3">
      <c r="A55" s="33" t="s">
        <v>73</v>
      </c>
      <c r="B55" s="11" t="s">
        <v>141</v>
      </c>
      <c r="C55" s="68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69">
        <v>0</v>
      </c>
      <c r="AU55" s="69">
        <v>0</v>
      </c>
      <c r="AV55" s="69">
        <v>0</v>
      </c>
      <c r="AW55" s="69">
        <v>0</v>
      </c>
      <c r="AX55" s="69">
        <v>0</v>
      </c>
      <c r="AY55" s="69">
        <v>0</v>
      </c>
      <c r="AZ55" s="69">
        <v>0</v>
      </c>
      <c r="BA55" s="69">
        <v>0</v>
      </c>
      <c r="BB55" s="69">
        <v>0</v>
      </c>
      <c r="BC55" s="69">
        <v>0</v>
      </c>
      <c r="BD55" s="69">
        <v>0</v>
      </c>
      <c r="BE55" s="69">
        <v>0</v>
      </c>
      <c r="BF55" s="69">
        <v>0</v>
      </c>
      <c r="BG55" s="69">
        <v>0</v>
      </c>
      <c r="BH55" s="69">
        <v>0</v>
      </c>
      <c r="BI55" s="69">
        <v>0</v>
      </c>
      <c r="BJ55" s="69">
        <v>0</v>
      </c>
      <c r="BK55" s="69">
        <v>0</v>
      </c>
      <c r="BL55" s="69">
        <v>0</v>
      </c>
      <c r="BM55" s="69">
        <v>0</v>
      </c>
      <c r="BN55" s="69">
        <v>0</v>
      </c>
      <c r="BO55" s="69">
        <v>0</v>
      </c>
      <c r="BP55" s="69">
        <v>0</v>
      </c>
      <c r="BQ55" s="70">
        <v>0</v>
      </c>
      <c r="BR55" s="71">
        <v>0</v>
      </c>
      <c r="BS55" s="72">
        <v>0</v>
      </c>
      <c r="BT55" s="73">
        <v>0</v>
      </c>
      <c r="BU55" s="73">
        <v>0</v>
      </c>
      <c r="BV55" s="73">
        <v>0</v>
      </c>
      <c r="BW55" s="73">
        <v>0</v>
      </c>
      <c r="BX55" s="74">
        <v>0</v>
      </c>
      <c r="BY55" s="71">
        <v>0</v>
      </c>
      <c r="BZ55" s="75">
        <v>0</v>
      </c>
    </row>
    <row r="56" spans="1:78" ht="15" customHeight="1" x14ac:dyDescent="0.3">
      <c r="A56" s="33" t="s">
        <v>74</v>
      </c>
      <c r="B56" s="11" t="s">
        <v>142</v>
      </c>
      <c r="C56" s="68">
        <v>0</v>
      </c>
      <c r="D56" s="69">
        <v>7.7163652557293199E-3</v>
      </c>
      <c r="E56" s="69">
        <v>2.3749818313815599E-3</v>
      </c>
      <c r="F56" s="69">
        <v>1.07219740519191E-2</v>
      </c>
      <c r="G56" s="69">
        <v>1.6998376318922199</v>
      </c>
      <c r="H56" s="69">
        <v>1.7071969129765101</v>
      </c>
      <c r="I56" s="69">
        <v>0.15946735403270701</v>
      </c>
      <c r="J56" s="69">
        <v>0</v>
      </c>
      <c r="K56" s="69">
        <v>0</v>
      </c>
      <c r="L56" s="69">
        <v>0</v>
      </c>
      <c r="M56" s="69">
        <v>0</v>
      </c>
      <c r="N56" s="69">
        <v>0</v>
      </c>
      <c r="O56" s="69">
        <v>0</v>
      </c>
      <c r="P56" s="69">
        <v>0</v>
      </c>
      <c r="Q56" s="69">
        <v>0</v>
      </c>
      <c r="R56" s="69">
        <v>5.3733825703656202E-2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9.8353643394692904E-3</v>
      </c>
      <c r="AB56" s="69">
        <v>0</v>
      </c>
      <c r="AC56" s="69">
        <v>0</v>
      </c>
      <c r="AD56" s="69">
        <v>5.0533418890828796E-3</v>
      </c>
      <c r="AE56" s="69">
        <v>6.4949519878822999E-3</v>
      </c>
      <c r="AF56" s="69">
        <v>4.1463167156831204</v>
      </c>
      <c r="AG56" s="69">
        <v>9.9152646704734795E-2</v>
      </c>
      <c r="AH56" s="69">
        <v>4.0765941978376201</v>
      </c>
      <c r="AI56" s="69">
        <v>0.132479954301394</v>
      </c>
      <c r="AJ56" s="69">
        <v>1.0020418206833799E-3</v>
      </c>
      <c r="AK56" s="69">
        <v>0.12763602331277599</v>
      </c>
      <c r="AL56" s="69">
        <v>0</v>
      </c>
      <c r="AM56" s="69">
        <v>2.3040226186082799</v>
      </c>
      <c r="AN56" s="69">
        <v>3.4367093407890799E-2</v>
      </c>
      <c r="AO56" s="69">
        <v>4.55406878534148E-2</v>
      </c>
      <c r="AP56" s="69">
        <v>0.56932613730370496</v>
      </c>
      <c r="AQ56" s="69">
        <v>0.476478716070727</v>
      </c>
      <c r="AR56" s="69">
        <v>1.02044906414018E-2</v>
      </c>
      <c r="AS56" s="69">
        <v>8.3156889616410407E-2</v>
      </c>
      <c r="AT56" s="69">
        <v>0</v>
      </c>
      <c r="AU56" s="69">
        <v>0.16508334082932799</v>
      </c>
      <c r="AV56" s="69">
        <v>1.1816627131159901E-3</v>
      </c>
      <c r="AW56" s="69">
        <v>0</v>
      </c>
      <c r="AX56" s="69">
        <v>0</v>
      </c>
      <c r="AY56" s="69">
        <v>0.42544000511397101</v>
      </c>
      <c r="AZ56" s="69">
        <v>1.8659434982267901E-2</v>
      </c>
      <c r="BA56" s="69">
        <v>6.8389215309202802</v>
      </c>
      <c r="BB56" s="69">
        <v>0.49446708547910201</v>
      </c>
      <c r="BC56" s="69">
        <v>0</v>
      </c>
      <c r="BD56" s="69">
        <v>0.72119729754310402</v>
      </c>
      <c r="BE56" s="69">
        <v>0.92801048382901996</v>
      </c>
      <c r="BF56" s="69">
        <v>0.42910234887832199</v>
      </c>
      <c r="BG56" s="69">
        <v>0.10134629903105501</v>
      </c>
      <c r="BH56" s="69">
        <v>1.0474903921718099</v>
      </c>
      <c r="BI56" s="69">
        <v>6.8161614961814998E-2</v>
      </c>
      <c r="BJ56" s="69">
        <v>0.40276614797236698</v>
      </c>
      <c r="BK56" s="69">
        <v>1.0294431406570601</v>
      </c>
      <c r="BL56" s="69">
        <v>0.28443261570934097</v>
      </c>
      <c r="BM56" s="69">
        <v>0.33077271783918299</v>
      </c>
      <c r="BN56" s="69">
        <v>0.15227765285276901</v>
      </c>
      <c r="BO56" s="69">
        <v>1.16011123046175E-2</v>
      </c>
      <c r="BP56" s="69">
        <v>1.01299388425739</v>
      </c>
      <c r="BQ56" s="70">
        <v>0</v>
      </c>
      <c r="BR56" s="71">
        <v>30.232059685168601</v>
      </c>
      <c r="BS56" s="72">
        <v>3.8778391195344999E-2</v>
      </c>
      <c r="BT56" s="73">
        <v>0</v>
      </c>
      <c r="BU56" s="73">
        <v>0</v>
      </c>
      <c r="BV56" s="73">
        <v>306.125769189388</v>
      </c>
      <c r="BW56" s="73">
        <v>22.3208802767662</v>
      </c>
      <c r="BX56" s="74">
        <v>0</v>
      </c>
      <c r="BY56" s="71">
        <v>328.48542785734901</v>
      </c>
      <c r="BZ56" s="75">
        <v>358.71748754251797</v>
      </c>
    </row>
    <row r="57" spans="1:78" ht="15" customHeight="1" x14ac:dyDescent="0.3">
      <c r="A57" s="33" t="s">
        <v>75</v>
      </c>
      <c r="B57" s="11" t="s">
        <v>143</v>
      </c>
      <c r="C57" s="68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9">
        <v>0</v>
      </c>
      <c r="O57" s="69">
        <v>0</v>
      </c>
      <c r="P57" s="69">
        <v>0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69">
        <v>0</v>
      </c>
      <c r="AU57" s="69">
        <v>0</v>
      </c>
      <c r="AV57" s="69">
        <v>0</v>
      </c>
      <c r="AW57" s="69">
        <v>0</v>
      </c>
      <c r="AX57" s="69">
        <v>0</v>
      </c>
      <c r="AY57" s="69">
        <v>0</v>
      </c>
      <c r="AZ57" s="69">
        <v>0</v>
      </c>
      <c r="BA57" s="69">
        <v>0</v>
      </c>
      <c r="BB57" s="69">
        <v>0</v>
      </c>
      <c r="BC57" s="69">
        <v>0</v>
      </c>
      <c r="BD57" s="69">
        <v>0</v>
      </c>
      <c r="BE57" s="69">
        <v>0</v>
      </c>
      <c r="BF57" s="69">
        <v>0</v>
      </c>
      <c r="BG57" s="69">
        <v>0</v>
      </c>
      <c r="BH57" s="69">
        <v>0</v>
      </c>
      <c r="BI57" s="69">
        <v>0</v>
      </c>
      <c r="BJ57" s="69">
        <v>0</v>
      </c>
      <c r="BK57" s="69">
        <v>0</v>
      </c>
      <c r="BL57" s="69">
        <v>0</v>
      </c>
      <c r="BM57" s="69">
        <v>0</v>
      </c>
      <c r="BN57" s="69">
        <v>0</v>
      </c>
      <c r="BO57" s="69">
        <v>0</v>
      </c>
      <c r="BP57" s="69">
        <v>0</v>
      </c>
      <c r="BQ57" s="70">
        <v>0</v>
      </c>
      <c r="BR57" s="71">
        <v>0</v>
      </c>
      <c r="BS57" s="72">
        <v>0</v>
      </c>
      <c r="BT57" s="73">
        <v>0</v>
      </c>
      <c r="BU57" s="73">
        <v>0</v>
      </c>
      <c r="BV57" s="73">
        <v>1.26625295175453</v>
      </c>
      <c r="BW57" s="73">
        <v>0</v>
      </c>
      <c r="BX57" s="74">
        <v>0</v>
      </c>
      <c r="BY57" s="71">
        <v>1.26625295175453</v>
      </c>
      <c r="BZ57" s="75">
        <v>1.26625295175453</v>
      </c>
    </row>
    <row r="58" spans="1:78" ht="15" customHeight="1" x14ac:dyDescent="0.3">
      <c r="A58" s="33" t="s">
        <v>76</v>
      </c>
      <c r="B58" s="11" t="s">
        <v>144</v>
      </c>
      <c r="C58" s="68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69">
        <v>0</v>
      </c>
      <c r="AU58" s="69">
        <v>0</v>
      </c>
      <c r="AV58" s="69">
        <v>0</v>
      </c>
      <c r="AW58" s="69">
        <v>0</v>
      </c>
      <c r="AX58" s="69">
        <v>0</v>
      </c>
      <c r="AY58" s="69">
        <v>0</v>
      </c>
      <c r="AZ58" s="69">
        <v>0</v>
      </c>
      <c r="BA58" s="69">
        <v>0</v>
      </c>
      <c r="BB58" s="69">
        <v>0</v>
      </c>
      <c r="BC58" s="69">
        <v>0</v>
      </c>
      <c r="BD58" s="69">
        <v>0</v>
      </c>
      <c r="BE58" s="69">
        <v>0</v>
      </c>
      <c r="BF58" s="69">
        <v>0</v>
      </c>
      <c r="BG58" s="69">
        <v>0</v>
      </c>
      <c r="BH58" s="69">
        <v>0</v>
      </c>
      <c r="BI58" s="69">
        <v>0</v>
      </c>
      <c r="BJ58" s="69">
        <v>0</v>
      </c>
      <c r="BK58" s="69">
        <v>0</v>
      </c>
      <c r="BL58" s="69">
        <v>0</v>
      </c>
      <c r="BM58" s="69">
        <v>0</v>
      </c>
      <c r="BN58" s="69">
        <v>0</v>
      </c>
      <c r="BO58" s="69">
        <v>0</v>
      </c>
      <c r="BP58" s="69">
        <v>0</v>
      </c>
      <c r="BQ58" s="70">
        <v>0</v>
      </c>
      <c r="BR58" s="71">
        <v>0</v>
      </c>
      <c r="BS58" s="72">
        <v>0</v>
      </c>
      <c r="BT58" s="73">
        <v>0</v>
      </c>
      <c r="BU58" s="73">
        <v>0</v>
      </c>
      <c r="BV58" s="73">
        <v>0</v>
      </c>
      <c r="BW58" s="73">
        <v>0</v>
      </c>
      <c r="BX58" s="74">
        <v>0</v>
      </c>
      <c r="BY58" s="71">
        <v>0</v>
      </c>
      <c r="BZ58" s="75">
        <v>0</v>
      </c>
    </row>
    <row r="59" spans="1:78" ht="15" customHeight="1" x14ac:dyDescent="0.3">
      <c r="A59" s="33" t="s">
        <v>77</v>
      </c>
      <c r="B59" s="11" t="s">
        <v>145</v>
      </c>
      <c r="C59" s="68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69">
        <v>0</v>
      </c>
      <c r="AU59" s="69">
        <v>0</v>
      </c>
      <c r="AV59" s="69">
        <v>0</v>
      </c>
      <c r="AW59" s="69">
        <v>0</v>
      </c>
      <c r="AX59" s="69">
        <v>0</v>
      </c>
      <c r="AY59" s="69">
        <v>0</v>
      </c>
      <c r="AZ59" s="69">
        <v>0</v>
      </c>
      <c r="BA59" s="69">
        <v>0</v>
      </c>
      <c r="BB59" s="69">
        <v>0</v>
      </c>
      <c r="BC59" s="69">
        <v>0</v>
      </c>
      <c r="BD59" s="69">
        <v>0</v>
      </c>
      <c r="BE59" s="69">
        <v>0</v>
      </c>
      <c r="BF59" s="69">
        <v>0</v>
      </c>
      <c r="BG59" s="69">
        <v>0</v>
      </c>
      <c r="BH59" s="69">
        <v>0</v>
      </c>
      <c r="BI59" s="69">
        <v>0</v>
      </c>
      <c r="BJ59" s="69">
        <v>0</v>
      </c>
      <c r="BK59" s="69">
        <v>0</v>
      </c>
      <c r="BL59" s="69">
        <v>0</v>
      </c>
      <c r="BM59" s="69">
        <v>0</v>
      </c>
      <c r="BN59" s="69">
        <v>0</v>
      </c>
      <c r="BO59" s="69">
        <v>0</v>
      </c>
      <c r="BP59" s="69">
        <v>0</v>
      </c>
      <c r="BQ59" s="70">
        <v>0</v>
      </c>
      <c r="BR59" s="71">
        <v>0</v>
      </c>
      <c r="BS59" s="72">
        <v>0</v>
      </c>
      <c r="BT59" s="73">
        <v>0</v>
      </c>
      <c r="BU59" s="73">
        <v>0</v>
      </c>
      <c r="BV59" s="73">
        <v>0</v>
      </c>
      <c r="BW59" s="73">
        <v>0</v>
      </c>
      <c r="BX59" s="74">
        <v>0</v>
      </c>
      <c r="BY59" s="71">
        <v>0</v>
      </c>
      <c r="BZ59" s="75">
        <v>0</v>
      </c>
    </row>
    <row r="60" spans="1:78" ht="15" customHeight="1" x14ac:dyDescent="0.3">
      <c r="A60" s="33" t="s">
        <v>78</v>
      </c>
      <c r="B60" s="11" t="s">
        <v>146</v>
      </c>
      <c r="C60" s="68">
        <v>0.30273785778679901</v>
      </c>
      <c r="D60" s="69">
        <v>0.42051476356769102</v>
      </c>
      <c r="E60" s="69">
        <v>3.6809610927895302E-2</v>
      </c>
      <c r="F60" s="69">
        <v>5.8747240320488801E-2</v>
      </c>
      <c r="G60" s="69">
        <v>5.3003197617094902</v>
      </c>
      <c r="H60" s="69">
        <v>6.65128196858298</v>
      </c>
      <c r="I60" s="69">
        <v>0.66435426952549403</v>
      </c>
      <c r="J60" s="69">
        <v>1.7487159445281</v>
      </c>
      <c r="K60" s="69">
        <v>8.28694952790585E-2</v>
      </c>
      <c r="L60" s="69">
        <v>1.8032586531199599</v>
      </c>
      <c r="M60" s="69">
        <v>2.2604998103493399</v>
      </c>
      <c r="N60" s="69">
        <v>8.5420185649911808E-3</v>
      </c>
      <c r="O60" s="69">
        <v>3.4864009916336203E-2</v>
      </c>
      <c r="P60" s="69">
        <v>3.5273170879443601E-2</v>
      </c>
      <c r="Q60" s="69">
        <v>3.76453491085149E-2</v>
      </c>
      <c r="R60" s="69">
        <v>0.56828453254019295</v>
      </c>
      <c r="S60" s="69">
        <v>0.137902873211352</v>
      </c>
      <c r="T60" s="69">
        <v>6.1157371702031102E-2</v>
      </c>
      <c r="U60" s="69">
        <v>0.21490854298745299</v>
      </c>
      <c r="V60" s="69">
        <v>5.1642201976777297E-2</v>
      </c>
      <c r="W60" s="69">
        <v>0.44730778874240401</v>
      </c>
      <c r="X60" s="69">
        <v>0.56124803503059195</v>
      </c>
      <c r="Y60" s="69">
        <v>0.56117966264285801</v>
      </c>
      <c r="Z60" s="69">
        <v>0.103061553412115</v>
      </c>
      <c r="AA60" s="69">
        <v>1.4733427847468299</v>
      </c>
      <c r="AB60" s="69">
        <v>0.30147515843318101</v>
      </c>
      <c r="AC60" s="69">
        <v>0.46579233200689801</v>
      </c>
      <c r="AD60" s="69">
        <v>0.13248356205728001</v>
      </c>
      <c r="AE60" s="69">
        <v>3.9568886518745798</v>
      </c>
      <c r="AF60" s="69">
        <v>0.58293156278278302</v>
      </c>
      <c r="AG60" s="69">
        <v>1.5499893443539901</v>
      </c>
      <c r="AH60" s="69">
        <v>15.568701431008799</v>
      </c>
      <c r="AI60" s="69">
        <v>2.3856083813553099</v>
      </c>
      <c r="AJ60" s="69">
        <v>1.12639939043455</v>
      </c>
      <c r="AK60" s="69">
        <v>0.76459188299560299</v>
      </c>
      <c r="AL60" s="69">
        <v>0.78576269237185203</v>
      </c>
      <c r="AM60" s="69">
        <v>8.0574297529451897</v>
      </c>
      <c r="AN60" s="69">
        <v>0.67539748123707299</v>
      </c>
      <c r="AO60" s="69">
        <v>0.36986738074963299</v>
      </c>
      <c r="AP60" s="69">
        <v>12.939561505664299</v>
      </c>
      <c r="AQ60" s="69">
        <v>1.9864068588316299</v>
      </c>
      <c r="AR60" s="69">
        <v>7.4364352362524005E-2</v>
      </c>
      <c r="AS60" s="69">
        <v>0.27322978016820598</v>
      </c>
      <c r="AT60" s="69">
        <v>3.78718067863011E-4</v>
      </c>
      <c r="AU60" s="69">
        <v>0.27505235658203298</v>
      </c>
      <c r="AV60" s="69">
        <v>6.9841343150264801E-2</v>
      </c>
      <c r="AW60" s="69">
        <v>0.83226531684893001</v>
      </c>
      <c r="AX60" s="69">
        <v>0</v>
      </c>
      <c r="AY60" s="69">
        <v>1.93100655874245E-3</v>
      </c>
      <c r="AZ60" s="69">
        <v>3.2768796358371703E-2</v>
      </c>
      <c r="BA60" s="69">
        <v>0</v>
      </c>
      <c r="BB60" s="69">
        <v>5.7443987355013599E-3</v>
      </c>
      <c r="BC60" s="69">
        <v>0.19712189540173999</v>
      </c>
      <c r="BD60" s="69">
        <v>2.2778826936635702E-2</v>
      </c>
      <c r="BE60" s="69">
        <v>1.36747992783637E-3</v>
      </c>
      <c r="BF60" s="69">
        <v>0</v>
      </c>
      <c r="BG60" s="69">
        <v>0</v>
      </c>
      <c r="BH60" s="69">
        <v>1.0357273080979299</v>
      </c>
      <c r="BI60" s="69">
        <v>5.1235749802372499E-2</v>
      </c>
      <c r="BJ60" s="69">
        <v>0.39591533690897102</v>
      </c>
      <c r="BK60" s="69">
        <v>3.0589730970092901E-2</v>
      </c>
      <c r="BL60" s="69">
        <v>0</v>
      </c>
      <c r="BM60" s="69">
        <v>0.18460738497069601</v>
      </c>
      <c r="BN60" s="69">
        <v>2.8214197990964199E-2</v>
      </c>
      <c r="BO60" s="69">
        <v>0</v>
      </c>
      <c r="BP60" s="69">
        <v>5.7416139544064798E-2</v>
      </c>
      <c r="BQ60" s="70">
        <v>0</v>
      </c>
      <c r="BR60" s="71">
        <v>78.8463067596456</v>
      </c>
      <c r="BS60" s="72">
        <v>0.13824460474584299</v>
      </c>
      <c r="BT60" s="73">
        <v>0</v>
      </c>
      <c r="BU60" s="73">
        <v>0</v>
      </c>
      <c r="BV60" s="73">
        <v>9.1206317509667194</v>
      </c>
      <c r="BW60" s="73">
        <v>27.642059923168599</v>
      </c>
      <c r="BX60" s="74">
        <v>0</v>
      </c>
      <c r="BY60" s="71">
        <v>36.900936278881197</v>
      </c>
      <c r="BZ60" s="75">
        <v>115.747243038527</v>
      </c>
    </row>
    <row r="61" spans="1:78" ht="15" customHeight="1" x14ac:dyDescent="0.3">
      <c r="A61" s="33" t="s">
        <v>79</v>
      </c>
      <c r="B61" s="11" t="s">
        <v>147</v>
      </c>
      <c r="C61" s="68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  <c r="AJ61" s="69">
        <v>0</v>
      </c>
      <c r="AK61" s="69">
        <v>0</v>
      </c>
      <c r="AL61" s="69">
        <v>0</v>
      </c>
      <c r="AM61" s="69">
        <v>0</v>
      </c>
      <c r="AN61" s="69">
        <v>0</v>
      </c>
      <c r="AO61" s="69">
        <v>0</v>
      </c>
      <c r="AP61" s="69">
        <v>0</v>
      </c>
      <c r="AQ61" s="69">
        <v>0</v>
      </c>
      <c r="AR61" s="69">
        <v>0</v>
      </c>
      <c r="AS61" s="69">
        <v>0</v>
      </c>
      <c r="AT61" s="69">
        <v>0</v>
      </c>
      <c r="AU61" s="69">
        <v>0</v>
      </c>
      <c r="AV61" s="69">
        <v>0</v>
      </c>
      <c r="AW61" s="69">
        <v>0</v>
      </c>
      <c r="AX61" s="69">
        <v>0</v>
      </c>
      <c r="AY61" s="69">
        <v>0</v>
      </c>
      <c r="AZ61" s="69">
        <v>0</v>
      </c>
      <c r="BA61" s="69">
        <v>0</v>
      </c>
      <c r="BB61" s="69">
        <v>0</v>
      </c>
      <c r="BC61" s="69">
        <v>0</v>
      </c>
      <c r="BD61" s="69">
        <v>0</v>
      </c>
      <c r="BE61" s="69">
        <v>0</v>
      </c>
      <c r="BF61" s="69">
        <v>0</v>
      </c>
      <c r="BG61" s="69">
        <v>0</v>
      </c>
      <c r="BH61" s="69">
        <v>0</v>
      </c>
      <c r="BI61" s="69">
        <v>0</v>
      </c>
      <c r="BJ61" s="69">
        <v>0</v>
      </c>
      <c r="BK61" s="69">
        <v>0</v>
      </c>
      <c r="BL61" s="69">
        <v>0</v>
      </c>
      <c r="BM61" s="69">
        <v>0</v>
      </c>
      <c r="BN61" s="69">
        <v>0</v>
      </c>
      <c r="BO61" s="69">
        <v>0</v>
      </c>
      <c r="BP61" s="69">
        <v>0</v>
      </c>
      <c r="BQ61" s="70">
        <v>0</v>
      </c>
      <c r="BR61" s="71">
        <v>0</v>
      </c>
      <c r="BS61" s="72">
        <v>0</v>
      </c>
      <c r="BT61" s="73">
        <v>0</v>
      </c>
      <c r="BU61" s="73">
        <v>0</v>
      </c>
      <c r="BV61" s="73">
        <v>0</v>
      </c>
      <c r="BW61" s="73">
        <v>0</v>
      </c>
      <c r="BX61" s="74">
        <v>0</v>
      </c>
      <c r="BY61" s="71">
        <v>0</v>
      </c>
      <c r="BZ61" s="75">
        <v>0</v>
      </c>
    </row>
    <row r="62" spans="1:78" ht="15" customHeight="1" x14ac:dyDescent="0.3">
      <c r="A62" s="33" t="s">
        <v>80</v>
      </c>
      <c r="B62" s="11" t="s">
        <v>148</v>
      </c>
      <c r="C62" s="68">
        <v>0.69310210522666105</v>
      </c>
      <c r="D62" s="69">
        <v>3.11651313461325E-2</v>
      </c>
      <c r="E62" s="69">
        <v>7.7291519263792405E-4</v>
      </c>
      <c r="F62" s="69">
        <v>0.113883081930782</v>
      </c>
      <c r="G62" s="69">
        <v>0.123875729803503</v>
      </c>
      <c r="H62" s="69">
        <v>3.1335960393646597E-2</v>
      </c>
      <c r="I62" s="69">
        <v>9.0353520691695798E-3</v>
      </c>
      <c r="J62" s="69">
        <v>4.5836517106544898E-2</v>
      </c>
      <c r="K62" s="69">
        <v>0.16376163084304601</v>
      </c>
      <c r="L62" s="69">
        <v>0.18211478729269701</v>
      </c>
      <c r="M62" s="69">
        <v>6.2066345894035098E-2</v>
      </c>
      <c r="N62" s="69">
        <v>2.5690281398469702E-4</v>
      </c>
      <c r="O62" s="69">
        <v>3.5757189149164601</v>
      </c>
      <c r="P62" s="69">
        <v>0.62954540315988905</v>
      </c>
      <c r="Q62" s="69">
        <v>0.73385668777753899</v>
      </c>
      <c r="R62" s="69">
        <v>1.1098499325171599E-2</v>
      </c>
      <c r="S62" s="69">
        <v>0.160352523280159</v>
      </c>
      <c r="T62" s="69">
        <v>9.46171810888857E-5</v>
      </c>
      <c r="U62" s="69">
        <v>6.2227312457759799E-3</v>
      </c>
      <c r="V62" s="69">
        <v>1.4308128969378799E-3</v>
      </c>
      <c r="W62" s="69">
        <v>9.5484831403254491E-3</v>
      </c>
      <c r="X62" s="69">
        <v>4.63818021348354E-2</v>
      </c>
      <c r="Y62" s="69">
        <v>1.38035124594394E-2</v>
      </c>
      <c r="Z62" s="69">
        <v>2.1734122027219798E-3</v>
      </c>
      <c r="AA62" s="69">
        <v>0.56378685398036799</v>
      </c>
      <c r="AB62" s="69">
        <v>1.04136586044203E-2</v>
      </c>
      <c r="AC62" s="69">
        <v>1.3192503110316899E-2</v>
      </c>
      <c r="AD62" s="69">
        <v>3.4851044938863599E-3</v>
      </c>
      <c r="AE62" s="69">
        <v>0.11651397099667</v>
      </c>
      <c r="AF62" s="69">
        <v>1.3649541592586901E-2</v>
      </c>
      <c r="AG62" s="69">
        <v>3.2125204274033398E-2</v>
      </c>
      <c r="AH62" s="69">
        <v>7.1422040172559903E-2</v>
      </c>
      <c r="AI62" s="69">
        <v>0.55011962679615101</v>
      </c>
      <c r="AJ62" s="69">
        <v>3.2763439967804897E-2</v>
      </c>
      <c r="AK62" s="69">
        <v>4.9117212912095101E-2</v>
      </c>
      <c r="AL62" s="69">
        <v>0.38946981168941602</v>
      </c>
      <c r="AM62" s="69">
        <v>3.9552674609215098E-2</v>
      </c>
      <c r="AN62" s="69">
        <v>3.4409631220677098E-2</v>
      </c>
      <c r="AO62" s="69">
        <v>1.35292579116483E-2</v>
      </c>
      <c r="AP62" s="69">
        <v>0.79687854023445104</v>
      </c>
      <c r="AQ62" s="69">
        <v>0.23393689768624801</v>
      </c>
      <c r="AR62" s="69">
        <v>7.9252836072316701E-2</v>
      </c>
      <c r="AS62" s="69">
        <v>1.5821344704359998E-2</v>
      </c>
      <c r="AT62" s="69">
        <v>0</v>
      </c>
      <c r="AU62" s="69">
        <v>0</v>
      </c>
      <c r="AV62" s="69">
        <v>0.40286914750776198</v>
      </c>
      <c r="AW62" s="69">
        <v>0.353606190404125</v>
      </c>
      <c r="AX62" s="69">
        <v>0</v>
      </c>
      <c r="AY62" s="69">
        <v>5.8075385225336902E-5</v>
      </c>
      <c r="AZ62" s="69">
        <v>1.6013365825729201E-4</v>
      </c>
      <c r="BA62" s="69">
        <v>0</v>
      </c>
      <c r="BB62" s="69">
        <v>0</v>
      </c>
      <c r="BC62" s="69">
        <v>5.4405547670343503E-3</v>
      </c>
      <c r="BD62" s="69">
        <v>0</v>
      </c>
      <c r="BE62" s="69">
        <v>4.1127215874778198E-5</v>
      </c>
      <c r="BF62" s="69">
        <v>0</v>
      </c>
      <c r="BG62" s="69">
        <v>0</v>
      </c>
      <c r="BH62" s="69">
        <v>2.3686917655690701E-2</v>
      </c>
      <c r="BI62" s="69">
        <v>1.5409248060863901E-3</v>
      </c>
      <c r="BJ62" s="69">
        <v>4.3923297418984097E-2</v>
      </c>
      <c r="BK62" s="69">
        <v>5.0177445274697301E-2</v>
      </c>
      <c r="BL62" s="69">
        <v>0</v>
      </c>
      <c r="BM62" s="69">
        <v>4.9996599712351701E-2</v>
      </c>
      <c r="BN62" s="69">
        <v>8.9055056564562394E-3</v>
      </c>
      <c r="BO62" s="69">
        <v>0</v>
      </c>
      <c r="BP62" s="69">
        <v>1.8371565880102401</v>
      </c>
      <c r="BQ62" s="70">
        <v>0</v>
      </c>
      <c r="BR62" s="71">
        <v>12.484436518135199</v>
      </c>
      <c r="BS62" s="72">
        <v>8.5751957535340401E-2</v>
      </c>
      <c r="BT62" s="73">
        <v>0</v>
      </c>
      <c r="BU62" s="73">
        <v>0</v>
      </c>
      <c r="BV62" s="73">
        <v>77.096129304281604</v>
      </c>
      <c r="BW62" s="73">
        <v>57.780991757144498</v>
      </c>
      <c r="BX62" s="74">
        <v>0</v>
      </c>
      <c r="BY62" s="71">
        <v>134.96287301896101</v>
      </c>
      <c r="BZ62" s="75">
        <v>147.447309537097</v>
      </c>
    </row>
    <row r="63" spans="1:78" ht="15" customHeight="1" x14ac:dyDescent="0.3">
      <c r="A63" s="33" t="s">
        <v>81</v>
      </c>
      <c r="B63" s="11" t="s">
        <v>149</v>
      </c>
      <c r="C63" s="68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0</v>
      </c>
      <c r="R63" s="69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69">
        <v>0</v>
      </c>
      <c r="AE63" s="69">
        <v>0</v>
      </c>
      <c r="AF63" s="69">
        <v>0</v>
      </c>
      <c r="AG63" s="69">
        <v>0</v>
      </c>
      <c r="AH63" s="69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69">
        <v>0</v>
      </c>
      <c r="AO63" s="69">
        <v>0</v>
      </c>
      <c r="AP63" s="69">
        <v>0</v>
      </c>
      <c r="AQ63" s="69">
        <v>0</v>
      </c>
      <c r="AR63" s="69">
        <v>0</v>
      </c>
      <c r="AS63" s="69">
        <v>0</v>
      </c>
      <c r="AT63" s="69">
        <v>0</v>
      </c>
      <c r="AU63" s="69">
        <v>0</v>
      </c>
      <c r="AV63" s="69">
        <v>0</v>
      </c>
      <c r="AW63" s="69">
        <v>0</v>
      </c>
      <c r="AX63" s="69">
        <v>0</v>
      </c>
      <c r="AY63" s="69">
        <v>0</v>
      </c>
      <c r="AZ63" s="69">
        <v>0</v>
      </c>
      <c r="BA63" s="69">
        <v>0</v>
      </c>
      <c r="BB63" s="69">
        <v>0</v>
      </c>
      <c r="BC63" s="69">
        <v>0</v>
      </c>
      <c r="BD63" s="69">
        <v>0</v>
      </c>
      <c r="BE63" s="69">
        <v>0</v>
      </c>
      <c r="BF63" s="69">
        <v>0</v>
      </c>
      <c r="BG63" s="69">
        <v>0</v>
      </c>
      <c r="BH63" s="69">
        <v>0</v>
      </c>
      <c r="BI63" s="69">
        <v>0</v>
      </c>
      <c r="BJ63" s="69">
        <v>0</v>
      </c>
      <c r="BK63" s="69">
        <v>0</v>
      </c>
      <c r="BL63" s="69">
        <v>0</v>
      </c>
      <c r="BM63" s="69">
        <v>0</v>
      </c>
      <c r="BN63" s="69">
        <v>0</v>
      </c>
      <c r="BO63" s="69">
        <v>0</v>
      </c>
      <c r="BP63" s="69">
        <v>0</v>
      </c>
      <c r="BQ63" s="70">
        <v>0</v>
      </c>
      <c r="BR63" s="71">
        <v>0</v>
      </c>
      <c r="BS63" s="72">
        <v>0</v>
      </c>
      <c r="BT63" s="73">
        <v>0</v>
      </c>
      <c r="BU63" s="73">
        <v>0</v>
      </c>
      <c r="BV63" s="73">
        <v>0</v>
      </c>
      <c r="BW63" s="73">
        <v>0</v>
      </c>
      <c r="BX63" s="74">
        <v>0</v>
      </c>
      <c r="BY63" s="71">
        <v>0</v>
      </c>
      <c r="BZ63" s="75">
        <v>0</v>
      </c>
    </row>
    <row r="64" spans="1:78" ht="15" customHeight="1" x14ac:dyDescent="0.3">
      <c r="A64" s="33" t="s">
        <v>82</v>
      </c>
      <c r="B64" s="11" t="s">
        <v>150</v>
      </c>
      <c r="C64" s="68">
        <v>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69">
        <v>0</v>
      </c>
      <c r="N64" s="69">
        <v>0</v>
      </c>
      <c r="O64" s="69">
        <v>0</v>
      </c>
      <c r="P64" s="69">
        <v>0</v>
      </c>
      <c r="Q64" s="69">
        <v>0</v>
      </c>
      <c r="R64" s="69">
        <v>0</v>
      </c>
      <c r="S64" s="69">
        <v>0</v>
      </c>
      <c r="T64" s="69">
        <v>0</v>
      </c>
      <c r="U64" s="69">
        <v>0</v>
      </c>
      <c r="V64" s="69">
        <v>0</v>
      </c>
      <c r="W64" s="69">
        <v>0</v>
      </c>
      <c r="X64" s="69">
        <v>0</v>
      </c>
      <c r="Y64" s="69">
        <v>0</v>
      </c>
      <c r="Z64" s="69">
        <v>0</v>
      </c>
      <c r="AA64" s="69">
        <v>0</v>
      </c>
      <c r="AB64" s="69">
        <v>0</v>
      </c>
      <c r="AC64" s="69">
        <v>0</v>
      </c>
      <c r="AD64" s="69">
        <v>0</v>
      </c>
      <c r="AE64" s="69">
        <v>0</v>
      </c>
      <c r="AF64" s="69">
        <v>0</v>
      </c>
      <c r="AG64" s="69">
        <v>0</v>
      </c>
      <c r="AH64" s="69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69">
        <v>0</v>
      </c>
      <c r="AO64" s="69">
        <v>0</v>
      </c>
      <c r="AP64" s="69">
        <v>0</v>
      </c>
      <c r="AQ64" s="69">
        <v>0</v>
      </c>
      <c r="AR64" s="69">
        <v>0</v>
      </c>
      <c r="AS64" s="69">
        <v>0</v>
      </c>
      <c r="AT64" s="69">
        <v>0</v>
      </c>
      <c r="AU64" s="69">
        <v>0</v>
      </c>
      <c r="AV64" s="69">
        <v>0</v>
      </c>
      <c r="AW64" s="69">
        <v>0</v>
      </c>
      <c r="AX64" s="69">
        <v>0</v>
      </c>
      <c r="AY64" s="69">
        <v>0</v>
      </c>
      <c r="AZ64" s="69">
        <v>0</v>
      </c>
      <c r="BA64" s="69">
        <v>0</v>
      </c>
      <c r="BB64" s="69">
        <v>0</v>
      </c>
      <c r="BC64" s="69">
        <v>0</v>
      </c>
      <c r="BD64" s="69">
        <v>0</v>
      </c>
      <c r="BE64" s="69">
        <v>0</v>
      </c>
      <c r="BF64" s="69">
        <v>0</v>
      </c>
      <c r="BG64" s="69">
        <v>0</v>
      </c>
      <c r="BH64" s="69">
        <v>0</v>
      </c>
      <c r="BI64" s="69">
        <v>0</v>
      </c>
      <c r="BJ64" s="69">
        <v>0</v>
      </c>
      <c r="BK64" s="69">
        <v>0</v>
      </c>
      <c r="BL64" s="69">
        <v>0</v>
      </c>
      <c r="BM64" s="69">
        <v>0</v>
      </c>
      <c r="BN64" s="69">
        <v>0</v>
      </c>
      <c r="BO64" s="69">
        <v>0</v>
      </c>
      <c r="BP64" s="69">
        <v>0</v>
      </c>
      <c r="BQ64" s="70">
        <v>0</v>
      </c>
      <c r="BR64" s="71">
        <v>0</v>
      </c>
      <c r="BS64" s="72">
        <v>0</v>
      </c>
      <c r="BT64" s="73">
        <v>0</v>
      </c>
      <c r="BU64" s="73">
        <v>0</v>
      </c>
      <c r="BV64" s="73">
        <v>0</v>
      </c>
      <c r="BW64" s="73">
        <v>0</v>
      </c>
      <c r="BX64" s="74">
        <v>0</v>
      </c>
      <c r="BY64" s="71">
        <v>0</v>
      </c>
      <c r="BZ64" s="75">
        <v>0</v>
      </c>
    </row>
    <row r="65" spans="1:80" ht="15" customHeight="1" x14ac:dyDescent="0.3">
      <c r="A65" s="33" t="s">
        <v>83</v>
      </c>
      <c r="B65" s="11" t="s">
        <v>151</v>
      </c>
      <c r="C65" s="68">
        <v>33.574579133137</v>
      </c>
      <c r="D65" s="69">
        <v>13.6913783713921</v>
      </c>
      <c r="E65" s="69">
        <v>0.394156752513944</v>
      </c>
      <c r="F65" s="69">
        <v>1.05277525465689</v>
      </c>
      <c r="G65" s="69">
        <v>16.055241187982901</v>
      </c>
      <c r="H65" s="69">
        <v>7.8270251037329199</v>
      </c>
      <c r="I65" s="69">
        <v>1.19898909116071</v>
      </c>
      <c r="J65" s="69">
        <v>3.44069562202146</v>
      </c>
      <c r="K65" s="69">
        <v>0.868289669210349</v>
      </c>
      <c r="L65" s="69">
        <v>21.974862264591799</v>
      </c>
      <c r="M65" s="69">
        <v>3.0838215292767299</v>
      </c>
      <c r="N65" s="69">
        <v>0.77670386784003997</v>
      </c>
      <c r="O65" s="69">
        <v>1.10478232042722</v>
      </c>
      <c r="P65" s="69">
        <v>3.2727371011415901E-2</v>
      </c>
      <c r="Q65" s="69">
        <v>0.73366900823058301</v>
      </c>
      <c r="R65" s="69">
        <v>0.75260313398535394</v>
      </c>
      <c r="S65" s="69">
        <v>33.289016485052301</v>
      </c>
      <c r="T65" s="69">
        <v>8.7963026364220501E-2</v>
      </c>
      <c r="U65" s="69">
        <v>0.29106071286729701</v>
      </c>
      <c r="V65" s="69">
        <v>0.58683379475229602</v>
      </c>
      <c r="W65" s="69">
        <v>181.00776532298099</v>
      </c>
      <c r="X65" s="69">
        <v>21.0679460810533</v>
      </c>
      <c r="Y65" s="69">
        <v>5.8482738172582298</v>
      </c>
      <c r="Z65" s="69">
        <v>11.801418092342001</v>
      </c>
      <c r="AA65" s="69">
        <v>15.1023032133656</v>
      </c>
      <c r="AB65" s="69">
        <v>32.652154736474998</v>
      </c>
      <c r="AC65" s="69">
        <v>107.435006538973</v>
      </c>
      <c r="AD65" s="69">
        <v>52.1578447287567</v>
      </c>
      <c r="AE65" s="69">
        <v>7.0727042046895301</v>
      </c>
      <c r="AF65" s="69">
        <v>0.470308064562795</v>
      </c>
      <c r="AG65" s="69">
        <v>2.64171515742802</v>
      </c>
      <c r="AH65" s="69">
        <v>18.0653367013884</v>
      </c>
      <c r="AI65" s="69">
        <v>2.2630368782261399</v>
      </c>
      <c r="AJ65" s="69">
        <v>3.6521575576263401</v>
      </c>
      <c r="AK65" s="69">
        <v>2.7399071688260799</v>
      </c>
      <c r="AL65" s="69">
        <v>1.7821173499265099</v>
      </c>
      <c r="AM65" s="69">
        <v>11.5478305912549</v>
      </c>
      <c r="AN65" s="69">
        <v>3.5029713121828698</v>
      </c>
      <c r="AO65" s="69">
        <v>7.82876829218967</v>
      </c>
      <c r="AP65" s="69">
        <v>12.032604857435601</v>
      </c>
      <c r="AQ65" s="69">
        <v>10.742207157070901</v>
      </c>
      <c r="AR65" s="69">
        <v>9.4743303480911603E-2</v>
      </c>
      <c r="AS65" s="69">
        <v>0.32431186950400098</v>
      </c>
      <c r="AT65" s="69">
        <v>0</v>
      </c>
      <c r="AU65" s="69">
        <v>0.326540354291943</v>
      </c>
      <c r="AV65" s="69">
        <v>1.20148011625555</v>
      </c>
      <c r="AW65" s="69">
        <v>2.7887136659320899</v>
      </c>
      <c r="AX65" s="69">
        <v>0.21936962469610299</v>
      </c>
      <c r="AY65" s="69">
        <v>4.1926149406449897E-2</v>
      </c>
      <c r="AZ65" s="69">
        <v>1.88488593988052</v>
      </c>
      <c r="BA65" s="69">
        <v>0</v>
      </c>
      <c r="BB65" s="69">
        <v>21.4369928005761</v>
      </c>
      <c r="BC65" s="69">
        <v>0.92864249103674501</v>
      </c>
      <c r="BD65" s="69">
        <v>5.6503376204613902</v>
      </c>
      <c r="BE65" s="69">
        <v>2.7559977638795301</v>
      </c>
      <c r="BF65" s="69">
        <v>63.891725355873497</v>
      </c>
      <c r="BG65" s="69">
        <v>0.41680228692259502</v>
      </c>
      <c r="BH65" s="69">
        <v>1.2809657575620099</v>
      </c>
      <c r="BI65" s="69">
        <v>4.8731746992482103E-2</v>
      </c>
      <c r="BJ65" s="69">
        <v>28.128381032849401</v>
      </c>
      <c r="BK65" s="69">
        <v>56.790848495717803</v>
      </c>
      <c r="BL65" s="69">
        <v>32.544204387018702</v>
      </c>
      <c r="BM65" s="69">
        <v>23.058883116018201</v>
      </c>
      <c r="BN65" s="69">
        <v>22.274084670159599</v>
      </c>
      <c r="BO65" s="69">
        <v>9.8011084747818208E-3</v>
      </c>
      <c r="BP65" s="69">
        <v>7.9716378777347803</v>
      </c>
      <c r="BQ65" s="70">
        <v>0</v>
      </c>
      <c r="BR65" s="71">
        <v>926.30155905894503</v>
      </c>
      <c r="BS65" s="72">
        <v>5.7855175533265699</v>
      </c>
      <c r="BT65" s="73">
        <v>12.2237692167443</v>
      </c>
      <c r="BU65" s="73">
        <v>0</v>
      </c>
      <c r="BV65" s="73">
        <v>434.65223081490598</v>
      </c>
      <c r="BW65" s="73">
        <v>32.975637712406801</v>
      </c>
      <c r="BX65" s="74">
        <v>0</v>
      </c>
      <c r="BY65" s="71">
        <v>485.63715529738403</v>
      </c>
      <c r="BZ65" s="75">
        <v>1411.9387143563299</v>
      </c>
    </row>
    <row r="66" spans="1:80" ht="15" customHeight="1" x14ac:dyDescent="0.3">
      <c r="A66" s="33" t="s">
        <v>84</v>
      </c>
      <c r="B66" s="11" t="s">
        <v>152</v>
      </c>
      <c r="C66" s="68">
        <v>5.7912523072363699E-2</v>
      </c>
      <c r="D66" s="69">
        <v>1.18203421573996E-2</v>
      </c>
      <c r="E66" s="69">
        <v>6.3382613697598599E-4</v>
      </c>
      <c r="F66" s="69">
        <v>8.8364500436477001E-4</v>
      </c>
      <c r="G66" s="69">
        <v>1.7666283097588099E-2</v>
      </c>
      <c r="H66" s="69">
        <v>0</v>
      </c>
      <c r="I66" s="69">
        <v>8.1449284790093902E-4</v>
      </c>
      <c r="J66" s="69">
        <v>0</v>
      </c>
      <c r="K66" s="69">
        <v>1.59475937954255E-3</v>
      </c>
      <c r="L66" s="69">
        <v>5.9628110701542298E-3</v>
      </c>
      <c r="M66" s="69">
        <v>1.78156558200725E-3</v>
      </c>
      <c r="N66" s="69">
        <v>0</v>
      </c>
      <c r="O66" s="69">
        <v>2.05454209006812E-3</v>
      </c>
      <c r="P66" s="69">
        <v>0</v>
      </c>
      <c r="Q66" s="69">
        <v>1.3926406828779E-3</v>
      </c>
      <c r="R66" s="69">
        <v>0</v>
      </c>
      <c r="S66" s="69">
        <v>5.2417926271606699E-2</v>
      </c>
      <c r="T66" s="69">
        <v>7.9805884594858205E-5</v>
      </c>
      <c r="U66" s="69">
        <v>0</v>
      </c>
      <c r="V66" s="69">
        <v>2.8037302132153101E-4</v>
      </c>
      <c r="W66" s="69">
        <v>0.34891057072517201</v>
      </c>
      <c r="X66" s="69">
        <v>3.80922417921832E-2</v>
      </c>
      <c r="Y66" s="69">
        <v>1.0367875257431901E-2</v>
      </c>
      <c r="Z66" s="69">
        <v>2.3378873346227898E-3</v>
      </c>
      <c r="AA66" s="69">
        <v>7.45123779945069E-3</v>
      </c>
      <c r="AB66" s="69">
        <v>2.1204419610075301E-2</v>
      </c>
      <c r="AC66" s="69">
        <v>1.25005400073443E-2</v>
      </c>
      <c r="AD66" s="69">
        <v>1.13843894811136E-2</v>
      </c>
      <c r="AE66" s="69">
        <v>6.5776953150422403E-3</v>
      </c>
      <c r="AF66" s="69">
        <v>0</v>
      </c>
      <c r="AG66" s="69">
        <v>2.40129794417911E-3</v>
      </c>
      <c r="AH66" s="69">
        <v>3.8377142082049697E-4</v>
      </c>
      <c r="AI66" s="69">
        <v>3.22291819227692E-5</v>
      </c>
      <c r="AJ66" s="69">
        <v>1.5958441621898701E-4</v>
      </c>
      <c r="AK66" s="69">
        <v>1.41083188403635E-3</v>
      </c>
      <c r="AL66" s="69">
        <v>2.2723164419093198E-3</v>
      </c>
      <c r="AM66" s="69">
        <v>4.0322702678629602E-3</v>
      </c>
      <c r="AN66" s="69">
        <v>1.5863809493344399E-3</v>
      </c>
      <c r="AO66" s="69">
        <v>1.4599559019714299E-2</v>
      </c>
      <c r="AP66" s="69">
        <v>0</v>
      </c>
      <c r="AQ66" s="69">
        <v>4.53086106870407E-3</v>
      </c>
      <c r="AR66" s="69">
        <v>0</v>
      </c>
      <c r="AS66" s="69">
        <v>0</v>
      </c>
      <c r="AT66" s="69">
        <v>0</v>
      </c>
      <c r="AU66" s="69">
        <v>0</v>
      </c>
      <c r="AV66" s="69">
        <v>0</v>
      </c>
      <c r="AW66" s="69">
        <v>0</v>
      </c>
      <c r="AX66" s="69">
        <v>0</v>
      </c>
      <c r="AY66" s="69">
        <v>0</v>
      </c>
      <c r="AZ66" s="69">
        <v>0</v>
      </c>
      <c r="BA66" s="69">
        <v>0</v>
      </c>
      <c r="BB66" s="69">
        <v>0</v>
      </c>
      <c r="BC66" s="69">
        <v>0</v>
      </c>
      <c r="BD66" s="69">
        <v>0</v>
      </c>
      <c r="BE66" s="69">
        <v>4.8363661044654898E-5</v>
      </c>
      <c r="BF66" s="69">
        <v>0</v>
      </c>
      <c r="BG66" s="69">
        <v>0</v>
      </c>
      <c r="BH66" s="69">
        <v>0</v>
      </c>
      <c r="BI66" s="69">
        <v>0</v>
      </c>
      <c r="BJ66" s="69">
        <v>0</v>
      </c>
      <c r="BK66" s="69">
        <v>2.41207434522888E-4</v>
      </c>
      <c r="BL66" s="69">
        <v>0</v>
      </c>
      <c r="BM66" s="69">
        <v>6.71485365468894E-3</v>
      </c>
      <c r="BN66" s="69">
        <v>1.1339248127929E-2</v>
      </c>
      <c r="BO66" s="69">
        <v>0</v>
      </c>
      <c r="BP66" s="69">
        <v>7.5538788315028596E-3</v>
      </c>
      <c r="BQ66" s="70">
        <v>0</v>
      </c>
      <c r="BR66" s="71">
        <v>0.67142904792559299</v>
      </c>
      <c r="BS66" s="72">
        <v>4.9259577505275497E-3</v>
      </c>
      <c r="BT66" s="73">
        <v>0</v>
      </c>
      <c r="BU66" s="73">
        <v>0</v>
      </c>
      <c r="BV66" s="73">
        <v>5.1841185797203899E-4</v>
      </c>
      <c r="BW66" s="73">
        <v>0</v>
      </c>
      <c r="BX66" s="74">
        <v>0</v>
      </c>
      <c r="BY66" s="71">
        <v>5.4443696084995902E-3</v>
      </c>
      <c r="BZ66" s="75">
        <v>0.67687341753409302</v>
      </c>
    </row>
    <row r="67" spans="1:80" ht="15" customHeight="1" x14ac:dyDescent="0.3">
      <c r="A67" s="33" t="s">
        <v>85</v>
      </c>
      <c r="B67" s="11" t="s">
        <v>153</v>
      </c>
      <c r="C67" s="68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69">
        <v>0</v>
      </c>
      <c r="AU67" s="69">
        <v>0</v>
      </c>
      <c r="AV67" s="69">
        <v>0</v>
      </c>
      <c r="AW67" s="69">
        <v>0</v>
      </c>
      <c r="AX67" s="69">
        <v>0</v>
      </c>
      <c r="AY67" s="69">
        <v>0</v>
      </c>
      <c r="AZ67" s="69">
        <v>0</v>
      </c>
      <c r="BA67" s="69">
        <v>0</v>
      </c>
      <c r="BB67" s="69">
        <v>0</v>
      </c>
      <c r="BC67" s="69">
        <v>0</v>
      </c>
      <c r="BD67" s="69">
        <v>0</v>
      </c>
      <c r="BE67" s="69">
        <v>0</v>
      </c>
      <c r="BF67" s="69">
        <v>0</v>
      </c>
      <c r="BG67" s="69">
        <v>0</v>
      </c>
      <c r="BH67" s="69">
        <v>0</v>
      </c>
      <c r="BI67" s="69">
        <v>0</v>
      </c>
      <c r="BJ67" s="69">
        <v>0</v>
      </c>
      <c r="BK67" s="69">
        <v>0</v>
      </c>
      <c r="BL67" s="69">
        <v>0</v>
      </c>
      <c r="BM67" s="69">
        <v>0</v>
      </c>
      <c r="BN67" s="69">
        <v>0</v>
      </c>
      <c r="BO67" s="69">
        <v>0</v>
      </c>
      <c r="BP67" s="69">
        <v>0</v>
      </c>
      <c r="BQ67" s="70">
        <v>0</v>
      </c>
      <c r="BR67" s="71">
        <v>0</v>
      </c>
      <c r="BS67" s="72">
        <v>0</v>
      </c>
      <c r="BT67" s="73">
        <v>0</v>
      </c>
      <c r="BU67" s="73">
        <v>0</v>
      </c>
      <c r="BV67" s="73">
        <v>0</v>
      </c>
      <c r="BW67" s="73">
        <v>0</v>
      </c>
      <c r="BX67" s="74">
        <v>0</v>
      </c>
      <c r="BY67" s="71">
        <v>0</v>
      </c>
      <c r="BZ67" s="75">
        <v>0</v>
      </c>
    </row>
    <row r="68" spans="1:80" ht="15" customHeight="1" x14ac:dyDescent="0.3">
      <c r="A68" s="33" t="s">
        <v>86</v>
      </c>
      <c r="B68" s="11" t="s">
        <v>154</v>
      </c>
      <c r="C68" s="68">
        <v>0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69">
        <v>0</v>
      </c>
      <c r="O68" s="69">
        <v>0</v>
      </c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69">
        <v>0</v>
      </c>
      <c r="AU68" s="69">
        <v>0</v>
      </c>
      <c r="AV68" s="69">
        <v>0</v>
      </c>
      <c r="AW68" s="69">
        <v>0</v>
      </c>
      <c r="AX68" s="69">
        <v>0</v>
      </c>
      <c r="AY68" s="69">
        <v>0</v>
      </c>
      <c r="AZ68" s="69">
        <v>0</v>
      </c>
      <c r="BA68" s="69">
        <v>0</v>
      </c>
      <c r="BB68" s="69">
        <v>0</v>
      </c>
      <c r="BC68" s="69">
        <v>0</v>
      </c>
      <c r="BD68" s="69">
        <v>0</v>
      </c>
      <c r="BE68" s="69">
        <v>0</v>
      </c>
      <c r="BF68" s="69">
        <v>0</v>
      </c>
      <c r="BG68" s="69">
        <v>0</v>
      </c>
      <c r="BH68" s="69">
        <v>0</v>
      </c>
      <c r="BI68" s="69">
        <v>0</v>
      </c>
      <c r="BJ68" s="69">
        <v>0</v>
      </c>
      <c r="BK68" s="69">
        <v>0</v>
      </c>
      <c r="BL68" s="69">
        <v>0</v>
      </c>
      <c r="BM68" s="69">
        <v>0</v>
      </c>
      <c r="BN68" s="69">
        <v>0</v>
      </c>
      <c r="BO68" s="69">
        <v>0</v>
      </c>
      <c r="BP68" s="69">
        <v>0</v>
      </c>
      <c r="BQ68" s="70">
        <v>0</v>
      </c>
      <c r="BR68" s="71">
        <v>0</v>
      </c>
      <c r="BS68" s="72">
        <v>0</v>
      </c>
      <c r="BT68" s="73">
        <v>0</v>
      </c>
      <c r="BU68" s="73">
        <v>0</v>
      </c>
      <c r="BV68" s="73">
        <v>0</v>
      </c>
      <c r="BW68" s="73">
        <v>0</v>
      </c>
      <c r="BX68" s="74">
        <v>0</v>
      </c>
      <c r="BY68" s="71">
        <v>0</v>
      </c>
      <c r="BZ68" s="75">
        <v>0</v>
      </c>
    </row>
    <row r="69" spans="1:80" ht="15" customHeight="1" x14ac:dyDescent="0.3">
      <c r="A69" s="33" t="s">
        <v>87</v>
      </c>
      <c r="B69" s="11" t="s">
        <v>155</v>
      </c>
      <c r="C69" s="68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69">
        <v>0</v>
      </c>
      <c r="AU69" s="69">
        <v>0</v>
      </c>
      <c r="AV69" s="69">
        <v>0</v>
      </c>
      <c r="AW69" s="69">
        <v>0</v>
      </c>
      <c r="AX69" s="69">
        <v>0</v>
      </c>
      <c r="AY69" s="69">
        <v>0</v>
      </c>
      <c r="AZ69" s="69">
        <v>0</v>
      </c>
      <c r="BA69" s="69">
        <v>0</v>
      </c>
      <c r="BB69" s="69">
        <v>0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69">
        <v>0</v>
      </c>
      <c r="BJ69" s="69">
        <v>0</v>
      </c>
      <c r="BK69" s="69">
        <v>0</v>
      </c>
      <c r="BL69" s="69">
        <v>0</v>
      </c>
      <c r="BM69" s="69">
        <v>0</v>
      </c>
      <c r="BN69" s="69">
        <v>0</v>
      </c>
      <c r="BO69" s="69">
        <v>0</v>
      </c>
      <c r="BP69" s="69">
        <v>0</v>
      </c>
      <c r="BQ69" s="70">
        <v>0</v>
      </c>
      <c r="BR69" s="71">
        <v>0</v>
      </c>
      <c r="BS69" s="72">
        <v>0</v>
      </c>
      <c r="BT69" s="73">
        <v>0</v>
      </c>
      <c r="BU69" s="73">
        <v>0</v>
      </c>
      <c r="BV69" s="73">
        <v>0</v>
      </c>
      <c r="BW69" s="73">
        <v>0</v>
      </c>
      <c r="BX69" s="74">
        <v>0</v>
      </c>
      <c r="BY69" s="71">
        <v>0</v>
      </c>
      <c r="BZ69" s="75">
        <v>0</v>
      </c>
    </row>
    <row r="70" spans="1:80" ht="15" customHeight="1" x14ac:dyDescent="0.3">
      <c r="A70" s="33" t="s">
        <v>88</v>
      </c>
      <c r="B70" s="11" t="s">
        <v>156</v>
      </c>
      <c r="C70" s="68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69">
        <v>0</v>
      </c>
      <c r="AU70" s="69">
        <v>0</v>
      </c>
      <c r="AV70" s="69">
        <v>0</v>
      </c>
      <c r="AW70" s="69">
        <v>0</v>
      </c>
      <c r="AX70" s="69">
        <v>0</v>
      </c>
      <c r="AY70" s="69">
        <v>0</v>
      </c>
      <c r="AZ70" s="69">
        <v>0</v>
      </c>
      <c r="BA70" s="69">
        <v>0</v>
      </c>
      <c r="BB70" s="69">
        <v>0</v>
      </c>
      <c r="BC70" s="69">
        <v>0</v>
      </c>
      <c r="BD70" s="69">
        <v>0</v>
      </c>
      <c r="BE70" s="69">
        <v>0</v>
      </c>
      <c r="BF70" s="69">
        <v>0</v>
      </c>
      <c r="BG70" s="69">
        <v>0</v>
      </c>
      <c r="BH70" s="69">
        <v>0</v>
      </c>
      <c r="BI70" s="69">
        <v>0</v>
      </c>
      <c r="BJ70" s="69">
        <v>0</v>
      </c>
      <c r="BK70" s="69">
        <v>0</v>
      </c>
      <c r="BL70" s="69">
        <v>0</v>
      </c>
      <c r="BM70" s="69">
        <v>0</v>
      </c>
      <c r="BN70" s="69">
        <v>0</v>
      </c>
      <c r="BO70" s="69">
        <v>0</v>
      </c>
      <c r="BP70" s="69">
        <v>0</v>
      </c>
      <c r="BQ70" s="70">
        <v>0</v>
      </c>
      <c r="BR70" s="71">
        <v>0</v>
      </c>
      <c r="BS70" s="72">
        <v>0</v>
      </c>
      <c r="BT70" s="73">
        <v>0</v>
      </c>
      <c r="BU70" s="73">
        <v>0</v>
      </c>
      <c r="BV70" s="73">
        <v>0</v>
      </c>
      <c r="BW70" s="73">
        <v>0</v>
      </c>
      <c r="BX70" s="74">
        <v>0</v>
      </c>
      <c r="BY70" s="71">
        <v>0</v>
      </c>
      <c r="BZ70" s="75">
        <v>0</v>
      </c>
    </row>
    <row r="71" spans="1:80" ht="15" customHeight="1" x14ac:dyDescent="0.3">
      <c r="A71" s="33" t="s">
        <v>89</v>
      </c>
      <c r="B71" s="11" t="s">
        <v>157</v>
      </c>
      <c r="C71" s="68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69">
        <v>0</v>
      </c>
      <c r="AE71" s="69">
        <v>0</v>
      </c>
      <c r="AF71" s="69">
        <v>0</v>
      </c>
      <c r="AG71" s="69">
        <v>0</v>
      </c>
      <c r="AH71" s="69">
        <v>0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</v>
      </c>
      <c r="AP71" s="69">
        <v>0</v>
      </c>
      <c r="AQ71" s="69">
        <v>0</v>
      </c>
      <c r="AR71" s="69">
        <v>0</v>
      </c>
      <c r="AS71" s="69">
        <v>0</v>
      </c>
      <c r="AT71" s="69">
        <v>0</v>
      </c>
      <c r="AU71" s="69">
        <v>0</v>
      </c>
      <c r="AV71" s="69">
        <v>0</v>
      </c>
      <c r="AW71" s="69">
        <v>0</v>
      </c>
      <c r="AX71" s="69">
        <v>0</v>
      </c>
      <c r="AY71" s="69">
        <v>0</v>
      </c>
      <c r="AZ71" s="69">
        <v>0</v>
      </c>
      <c r="BA71" s="69">
        <v>0</v>
      </c>
      <c r="BB71" s="69">
        <v>0</v>
      </c>
      <c r="BC71" s="69">
        <v>0</v>
      </c>
      <c r="BD71" s="69">
        <v>0</v>
      </c>
      <c r="BE71" s="69">
        <v>0</v>
      </c>
      <c r="BF71" s="69">
        <v>0</v>
      </c>
      <c r="BG71" s="69">
        <v>0</v>
      </c>
      <c r="BH71" s="69">
        <v>0</v>
      </c>
      <c r="BI71" s="69">
        <v>0</v>
      </c>
      <c r="BJ71" s="69">
        <v>0</v>
      </c>
      <c r="BK71" s="69">
        <v>0</v>
      </c>
      <c r="BL71" s="69">
        <v>0</v>
      </c>
      <c r="BM71" s="69">
        <v>0</v>
      </c>
      <c r="BN71" s="69">
        <v>0</v>
      </c>
      <c r="BO71" s="69">
        <v>0</v>
      </c>
      <c r="BP71" s="69">
        <v>0</v>
      </c>
      <c r="BQ71" s="70">
        <v>0</v>
      </c>
      <c r="BR71" s="71">
        <v>0</v>
      </c>
      <c r="BS71" s="72">
        <v>0</v>
      </c>
      <c r="BT71" s="73">
        <v>0</v>
      </c>
      <c r="BU71" s="73">
        <v>0</v>
      </c>
      <c r="BV71" s="73">
        <v>0.157782307868467</v>
      </c>
      <c r="BW71" s="73">
        <v>0</v>
      </c>
      <c r="BX71" s="74">
        <v>0</v>
      </c>
      <c r="BY71" s="71">
        <v>0.157782307868467</v>
      </c>
      <c r="BZ71" s="75">
        <v>0.157782307868467</v>
      </c>
    </row>
    <row r="72" spans="1:80" ht="15" customHeight="1" x14ac:dyDescent="0.3">
      <c r="A72" s="34" t="s">
        <v>90</v>
      </c>
      <c r="B72" s="35" t="s">
        <v>158</v>
      </c>
      <c r="C72" s="76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77">
        <v>0</v>
      </c>
      <c r="AX72" s="77">
        <v>0</v>
      </c>
      <c r="AY72" s="77">
        <v>0</v>
      </c>
      <c r="AZ72" s="77">
        <v>0</v>
      </c>
      <c r="BA72" s="77">
        <v>0</v>
      </c>
      <c r="BB72" s="77">
        <v>0</v>
      </c>
      <c r="BC72" s="77">
        <v>0</v>
      </c>
      <c r="BD72" s="77">
        <v>0</v>
      </c>
      <c r="BE72" s="77">
        <v>0</v>
      </c>
      <c r="BF72" s="77">
        <v>0</v>
      </c>
      <c r="BG72" s="77">
        <v>0</v>
      </c>
      <c r="BH72" s="77">
        <v>0</v>
      </c>
      <c r="BI72" s="77">
        <v>0</v>
      </c>
      <c r="BJ72" s="77">
        <v>0</v>
      </c>
      <c r="BK72" s="77">
        <v>0</v>
      </c>
      <c r="BL72" s="77">
        <v>0</v>
      </c>
      <c r="BM72" s="77">
        <v>0</v>
      </c>
      <c r="BN72" s="77">
        <v>0</v>
      </c>
      <c r="BO72" s="77">
        <v>0</v>
      </c>
      <c r="BP72" s="77">
        <v>0</v>
      </c>
      <c r="BQ72" s="78">
        <v>0</v>
      </c>
      <c r="BR72" s="79">
        <v>0</v>
      </c>
      <c r="BS72" s="80">
        <v>0</v>
      </c>
      <c r="BT72" s="81">
        <v>0</v>
      </c>
      <c r="BU72" s="81">
        <v>0</v>
      </c>
      <c r="BV72" s="81">
        <v>0</v>
      </c>
      <c r="BW72" s="81">
        <v>0</v>
      </c>
      <c r="BX72" s="82">
        <v>0</v>
      </c>
      <c r="BY72" s="79">
        <v>0</v>
      </c>
      <c r="BZ72" s="83">
        <v>0</v>
      </c>
      <c r="CA72" s="84"/>
      <c r="CB72" s="84"/>
    </row>
    <row r="73" spans="1:80" ht="15" customHeight="1" x14ac:dyDescent="0.3">
      <c r="A73" s="42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6"/>
      <c r="BS73" s="86"/>
      <c r="BT73" s="86"/>
      <c r="BU73" s="86"/>
      <c r="BV73" s="86"/>
      <c r="BW73" s="86"/>
      <c r="BX73" s="86"/>
      <c r="BY73" s="86"/>
      <c r="BZ73" s="86"/>
    </row>
    <row r="74" spans="1:80" ht="15" customHeight="1" x14ac:dyDescent="0.3">
      <c r="A74" s="94" t="s">
        <v>159</v>
      </c>
      <c r="B74" s="95"/>
      <c r="C74" s="87">
        <v>31165.406457621099</v>
      </c>
      <c r="D74" s="47">
        <v>16917.455112273099</v>
      </c>
      <c r="E74" s="47">
        <v>1291.0478942131499</v>
      </c>
      <c r="F74" s="47">
        <v>980.69891341207494</v>
      </c>
      <c r="G74" s="47">
        <v>9376.1840739492509</v>
      </c>
      <c r="H74" s="47">
        <v>8443.3658137334005</v>
      </c>
      <c r="I74" s="47">
        <v>1269.79896220094</v>
      </c>
      <c r="J74" s="47">
        <v>28718.831654668898</v>
      </c>
      <c r="K74" s="47">
        <v>1298.2807486914901</v>
      </c>
      <c r="L74" s="47">
        <v>34654.583735406603</v>
      </c>
      <c r="M74" s="47">
        <v>5768.3802736039497</v>
      </c>
      <c r="N74" s="47">
        <v>1054.8105034466701</v>
      </c>
      <c r="O74" s="47">
        <v>6334.3900177655496</v>
      </c>
      <c r="P74" s="47">
        <v>7039.7085192310597</v>
      </c>
      <c r="Q74" s="47">
        <v>3794.7726801793301</v>
      </c>
      <c r="R74" s="47">
        <v>4024.0590517308501</v>
      </c>
      <c r="S74" s="47">
        <v>12143.2803931817</v>
      </c>
      <c r="T74" s="47">
        <v>1808.8404011575799</v>
      </c>
      <c r="U74" s="47">
        <v>4271.4966861191997</v>
      </c>
      <c r="V74" s="47">
        <v>2136.4112292363802</v>
      </c>
      <c r="W74" s="47">
        <v>17199.2327259333</v>
      </c>
      <c r="X74" s="47">
        <v>8968.8220874920607</v>
      </c>
      <c r="Y74" s="47">
        <v>5235.1544507811204</v>
      </c>
      <c r="Z74" s="47">
        <v>4139.2537198442596</v>
      </c>
      <c r="AA74" s="47">
        <v>13884.6645090046</v>
      </c>
      <c r="AB74" s="47">
        <v>8338.9632169690303</v>
      </c>
      <c r="AC74" s="47">
        <v>17596.2531629732</v>
      </c>
      <c r="AD74" s="47">
        <v>11703.512373482299</v>
      </c>
      <c r="AE74" s="47">
        <v>12396.248085172499</v>
      </c>
      <c r="AF74" s="47">
        <v>9621.8189089315892</v>
      </c>
      <c r="AG74" s="47">
        <v>14014.2895986151</v>
      </c>
      <c r="AH74" s="47">
        <v>19201.649276908502</v>
      </c>
      <c r="AI74" s="47">
        <v>21228.852992826</v>
      </c>
      <c r="AJ74" s="47">
        <v>12116.278317677201</v>
      </c>
      <c r="AK74" s="47">
        <v>2818.5727404815798</v>
      </c>
      <c r="AL74" s="47">
        <v>9090.2357570775894</v>
      </c>
      <c r="AM74" s="47">
        <v>8855.8727658815205</v>
      </c>
      <c r="AN74" s="47">
        <v>4408.3462815053599</v>
      </c>
      <c r="AO74" s="47">
        <v>1676.75365486122</v>
      </c>
      <c r="AP74" s="47">
        <v>37269.858600581501</v>
      </c>
      <c r="AQ74" s="47">
        <v>27504.979629068501</v>
      </c>
      <c r="AR74" s="47">
        <v>17986.654225172701</v>
      </c>
      <c r="AS74" s="47">
        <v>515.095746361598</v>
      </c>
      <c r="AT74" s="47">
        <v>431.84370687820302</v>
      </c>
      <c r="AU74" s="47">
        <v>1126.9176849275</v>
      </c>
      <c r="AV74" s="47">
        <v>742.02011488102005</v>
      </c>
      <c r="AW74" s="47">
        <v>18805.609776592599</v>
      </c>
      <c r="AX74" s="47">
        <v>948.31009610989395</v>
      </c>
      <c r="AY74" s="47">
        <v>459.72593651774702</v>
      </c>
      <c r="AZ74" s="47">
        <v>893.12215846621496</v>
      </c>
      <c r="BA74" s="47">
        <v>2688.9888846491099</v>
      </c>
      <c r="BB74" s="47">
        <v>2501.9574421418502</v>
      </c>
      <c r="BC74" s="47">
        <v>1594.4371498897101</v>
      </c>
      <c r="BD74" s="47">
        <v>1977.91155643608</v>
      </c>
      <c r="BE74" s="47">
        <v>1865.0294849801301</v>
      </c>
      <c r="BF74" s="47">
        <v>5309.1081153716696</v>
      </c>
      <c r="BG74" s="47">
        <v>1103.7023100690899</v>
      </c>
      <c r="BH74" s="47">
        <v>4683.1934983838701</v>
      </c>
      <c r="BI74" s="47">
        <v>242.80877012739001</v>
      </c>
      <c r="BJ74" s="47">
        <v>5854.0115713305704</v>
      </c>
      <c r="BK74" s="47">
        <v>4639.4239479811504</v>
      </c>
      <c r="BL74" s="47">
        <v>1581.19282294287</v>
      </c>
      <c r="BM74" s="47">
        <v>10894.7346634932</v>
      </c>
      <c r="BN74" s="47">
        <v>16209.3801585773</v>
      </c>
      <c r="BO74" s="47">
        <v>481.521790681683</v>
      </c>
      <c r="BP74" s="47">
        <v>4362.9305478281503</v>
      </c>
      <c r="BQ74" s="88">
        <v>0</v>
      </c>
      <c r="BR74" s="89">
        <v>557661.04813868203</v>
      </c>
      <c r="BS74" s="90">
        <v>27456.413440977401</v>
      </c>
      <c r="BT74" s="91">
        <v>3070.2596680706902</v>
      </c>
      <c r="BU74" s="91">
        <v>0</v>
      </c>
      <c r="BV74" s="91">
        <v>717820.46866018395</v>
      </c>
      <c r="BW74" s="91">
        <v>97729.8100920867</v>
      </c>
      <c r="BX74" s="92">
        <v>0</v>
      </c>
      <c r="BY74" s="89">
        <v>846076.95186131797</v>
      </c>
      <c r="BZ74" s="93">
        <v>1403738</v>
      </c>
    </row>
    <row r="75" spans="1:80" ht="15" customHeight="1" x14ac:dyDescent="0.3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</row>
    <row r="76" spans="1:80" ht="15" customHeight="1" x14ac:dyDescent="0.2">
      <c r="A76" s="53" t="s">
        <v>171</v>
      </c>
    </row>
    <row r="77" spans="1:80" ht="15" customHeight="1" x14ac:dyDescent="0.2"/>
  </sheetData>
  <mergeCells count="12">
    <mergeCell ref="A3:A5"/>
    <mergeCell ref="B3:B5"/>
    <mergeCell ref="BS3:BY3"/>
    <mergeCell ref="BZ3:BZ5"/>
    <mergeCell ref="BR4:BR5"/>
    <mergeCell ref="BS4:BS5"/>
    <mergeCell ref="BT4:BT5"/>
    <mergeCell ref="BU4:BU5"/>
    <mergeCell ref="BV4:BV5"/>
    <mergeCell ref="BW4:BW5"/>
    <mergeCell ref="BX4:BX5"/>
    <mergeCell ref="BY4:BY5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A1:CB77"/>
  <sheetViews>
    <sheetView showGridLines="0" zoomScale="90" zoomScaleNormal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78" width="20.7109375" customWidth="1"/>
  </cols>
  <sheetData>
    <row r="1" spans="1:78" ht="15" customHeight="1" x14ac:dyDescent="0.3">
      <c r="A1" s="12" t="s">
        <v>201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78" ht="15" customHeight="1" x14ac:dyDescent="0.3">
      <c r="A2" s="12" t="s">
        <v>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</row>
    <row r="3" spans="1:78" ht="15" customHeight="1" x14ac:dyDescent="0.2">
      <c r="A3" s="126" t="s">
        <v>189</v>
      </c>
      <c r="B3" s="126" t="s">
        <v>190</v>
      </c>
      <c r="C3" s="14" t="s">
        <v>161</v>
      </c>
      <c r="D3" s="15"/>
      <c r="E3" s="15"/>
      <c r="F3" s="15"/>
      <c r="G3" s="15"/>
      <c r="H3" s="15"/>
      <c r="I3" s="15"/>
      <c r="J3" s="15"/>
      <c r="K3" s="15"/>
      <c r="L3" s="16" t="s">
        <v>161</v>
      </c>
      <c r="M3" s="15"/>
      <c r="N3" s="15"/>
      <c r="O3" s="15"/>
      <c r="P3" s="15"/>
      <c r="Q3" s="15"/>
      <c r="R3" s="15"/>
      <c r="S3" s="15"/>
      <c r="T3" s="15"/>
      <c r="U3" s="16" t="s">
        <v>161</v>
      </c>
      <c r="V3" s="15"/>
      <c r="W3" s="15"/>
      <c r="X3" s="15"/>
      <c r="Y3" s="15"/>
      <c r="Z3" s="15"/>
      <c r="AA3" s="15"/>
      <c r="AB3" s="15"/>
      <c r="AC3" s="15"/>
      <c r="AD3" s="16" t="s">
        <v>161</v>
      </c>
      <c r="AE3" s="15"/>
      <c r="AF3" s="15"/>
      <c r="AG3" s="15"/>
      <c r="AH3" s="15"/>
      <c r="AI3" s="15"/>
      <c r="AJ3" s="15"/>
      <c r="AK3" s="15"/>
      <c r="AL3" s="15"/>
      <c r="AM3" s="16" t="s">
        <v>161</v>
      </c>
      <c r="AN3" s="15"/>
      <c r="AO3" s="15"/>
      <c r="AP3" s="15"/>
      <c r="AQ3" s="15"/>
      <c r="AR3" s="15"/>
      <c r="AS3" s="15"/>
      <c r="AT3" s="15"/>
      <c r="AU3" s="15"/>
      <c r="AV3" s="16" t="s">
        <v>161</v>
      </c>
      <c r="AW3" s="15"/>
      <c r="AX3" s="15"/>
      <c r="AY3" s="15"/>
      <c r="AZ3" s="15"/>
      <c r="BA3" s="15"/>
      <c r="BB3" s="15"/>
      <c r="BC3" s="15"/>
      <c r="BD3" s="15"/>
      <c r="BE3" s="16" t="s">
        <v>161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59" t="s">
        <v>161</v>
      </c>
      <c r="BS3" s="127" t="s">
        <v>162</v>
      </c>
      <c r="BT3" s="127"/>
      <c r="BU3" s="127"/>
      <c r="BV3" s="127"/>
      <c r="BW3" s="127"/>
      <c r="BX3" s="127"/>
      <c r="BY3" s="127"/>
      <c r="BZ3" s="128" t="s">
        <v>163</v>
      </c>
    </row>
    <row r="4" spans="1:78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  <c r="BR4" s="128" t="s">
        <v>164</v>
      </c>
      <c r="BS4" s="128" t="s">
        <v>165</v>
      </c>
      <c r="BT4" s="128" t="s">
        <v>166</v>
      </c>
      <c r="BU4" s="128" t="s">
        <v>167</v>
      </c>
      <c r="BV4" s="128" t="s">
        <v>168</v>
      </c>
      <c r="BW4" s="128" t="s">
        <v>169</v>
      </c>
      <c r="BX4" s="128" t="s">
        <v>170</v>
      </c>
      <c r="BY4" s="128" t="s">
        <v>162</v>
      </c>
      <c r="BZ4" s="128"/>
    </row>
    <row r="5" spans="1:78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  <c r="BR5" s="128"/>
      <c r="BS5" s="128"/>
      <c r="BT5" s="128"/>
      <c r="BU5" s="128"/>
      <c r="BV5" s="128"/>
      <c r="BW5" s="128"/>
      <c r="BX5" s="128"/>
      <c r="BY5" s="128"/>
      <c r="BZ5" s="128"/>
    </row>
    <row r="6" spans="1:78" ht="15" customHeight="1" x14ac:dyDescent="0.3">
      <c r="A6" s="19" t="s">
        <v>24</v>
      </c>
      <c r="B6" s="11" t="s">
        <v>92</v>
      </c>
      <c r="C6" s="60">
        <v>826.52662096952395</v>
      </c>
      <c r="D6" s="61">
        <v>743.25937284774704</v>
      </c>
      <c r="E6" s="61">
        <v>6.8484463156204001</v>
      </c>
      <c r="F6" s="61">
        <v>0.10699837626453799</v>
      </c>
      <c r="G6" s="61">
        <v>0.20203975551867101</v>
      </c>
      <c r="H6" s="61">
        <v>0</v>
      </c>
      <c r="I6" s="61">
        <v>1.4597011698471801E-5</v>
      </c>
      <c r="J6" s="61">
        <v>322.44442689586998</v>
      </c>
      <c r="K6" s="61">
        <v>1628.1669224233401</v>
      </c>
      <c r="L6" s="61">
        <v>8398.1126195125908</v>
      </c>
      <c r="M6" s="61">
        <v>164.68252536163899</v>
      </c>
      <c r="N6" s="61">
        <v>23.887006412314499</v>
      </c>
      <c r="O6" s="61">
        <v>347.28574934649902</v>
      </c>
      <c r="P6" s="61">
        <v>11.438625620109001</v>
      </c>
      <c r="Q6" s="61">
        <v>0.18429606689005501</v>
      </c>
      <c r="R6" s="61">
        <v>4.7226839770701998</v>
      </c>
      <c r="S6" s="61">
        <v>12.632602532493101</v>
      </c>
      <c r="T6" s="61">
        <v>0</v>
      </c>
      <c r="U6" s="61">
        <v>0.28882950171100602</v>
      </c>
      <c r="V6" s="61">
        <v>1448.7572596918501</v>
      </c>
      <c r="W6" s="61">
        <v>0.87838085240867003</v>
      </c>
      <c r="X6" s="61">
        <v>0.80914209031523698</v>
      </c>
      <c r="Y6" s="61">
        <v>0.108284016820901</v>
      </c>
      <c r="Z6" s="61">
        <v>0.25160876802367799</v>
      </c>
      <c r="AA6" s="61">
        <v>0.48583321574138999</v>
      </c>
      <c r="AB6" s="61">
        <v>2.2913332244240698</v>
      </c>
      <c r="AC6" s="61">
        <v>2.6797536004104998</v>
      </c>
      <c r="AD6" s="61">
        <v>3.3306711726897399E-2</v>
      </c>
      <c r="AE6" s="61">
        <v>6.4013397553815098E-3</v>
      </c>
      <c r="AF6" s="61">
        <v>0</v>
      </c>
      <c r="AG6" s="61">
        <v>3.4165789288524901E-3</v>
      </c>
      <c r="AH6" s="61">
        <v>4.2338258926025302E-3</v>
      </c>
      <c r="AI6" s="61">
        <v>3.1883047043978498E-3</v>
      </c>
      <c r="AJ6" s="61">
        <v>8.1989974839301195E-3</v>
      </c>
      <c r="AK6" s="61">
        <v>1.64602663571022E-3</v>
      </c>
      <c r="AL6" s="61">
        <v>0.28973979432809299</v>
      </c>
      <c r="AM6" s="61">
        <v>2.3355218717554799E-5</v>
      </c>
      <c r="AN6" s="61">
        <v>4.71671195476683E-3</v>
      </c>
      <c r="AO6" s="61">
        <v>1.77980091931408</v>
      </c>
      <c r="AP6" s="61">
        <v>2.7937356501169699</v>
      </c>
      <c r="AQ6" s="61">
        <v>865.47156237490299</v>
      </c>
      <c r="AR6" s="61">
        <v>1.33834343511063E-2</v>
      </c>
      <c r="AS6" s="61">
        <v>1.0217908188930201E-4</v>
      </c>
      <c r="AT6" s="61">
        <v>1.2362001162941699E-2</v>
      </c>
      <c r="AU6" s="61">
        <v>1.6969790156337501E-3</v>
      </c>
      <c r="AV6" s="61">
        <v>22.377644941864599</v>
      </c>
      <c r="AW6" s="61">
        <v>352.03857167155502</v>
      </c>
      <c r="AX6" s="61">
        <v>6.7146253812970204E-5</v>
      </c>
      <c r="AY6" s="61">
        <v>1.6866549038590899E-3</v>
      </c>
      <c r="AZ6" s="61">
        <v>1.345930570735E-4</v>
      </c>
      <c r="BA6" s="61">
        <v>0</v>
      </c>
      <c r="BB6" s="61">
        <v>8.2319540723800697E-2</v>
      </c>
      <c r="BC6" s="61">
        <v>8.9913125938794997E-2</v>
      </c>
      <c r="BD6" s="61">
        <v>1.31475628709927E-2</v>
      </c>
      <c r="BE6" s="61">
        <v>2.1723478240895898E-3</v>
      </c>
      <c r="BF6" s="61">
        <v>9.2879953284442896E-4</v>
      </c>
      <c r="BG6" s="61">
        <v>3.2366464602009001E-3</v>
      </c>
      <c r="BH6" s="61">
        <v>5.6502527515683099</v>
      </c>
      <c r="BI6" s="61">
        <v>8.9238313720088505E-4</v>
      </c>
      <c r="BJ6" s="61">
        <v>85.908111539358799</v>
      </c>
      <c r="BK6" s="61">
        <v>29.0031936913648</v>
      </c>
      <c r="BL6" s="61">
        <v>3.7035512290213899</v>
      </c>
      <c r="BM6" s="61">
        <v>32.098546131021102</v>
      </c>
      <c r="BN6" s="61">
        <v>11.802613603448</v>
      </c>
      <c r="BO6" s="61">
        <v>3.02166614981137E-3</v>
      </c>
      <c r="BP6" s="61">
        <v>16.832840794803101</v>
      </c>
      <c r="BQ6" s="62">
        <v>0</v>
      </c>
      <c r="BR6" s="63">
        <v>15377.0917379776</v>
      </c>
      <c r="BS6" s="64">
        <v>0.11247184617215</v>
      </c>
      <c r="BT6" s="65">
        <v>4.4272256007586304</v>
      </c>
      <c r="BU6" s="65">
        <v>0</v>
      </c>
      <c r="BV6" s="65">
        <v>1092.0010262907899</v>
      </c>
      <c r="BW6" s="65">
        <v>17.631658068914799</v>
      </c>
      <c r="BX6" s="66">
        <v>0</v>
      </c>
      <c r="BY6" s="63">
        <v>1114.17238180663</v>
      </c>
      <c r="BZ6" s="67">
        <v>16491.2641197843</v>
      </c>
    </row>
    <row r="7" spans="1:78" ht="15" customHeight="1" x14ac:dyDescent="0.3">
      <c r="A7" s="19" t="s">
        <v>25</v>
      </c>
      <c r="B7" s="11" t="s">
        <v>93</v>
      </c>
      <c r="C7" s="68">
        <v>48.985049422039602</v>
      </c>
      <c r="D7" s="69">
        <v>194.57541396364499</v>
      </c>
      <c r="E7" s="69">
        <v>6.7895711641316803</v>
      </c>
      <c r="F7" s="69">
        <v>0.304626698538355</v>
      </c>
      <c r="G7" s="69">
        <v>1.01098780317411</v>
      </c>
      <c r="H7" s="69">
        <v>0</v>
      </c>
      <c r="I7" s="69">
        <v>0</v>
      </c>
      <c r="J7" s="69">
        <v>1155.65705241197</v>
      </c>
      <c r="K7" s="69">
        <v>9.4563378345164093</v>
      </c>
      <c r="L7" s="69">
        <v>361.387689955273</v>
      </c>
      <c r="M7" s="69">
        <v>4.9312145838555503</v>
      </c>
      <c r="N7" s="69">
        <v>1.2007326291735501</v>
      </c>
      <c r="O7" s="69">
        <v>6.6894064102634498</v>
      </c>
      <c r="P7" s="69">
        <v>5.3318672136802503</v>
      </c>
      <c r="Q7" s="69">
        <v>0.252030934003245</v>
      </c>
      <c r="R7" s="69">
        <v>9.5245407496312797</v>
      </c>
      <c r="S7" s="69">
        <v>23.951409146951899</v>
      </c>
      <c r="T7" s="69">
        <v>0</v>
      </c>
      <c r="U7" s="69">
        <v>0</v>
      </c>
      <c r="V7" s="69">
        <v>15.847800046866</v>
      </c>
      <c r="W7" s="69">
        <v>3.1342702683511101</v>
      </c>
      <c r="X7" s="69">
        <v>0.41207789735605199</v>
      </c>
      <c r="Y7" s="69">
        <v>0.31145827810332299</v>
      </c>
      <c r="Z7" s="69">
        <v>0.112121930184781</v>
      </c>
      <c r="AA7" s="69">
        <v>0.99394576534074397</v>
      </c>
      <c r="AB7" s="69">
        <v>11.7064783711409</v>
      </c>
      <c r="AC7" s="69">
        <v>5.8218528742234801</v>
      </c>
      <c r="AD7" s="69">
        <v>0.175481630441713</v>
      </c>
      <c r="AE7" s="69">
        <v>1.1181233692982E-2</v>
      </c>
      <c r="AF7" s="69">
        <v>0</v>
      </c>
      <c r="AG7" s="69">
        <v>1.8000781520670601E-2</v>
      </c>
      <c r="AH7" s="69">
        <v>3.10480565457519E-3</v>
      </c>
      <c r="AI7" s="69">
        <v>2.3380901165584202E-3</v>
      </c>
      <c r="AJ7" s="69">
        <v>4.0241457141973497E-2</v>
      </c>
      <c r="AK7" s="69">
        <v>1.20280440942261E-3</v>
      </c>
      <c r="AL7" s="69">
        <v>0.188594391805426</v>
      </c>
      <c r="AM7" s="69">
        <v>0</v>
      </c>
      <c r="AN7" s="69">
        <v>3.4589221001623399E-3</v>
      </c>
      <c r="AO7" s="69">
        <v>1.04172833630146</v>
      </c>
      <c r="AP7" s="69">
        <v>12.4420125044808</v>
      </c>
      <c r="AQ7" s="69">
        <v>28.767175039145101</v>
      </c>
      <c r="AR7" s="69">
        <v>9.1804979825994902E-4</v>
      </c>
      <c r="AS7" s="69">
        <v>0</v>
      </c>
      <c r="AT7" s="69">
        <v>6.9512170788208396E-3</v>
      </c>
      <c r="AU7" s="69">
        <v>5.0978676110064001E-4</v>
      </c>
      <c r="AV7" s="69">
        <v>13.121680558244901</v>
      </c>
      <c r="AW7" s="69">
        <v>77.828243851558398</v>
      </c>
      <c r="AX7" s="69">
        <v>0</v>
      </c>
      <c r="AY7" s="69">
        <v>1.23688026283E-3</v>
      </c>
      <c r="AZ7" s="69">
        <v>2.0188958561025101E-4</v>
      </c>
      <c r="BA7" s="69">
        <v>0</v>
      </c>
      <c r="BB7" s="69">
        <v>4.9464627134591897E-2</v>
      </c>
      <c r="BC7" s="69">
        <v>0.41142967263915697</v>
      </c>
      <c r="BD7" s="69">
        <v>5.1558174776395599E-3</v>
      </c>
      <c r="BE7" s="69">
        <v>0</v>
      </c>
      <c r="BF7" s="69">
        <v>0</v>
      </c>
      <c r="BG7" s="69">
        <v>0</v>
      </c>
      <c r="BH7" s="69">
        <v>0.25783198830069898</v>
      </c>
      <c r="BI7" s="69">
        <v>0</v>
      </c>
      <c r="BJ7" s="69">
        <v>6.0048722283462102</v>
      </c>
      <c r="BK7" s="69">
        <v>2.5177191161068699</v>
      </c>
      <c r="BL7" s="69">
        <v>0.244632216313587</v>
      </c>
      <c r="BM7" s="69">
        <v>4.3640553060958203</v>
      </c>
      <c r="BN7" s="69">
        <v>0.70758220958492901</v>
      </c>
      <c r="BO7" s="69">
        <v>3.4603402627741801E-3</v>
      </c>
      <c r="BP7" s="69">
        <v>1.6959853430870899</v>
      </c>
      <c r="BQ7" s="70">
        <v>0</v>
      </c>
      <c r="BR7" s="71">
        <v>2018.3043874478701</v>
      </c>
      <c r="BS7" s="72">
        <v>6.2380872198087797E-4</v>
      </c>
      <c r="BT7" s="73">
        <v>0.15473223350679499</v>
      </c>
      <c r="BU7" s="73">
        <v>0</v>
      </c>
      <c r="BV7" s="73">
        <v>132.13077373200099</v>
      </c>
      <c r="BW7" s="73">
        <v>31.794320688431899</v>
      </c>
      <c r="BX7" s="74">
        <v>0</v>
      </c>
      <c r="BY7" s="71">
        <v>164.08045046266199</v>
      </c>
      <c r="BZ7" s="75">
        <v>2182.3848379105302</v>
      </c>
    </row>
    <row r="8" spans="1:78" ht="15" customHeight="1" x14ac:dyDescent="0.3">
      <c r="A8" s="19" t="s">
        <v>26</v>
      </c>
      <c r="B8" s="11" t="s">
        <v>94</v>
      </c>
      <c r="C8" s="68">
        <v>32.761564822658002</v>
      </c>
      <c r="D8" s="69">
        <v>34.325244229565598</v>
      </c>
      <c r="E8" s="69">
        <v>56.318986655142403</v>
      </c>
      <c r="F8" s="69">
        <v>3.14452402522356E-2</v>
      </c>
      <c r="G8" s="69">
        <v>8.0191667107295E-2</v>
      </c>
      <c r="H8" s="69">
        <v>0</v>
      </c>
      <c r="I8" s="69">
        <v>0</v>
      </c>
      <c r="J8" s="69">
        <v>74.392211224208907</v>
      </c>
      <c r="K8" s="69">
        <v>6.9458908208171494E-2</v>
      </c>
      <c r="L8" s="69">
        <v>13.028681361409101</v>
      </c>
      <c r="M8" s="69">
        <v>0.567891475843041</v>
      </c>
      <c r="N8" s="69">
        <v>4.7566896634327303E-2</v>
      </c>
      <c r="O8" s="69">
        <v>0.69965642335989098</v>
      </c>
      <c r="P8" s="69">
        <v>3.0790378519808901E-2</v>
      </c>
      <c r="Q8" s="69">
        <v>2.0009011951264001E-3</v>
      </c>
      <c r="R8" s="69">
        <v>112.536872984068</v>
      </c>
      <c r="S8" s="69">
        <v>280.48569767230902</v>
      </c>
      <c r="T8" s="69">
        <v>0</v>
      </c>
      <c r="U8" s="69">
        <v>0</v>
      </c>
      <c r="V8" s="69">
        <v>0.27248146035315601</v>
      </c>
      <c r="W8" s="69">
        <v>11.2684306460258</v>
      </c>
      <c r="X8" s="69">
        <v>0.10029241408278899</v>
      </c>
      <c r="Y8" s="69">
        <v>2.8507453093018398E-3</v>
      </c>
      <c r="Z8" s="69">
        <v>6.4747986632212099E-4</v>
      </c>
      <c r="AA8" s="69">
        <v>11.837153816373601</v>
      </c>
      <c r="AB8" s="69">
        <v>3.6749318320507101</v>
      </c>
      <c r="AC8" s="69">
        <v>62.768703219168202</v>
      </c>
      <c r="AD8" s="69">
        <v>1.39192228112407E-2</v>
      </c>
      <c r="AE8" s="69">
        <v>8.4858535851841397E-4</v>
      </c>
      <c r="AF8" s="69">
        <v>0</v>
      </c>
      <c r="AG8" s="69">
        <v>1.4278240299682101E-3</v>
      </c>
      <c r="AH8" s="69">
        <v>8.4676517852050597E-4</v>
      </c>
      <c r="AI8" s="69">
        <v>6.3766094087956996E-4</v>
      </c>
      <c r="AJ8" s="69">
        <v>3.2844068066089798E-3</v>
      </c>
      <c r="AK8" s="69">
        <v>3.2803756620616598E-4</v>
      </c>
      <c r="AL8" s="69">
        <v>2.48648000424668E-2</v>
      </c>
      <c r="AM8" s="69">
        <v>0</v>
      </c>
      <c r="AN8" s="69">
        <v>9.4334239095336702E-4</v>
      </c>
      <c r="AO8" s="69">
        <v>8.0019620022644497E-2</v>
      </c>
      <c r="AP8" s="69">
        <v>15.146512117843301</v>
      </c>
      <c r="AQ8" s="69">
        <v>4.2950950174578697</v>
      </c>
      <c r="AR8" s="69">
        <v>8.5087542277751402E-4</v>
      </c>
      <c r="AS8" s="69">
        <v>0</v>
      </c>
      <c r="AT8" s="69">
        <v>1.3417697720762901E-4</v>
      </c>
      <c r="AU8" s="69">
        <v>1.3903275302744699E-4</v>
      </c>
      <c r="AV8" s="69">
        <v>1.0419338876981601</v>
      </c>
      <c r="AW8" s="69">
        <v>14.805871715294501</v>
      </c>
      <c r="AX8" s="69">
        <v>0</v>
      </c>
      <c r="AY8" s="69">
        <v>3.3733098077181798E-4</v>
      </c>
      <c r="AZ8" s="69">
        <v>2.0188958561025101E-5</v>
      </c>
      <c r="BA8" s="69">
        <v>0</v>
      </c>
      <c r="BB8" s="69">
        <v>9.8839239992616298E-4</v>
      </c>
      <c r="BC8" s="69">
        <v>3.3041117353157103E-2</v>
      </c>
      <c r="BD8" s="69">
        <v>1.05029501093204E-4</v>
      </c>
      <c r="BE8" s="69">
        <v>0</v>
      </c>
      <c r="BF8" s="69">
        <v>0</v>
      </c>
      <c r="BG8" s="69">
        <v>0</v>
      </c>
      <c r="BH8" s="69">
        <v>1.1500916047105901E-2</v>
      </c>
      <c r="BI8" s="69">
        <v>0</v>
      </c>
      <c r="BJ8" s="69">
        <v>2.0659756546836001</v>
      </c>
      <c r="BK8" s="69">
        <v>2.0653350096232899</v>
      </c>
      <c r="BL8" s="69">
        <v>1.2545135873722101E-2</v>
      </c>
      <c r="BM8" s="69">
        <v>2.8578540880524699</v>
      </c>
      <c r="BN8" s="69">
        <v>3.9806992390604E-2</v>
      </c>
      <c r="BO8" s="69">
        <v>8.1832371079119105E-5</v>
      </c>
      <c r="BP8" s="69">
        <v>3.6946664169076798E-2</v>
      </c>
      <c r="BQ8" s="70">
        <v>0</v>
      </c>
      <c r="BR8" s="71">
        <v>737.84594789470998</v>
      </c>
      <c r="BS8" s="72">
        <v>2.8880033425040699E-6</v>
      </c>
      <c r="BT8" s="73">
        <v>3.7248479724333598E-3</v>
      </c>
      <c r="BU8" s="73">
        <v>0</v>
      </c>
      <c r="BV8" s="73">
        <v>141.18162924882699</v>
      </c>
      <c r="BW8" s="73">
        <v>0.13656216048068401</v>
      </c>
      <c r="BX8" s="74">
        <v>0</v>
      </c>
      <c r="BY8" s="71">
        <v>141.321919145284</v>
      </c>
      <c r="BZ8" s="75">
        <v>879.16786703999401</v>
      </c>
    </row>
    <row r="9" spans="1:78" ht="15" customHeight="1" x14ac:dyDescent="0.3">
      <c r="A9" s="19" t="s">
        <v>27</v>
      </c>
      <c r="B9" s="11" t="s">
        <v>95</v>
      </c>
      <c r="C9" s="68">
        <v>6.8313103017686103</v>
      </c>
      <c r="D9" s="69">
        <v>34.485463075156197</v>
      </c>
      <c r="E9" s="69">
        <v>2.97991870449376E-2</v>
      </c>
      <c r="F9" s="69">
        <v>21.6979095764022</v>
      </c>
      <c r="G9" s="69">
        <v>76.9040631854498</v>
      </c>
      <c r="H9" s="69">
        <v>2.0215119531696999E-2</v>
      </c>
      <c r="I9" s="69">
        <v>1.8004385962089799</v>
      </c>
      <c r="J9" s="69">
        <v>3.94009007646663</v>
      </c>
      <c r="K9" s="69">
        <v>9.1696174240013098E-2</v>
      </c>
      <c r="L9" s="69">
        <v>11.5291009863189</v>
      </c>
      <c r="M9" s="69">
        <v>0.66179660208996705</v>
      </c>
      <c r="N9" s="69">
        <v>0</v>
      </c>
      <c r="O9" s="69">
        <v>8.5013816337560603E-3</v>
      </c>
      <c r="P9" s="69">
        <v>0</v>
      </c>
      <c r="Q9" s="69">
        <v>6.5207628603411397E-3</v>
      </c>
      <c r="R9" s="69">
        <v>0</v>
      </c>
      <c r="S9" s="69">
        <v>0.35373710103648798</v>
      </c>
      <c r="T9" s="69">
        <v>2.5303882178650199E-2</v>
      </c>
      <c r="U9" s="69">
        <v>7.7358312082813301</v>
      </c>
      <c r="V9" s="69">
        <v>18.082580088007699</v>
      </c>
      <c r="W9" s="69">
        <v>180.32219241945401</v>
      </c>
      <c r="X9" s="69">
        <v>6.1817179056637501</v>
      </c>
      <c r="Y9" s="69">
        <v>0.13264519031202299</v>
      </c>
      <c r="Z9" s="69">
        <v>2.3562029994065901E-2</v>
      </c>
      <c r="AA9" s="69">
        <v>0.221930468484277</v>
      </c>
      <c r="AB9" s="69">
        <v>872.97600710423399</v>
      </c>
      <c r="AC9" s="69">
        <v>1127.7802179708899</v>
      </c>
      <c r="AD9" s="69">
        <v>99.105085174119495</v>
      </c>
      <c r="AE9" s="69">
        <v>0.35870894825600402</v>
      </c>
      <c r="AF9" s="69">
        <v>1.76178184820284E-2</v>
      </c>
      <c r="AG9" s="69">
        <v>2.1256873750161001</v>
      </c>
      <c r="AH9" s="69">
        <v>0.26537633120862097</v>
      </c>
      <c r="AI9" s="69">
        <v>0.52326218225493004</v>
      </c>
      <c r="AJ9" s="69">
        <v>12.040485370392201</v>
      </c>
      <c r="AK9" s="69">
        <v>9.9243693134068597E-2</v>
      </c>
      <c r="AL9" s="69">
        <v>2.3568435215200401</v>
      </c>
      <c r="AM9" s="69">
        <v>0.14108445377977499</v>
      </c>
      <c r="AN9" s="69">
        <v>300.84813937196799</v>
      </c>
      <c r="AO9" s="69">
        <v>73.727141679489705</v>
      </c>
      <c r="AP9" s="69">
        <v>856.80807351993803</v>
      </c>
      <c r="AQ9" s="69">
        <v>5.2472784550950102</v>
      </c>
      <c r="AR9" s="69">
        <v>0</v>
      </c>
      <c r="AS9" s="69">
        <v>5.7185529616570396E-4</v>
      </c>
      <c r="AT9" s="69">
        <v>0</v>
      </c>
      <c r="AU9" s="69">
        <v>6.3632567882790803E-4</v>
      </c>
      <c r="AV9" s="69">
        <v>5.65469828353444E-2</v>
      </c>
      <c r="AW9" s="69">
        <v>0.48573331727387498</v>
      </c>
      <c r="AX9" s="69">
        <v>0</v>
      </c>
      <c r="AY9" s="69">
        <v>0</v>
      </c>
      <c r="AZ9" s="69">
        <v>1.26493164596088E-3</v>
      </c>
      <c r="BA9" s="69">
        <v>0</v>
      </c>
      <c r="BB9" s="69">
        <v>0</v>
      </c>
      <c r="BC9" s="69">
        <v>30.873059630211898</v>
      </c>
      <c r="BD9" s="69">
        <v>9.8407306482551607E-4</v>
      </c>
      <c r="BE9" s="69">
        <v>1.0283274040977399</v>
      </c>
      <c r="BF9" s="69">
        <v>4.2734470459484099E-4</v>
      </c>
      <c r="BG9" s="69">
        <v>0</v>
      </c>
      <c r="BH9" s="69">
        <v>1.6273693531734301E-2</v>
      </c>
      <c r="BI9" s="69">
        <v>0</v>
      </c>
      <c r="BJ9" s="69">
        <v>10.4283828653538</v>
      </c>
      <c r="BK9" s="69">
        <v>2.3168999225696298</v>
      </c>
      <c r="BL9" s="69">
        <v>6.2815711794068701E-3</v>
      </c>
      <c r="BM9" s="69">
        <v>0.174892567813525</v>
      </c>
      <c r="BN9" s="69">
        <v>7.8576052884883396E-2</v>
      </c>
      <c r="BO9" s="69">
        <v>2.09358541053987E-4</v>
      </c>
      <c r="BP9" s="69">
        <v>4.9291046456863802E-2</v>
      </c>
      <c r="BQ9" s="70">
        <v>0</v>
      </c>
      <c r="BR9" s="71">
        <v>3771.0250172315</v>
      </c>
      <c r="BS9" s="72">
        <v>0</v>
      </c>
      <c r="BT9" s="73">
        <v>0</v>
      </c>
      <c r="BU9" s="73">
        <v>0</v>
      </c>
      <c r="BV9" s="73">
        <v>0.55813518606411805</v>
      </c>
      <c r="BW9" s="73">
        <v>0.113415364396701</v>
      </c>
      <c r="BX9" s="74">
        <v>0</v>
      </c>
      <c r="BY9" s="71">
        <v>0.67155055046081802</v>
      </c>
      <c r="BZ9" s="75">
        <v>3771.6965677819599</v>
      </c>
    </row>
    <row r="10" spans="1:78" ht="15" customHeight="1" x14ac:dyDescent="0.3">
      <c r="A10" s="19" t="s">
        <v>28</v>
      </c>
      <c r="B10" s="11" t="s">
        <v>96</v>
      </c>
      <c r="C10" s="68">
        <v>1.7942698302887501</v>
      </c>
      <c r="D10" s="69">
        <v>1.6380446037665499</v>
      </c>
      <c r="E10" s="69">
        <v>0</v>
      </c>
      <c r="F10" s="69">
        <v>1.6626344707791198E-2</v>
      </c>
      <c r="G10" s="69">
        <v>3.59704886418618</v>
      </c>
      <c r="H10" s="69">
        <v>1.1534651018684501</v>
      </c>
      <c r="I10" s="69">
        <v>0.110433618595044</v>
      </c>
      <c r="J10" s="69">
        <v>0.20538177158155899</v>
      </c>
      <c r="K10" s="69">
        <v>3.4900280256374002E-4</v>
      </c>
      <c r="L10" s="69">
        <v>0.69414655797387104</v>
      </c>
      <c r="M10" s="69">
        <v>0.193569715901075</v>
      </c>
      <c r="N10" s="69">
        <v>0</v>
      </c>
      <c r="O10" s="69">
        <v>0.108672741208745</v>
      </c>
      <c r="P10" s="69">
        <v>1.59411454472553E-4</v>
      </c>
      <c r="Q10" s="69">
        <v>4.24925986565311E-2</v>
      </c>
      <c r="R10" s="69">
        <v>3.8532718009810399E-3</v>
      </c>
      <c r="S10" s="69">
        <v>0.47928646454242702</v>
      </c>
      <c r="T10" s="69">
        <v>0</v>
      </c>
      <c r="U10" s="69">
        <v>1278.52193770035</v>
      </c>
      <c r="V10" s="69">
        <v>1.0790738527827999E-2</v>
      </c>
      <c r="W10" s="69">
        <v>1.2931182994778101</v>
      </c>
      <c r="X10" s="69">
        <v>0.53564878356524204</v>
      </c>
      <c r="Y10" s="69">
        <v>0.14667929647384001</v>
      </c>
      <c r="Z10" s="69">
        <v>1.7292545742026699E-4</v>
      </c>
      <c r="AA10" s="69">
        <v>0.82981025725482105</v>
      </c>
      <c r="AB10" s="69">
        <v>2.0458735422518601</v>
      </c>
      <c r="AC10" s="69">
        <v>1.47953616788922</v>
      </c>
      <c r="AD10" s="69">
        <v>0.131621123127415</v>
      </c>
      <c r="AE10" s="69">
        <v>0.129577477115874</v>
      </c>
      <c r="AF10" s="69">
        <v>3.0663887597064299E-3</v>
      </c>
      <c r="AG10" s="69">
        <v>0.411229462360436</v>
      </c>
      <c r="AH10" s="69">
        <v>2.1885965322807501</v>
      </c>
      <c r="AI10" s="69">
        <v>0.190941383829594</v>
      </c>
      <c r="AJ10" s="69">
        <v>0.17624496682475099</v>
      </c>
      <c r="AK10" s="69">
        <v>5.7131981571165197E-2</v>
      </c>
      <c r="AL10" s="69">
        <v>4.3259429306004002E-2</v>
      </c>
      <c r="AM10" s="69">
        <v>0.93174852374510897</v>
      </c>
      <c r="AN10" s="69">
        <v>7.40597823284143E-2</v>
      </c>
      <c r="AO10" s="69">
        <v>0.127841999667101</v>
      </c>
      <c r="AP10" s="69">
        <v>1.4384629299778799</v>
      </c>
      <c r="AQ10" s="69">
        <v>3.5336010630254502</v>
      </c>
      <c r="AR10" s="69">
        <v>1.7582501894679401</v>
      </c>
      <c r="AS10" s="69">
        <v>4.91025816117008E-2</v>
      </c>
      <c r="AT10" s="69">
        <v>0</v>
      </c>
      <c r="AU10" s="69">
        <v>6.5782284339780797E-2</v>
      </c>
      <c r="AV10" s="69">
        <v>1.07495441418665E-3</v>
      </c>
      <c r="AW10" s="69">
        <v>4.2943830766886304</v>
      </c>
      <c r="AX10" s="69">
        <v>0</v>
      </c>
      <c r="AY10" s="69">
        <v>0</v>
      </c>
      <c r="AZ10" s="69">
        <v>4.3192068092358701E-3</v>
      </c>
      <c r="BA10" s="69">
        <v>0</v>
      </c>
      <c r="BB10" s="69">
        <v>0</v>
      </c>
      <c r="BC10" s="69">
        <v>1.89874833224403E-2</v>
      </c>
      <c r="BD10" s="69">
        <v>0</v>
      </c>
      <c r="BE10" s="69">
        <v>5.3151642087018003E-2</v>
      </c>
      <c r="BF10" s="69">
        <v>5.0652417865702001E-2</v>
      </c>
      <c r="BG10" s="69">
        <v>0.46020538811273598</v>
      </c>
      <c r="BH10" s="69">
        <v>0.128710909668171</v>
      </c>
      <c r="BI10" s="69">
        <v>3.9232705381372999E-4</v>
      </c>
      <c r="BJ10" s="69">
        <v>0.38946169366880001</v>
      </c>
      <c r="BK10" s="69">
        <v>0.13148317976962201</v>
      </c>
      <c r="BL10" s="69">
        <v>0</v>
      </c>
      <c r="BM10" s="69">
        <v>5.5582125635751503E-2</v>
      </c>
      <c r="BN10" s="69">
        <v>5.2800221575745002E-2</v>
      </c>
      <c r="BO10" s="69">
        <v>0</v>
      </c>
      <c r="BP10" s="69">
        <v>0.41761431106791802</v>
      </c>
      <c r="BQ10" s="70">
        <v>0</v>
      </c>
      <c r="BR10" s="71">
        <v>1312.2707046476701</v>
      </c>
      <c r="BS10" s="72">
        <v>0</v>
      </c>
      <c r="BT10" s="73">
        <v>0</v>
      </c>
      <c r="BU10" s="73">
        <v>0</v>
      </c>
      <c r="BV10" s="73">
        <v>0.29259170192725797</v>
      </c>
      <c r="BW10" s="73">
        <v>3.4881745078457098</v>
      </c>
      <c r="BX10" s="74">
        <v>0</v>
      </c>
      <c r="BY10" s="71">
        <v>3.78076620977297</v>
      </c>
      <c r="BZ10" s="75">
        <v>1316.0514708574401</v>
      </c>
    </row>
    <row r="11" spans="1:78" ht="15" customHeight="1" x14ac:dyDescent="0.3">
      <c r="A11" s="19" t="s">
        <v>29</v>
      </c>
      <c r="B11" s="11" t="s">
        <v>97</v>
      </c>
      <c r="C11" s="68">
        <v>0</v>
      </c>
      <c r="D11" s="69">
        <v>0</v>
      </c>
      <c r="E11" s="69">
        <v>0</v>
      </c>
      <c r="F11" s="69">
        <v>1.4292883415512299E-3</v>
      </c>
      <c r="G11" s="69">
        <v>0.27216863511709199</v>
      </c>
      <c r="H11" s="69">
        <v>406.75879181114198</v>
      </c>
      <c r="I11" s="69">
        <v>6.3821468875981502</v>
      </c>
      <c r="J11" s="69">
        <v>1.41225823013575E-2</v>
      </c>
      <c r="K11" s="69">
        <v>0</v>
      </c>
      <c r="L11" s="69">
        <v>2.4450335181734801E-2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1.4644506278509399E-2</v>
      </c>
      <c r="T11" s="69">
        <v>1.3656063398001701E-2</v>
      </c>
      <c r="U11" s="69">
        <v>0</v>
      </c>
      <c r="V11" s="69">
        <v>0</v>
      </c>
      <c r="W11" s="69">
        <v>0</v>
      </c>
      <c r="X11" s="69">
        <v>8.0323214165849005E-3</v>
      </c>
      <c r="Y11" s="69">
        <v>0</v>
      </c>
      <c r="Z11" s="69">
        <v>0</v>
      </c>
      <c r="AA11" s="69">
        <v>8.6870107896003905E-3</v>
      </c>
      <c r="AB11" s="69">
        <v>21.152191838486299</v>
      </c>
      <c r="AC11" s="69">
        <v>3067.0680180149302</v>
      </c>
      <c r="AD11" s="69">
        <v>9.3596862158534808</v>
      </c>
      <c r="AE11" s="69">
        <v>0.145411262156636</v>
      </c>
      <c r="AF11" s="69">
        <v>9.5080290220470598E-3</v>
      </c>
      <c r="AG11" s="69">
        <v>0.37526261003639699</v>
      </c>
      <c r="AH11" s="69">
        <v>0.89854495323171402</v>
      </c>
      <c r="AI11" s="69">
        <v>8.33899751538731E-2</v>
      </c>
      <c r="AJ11" s="69">
        <v>0.139867160308661</v>
      </c>
      <c r="AK11" s="69">
        <v>4.7906770542723902E-2</v>
      </c>
      <c r="AL11" s="69">
        <v>0.14019094003812699</v>
      </c>
      <c r="AM11" s="69">
        <v>0.34547285729393201</v>
      </c>
      <c r="AN11" s="69">
        <v>0</v>
      </c>
      <c r="AO11" s="69">
        <v>5.1640715348509197E-3</v>
      </c>
      <c r="AP11" s="69">
        <v>0.20193877759898099</v>
      </c>
      <c r="AQ11" s="69">
        <v>2.3987741400540202E-2</v>
      </c>
      <c r="AR11" s="69">
        <v>0</v>
      </c>
      <c r="AS11" s="69">
        <v>7.1261967676033901E-3</v>
      </c>
      <c r="AT11" s="69">
        <v>0</v>
      </c>
      <c r="AU11" s="69">
        <v>7.9295969207785495E-3</v>
      </c>
      <c r="AV11" s="69">
        <v>0</v>
      </c>
      <c r="AW11" s="69">
        <v>0</v>
      </c>
      <c r="AX11" s="69">
        <v>0</v>
      </c>
      <c r="AY11" s="69">
        <v>0</v>
      </c>
      <c r="AZ11" s="69">
        <v>1.7580691032568099E-3</v>
      </c>
      <c r="BA11" s="69">
        <v>0</v>
      </c>
      <c r="BB11" s="69">
        <v>0</v>
      </c>
      <c r="BC11" s="69">
        <v>1.4101765771469799E-3</v>
      </c>
      <c r="BD11" s="69">
        <v>0</v>
      </c>
      <c r="BE11" s="69">
        <v>0.31802821251744601</v>
      </c>
      <c r="BF11" s="69">
        <v>0</v>
      </c>
      <c r="BG11" s="69">
        <v>0</v>
      </c>
      <c r="BH11" s="69">
        <v>5.2224601167226298E-2</v>
      </c>
      <c r="BI11" s="69">
        <v>0</v>
      </c>
      <c r="BJ11" s="69">
        <v>1.7399817175969699E-3</v>
      </c>
      <c r="BK11" s="69">
        <v>0</v>
      </c>
      <c r="BL11" s="69">
        <v>0</v>
      </c>
      <c r="BM11" s="69">
        <v>5.2064620744007003E-3</v>
      </c>
      <c r="BN11" s="69">
        <v>0</v>
      </c>
      <c r="BO11" s="69">
        <v>0</v>
      </c>
      <c r="BP11" s="69">
        <v>0</v>
      </c>
      <c r="BQ11" s="70">
        <v>0</v>
      </c>
      <c r="BR11" s="71">
        <v>3513.8900939559999</v>
      </c>
      <c r="BS11" s="72">
        <v>0</v>
      </c>
      <c r="BT11" s="73">
        <v>0</v>
      </c>
      <c r="BU11" s="73">
        <v>0</v>
      </c>
      <c r="BV11" s="73">
        <v>0.128755294088538</v>
      </c>
      <c r="BW11" s="73">
        <v>1.41332992555888</v>
      </c>
      <c r="BX11" s="74">
        <v>0</v>
      </c>
      <c r="BY11" s="71">
        <v>1.54208521964742</v>
      </c>
      <c r="BZ11" s="75">
        <v>3515.4321791756502</v>
      </c>
    </row>
    <row r="12" spans="1:78" ht="15" customHeight="1" x14ac:dyDescent="0.3">
      <c r="A12" s="19" t="s">
        <v>30</v>
      </c>
      <c r="B12" s="11" t="s">
        <v>98</v>
      </c>
      <c r="C12" s="68">
        <v>7.5186837928675199E-2</v>
      </c>
      <c r="D12" s="69">
        <v>3.0526763033274298E-2</v>
      </c>
      <c r="E12" s="69">
        <v>6.1285587657204004E-4</v>
      </c>
      <c r="F12" s="69">
        <v>8.1780211348912203E-4</v>
      </c>
      <c r="G12" s="69">
        <v>6.2908159499783203</v>
      </c>
      <c r="H12" s="69">
        <v>2.9488574207803001E-2</v>
      </c>
      <c r="I12" s="69">
        <v>177.27047838367099</v>
      </c>
      <c r="J12" s="69">
        <v>0.124943316360245</v>
      </c>
      <c r="K12" s="69">
        <v>3.7839433741925399E-3</v>
      </c>
      <c r="L12" s="69">
        <v>0.236077107971466</v>
      </c>
      <c r="M12" s="69">
        <v>2.4880780637249699E-2</v>
      </c>
      <c r="N12" s="69">
        <v>0</v>
      </c>
      <c r="O12" s="69">
        <v>7.7285287579600503E-4</v>
      </c>
      <c r="P12" s="69">
        <v>0</v>
      </c>
      <c r="Q12" s="69">
        <v>5.9279662366737602E-4</v>
      </c>
      <c r="R12" s="69">
        <v>0</v>
      </c>
      <c r="S12" s="69">
        <v>0.152957682517011</v>
      </c>
      <c r="T12" s="69">
        <v>0.12081599617996799</v>
      </c>
      <c r="U12" s="69">
        <v>0</v>
      </c>
      <c r="V12" s="69">
        <v>0</v>
      </c>
      <c r="W12" s="69">
        <v>0.14117743190006701</v>
      </c>
      <c r="X12" s="69">
        <v>8.8966063605359205E-2</v>
      </c>
      <c r="Y12" s="69">
        <v>7.3311234134184299E-3</v>
      </c>
      <c r="Z12" s="69">
        <v>1.4901152830619001E-3</v>
      </c>
      <c r="AA12" s="69">
        <v>5.72508330130439E-2</v>
      </c>
      <c r="AB12" s="69">
        <v>3.7684778216038999</v>
      </c>
      <c r="AC12" s="69">
        <v>65.9677652184359</v>
      </c>
      <c r="AD12" s="69">
        <v>1107.69971711933</v>
      </c>
      <c r="AE12" s="69">
        <v>1.2909890960183801</v>
      </c>
      <c r="AF12" s="69">
        <v>8.4118092053875201E-2</v>
      </c>
      <c r="AG12" s="69">
        <v>3.1936218318247702</v>
      </c>
      <c r="AH12" s="69">
        <v>0.52221543782580504</v>
      </c>
      <c r="AI12" s="69">
        <v>0.291541604056827</v>
      </c>
      <c r="AJ12" s="69">
        <v>1.2380179893360299</v>
      </c>
      <c r="AK12" s="69">
        <v>0.32211453970639897</v>
      </c>
      <c r="AL12" s="69">
        <v>1.2453306537009201</v>
      </c>
      <c r="AM12" s="69">
        <v>0.15585723568236101</v>
      </c>
      <c r="AN12" s="69">
        <v>1.66365117804864E-3</v>
      </c>
      <c r="AO12" s="69">
        <v>3.65329071284278E-2</v>
      </c>
      <c r="AP12" s="69">
        <v>0.97733582890658499</v>
      </c>
      <c r="AQ12" s="69">
        <v>2.0409952275818301E-2</v>
      </c>
      <c r="AR12" s="69">
        <v>0</v>
      </c>
      <c r="AS12" s="69">
        <v>4.39888689358234E-5</v>
      </c>
      <c r="AT12" s="69">
        <v>0</v>
      </c>
      <c r="AU12" s="69">
        <v>4.8948129140608302E-5</v>
      </c>
      <c r="AV12" s="69">
        <v>1.60721296214466E-3</v>
      </c>
      <c r="AW12" s="69">
        <v>6.0020295741819102E-3</v>
      </c>
      <c r="AX12" s="69">
        <v>0</v>
      </c>
      <c r="AY12" s="69">
        <v>0</v>
      </c>
      <c r="AZ12" s="69">
        <v>1.08522784151655E-5</v>
      </c>
      <c r="BA12" s="69">
        <v>0</v>
      </c>
      <c r="BB12" s="69">
        <v>0</v>
      </c>
      <c r="BC12" s="69">
        <v>1.79641663137519E-2</v>
      </c>
      <c r="BD12" s="69">
        <v>0</v>
      </c>
      <c r="BE12" s="69">
        <v>2.18536565563525E-5</v>
      </c>
      <c r="BF12" s="69">
        <v>0</v>
      </c>
      <c r="BG12" s="69">
        <v>0</v>
      </c>
      <c r="BH12" s="69">
        <v>7.8144818747617295E-4</v>
      </c>
      <c r="BI12" s="69">
        <v>0</v>
      </c>
      <c r="BJ12" s="69">
        <v>2.36948558373422E-3</v>
      </c>
      <c r="BK12" s="69">
        <v>6.3866703121815305E-4</v>
      </c>
      <c r="BL12" s="69">
        <v>0</v>
      </c>
      <c r="BM12" s="69">
        <v>3.2310017582197E-3</v>
      </c>
      <c r="BN12" s="69">
        <v>3.4853009302677602E-3</v>
      </c>
      <c r="BO12" s="69">
        <v>0</v>
      </c>
      <c r="BP12" s="69">
        <v>2.1637320441410899E-3</v>
      </c>
      <c r="BQ12" s="70">
        <v>0</v>
      </c>
      <c r="BR12" s="71">
        <v>1371.5130448769501</v>
      </c>
      <c r="BS12" s="72">
        <v>0</v>
      </c>
      <c r="BT12" s="73">
        <v>0</v>
      </c>
      <c r="BU12" s="73">
        <v>0</v>
      </c>
      <c r="BV12" s="73">
        <v>0.13760190581891901</v>
      </c>
      <c r="BW12" s="73">
        <v>8.7242587997462002E-3</v>
      </c>
      <c r="BX12" s="74">
        <v>0</v>
      </c>
      <c r="BY12" s="71">
        <v>0.14632616461866499</v>
      </c>
      <c r="BZ12" s="75">
        <v>1371.65937104156</v>
      </c>
    </row>
    <row r="13" spans="1:78" ht="15" customHeight="1" x14ac:dyDescent="0.3">
      <c r="A13" s="19" t="s">
        <v>31</v>
      </c>
      <c r="B13" s="11" t="s">
        <v>99</v>
      </c>
      <c r="C13" s="68">
        <v>2.8658271519649401</v>
      </c>
      <c r="D13" s="69">
        <v>117.131307379923</v>
      </c>
      <c r="E13" s="69">
        <v>1.3779863590097801</v>
      </c>
      <c r="F13" s="69">
        <v>0.284441726787036</v>
      </c>
      <c r="G13" s="69">
        <v>0.19238586998412999</v>
      </c>
      <c r="H13" s="69">
        <v>0.152184571652104</v>
      </c>
      <c r="I13" s="69">
        <v>3.1587151816714197E-2</v>
      </c>
      <c r="J13" s="69">
        <v>1619.99714742781</v>
      </c>
      <c r="K13" s="69">
        <v>2.7911580740737998E-3</v>
      </c>
      <c r="L13" s="69">
        <v>202.75119305690399</v>
      </c>
      <c r="M13" s="69">
        <v>4.3658115836580897</v>
      </c>
      <c r="N13" s="69">
        <v>0</v>
      </c>
      <c r="O13" s="69">
        <v>9.0511224094108403E-2</v>
      </c>
      <c r="P13" s="69">
        <v>4.0051706108446397E-2</v>
      </c>
      <c r="Q13" s="69">
        <v>76.800993128529797</v>
      </c>
      <c r="R13" s="69">
        <v>0.122155997911376</v>
      </c>
      <c r="S13" s="69">
        <v>0.483174921737615</v>
      </c>
      <c r="T13" s="69">
        <v>2.3009651847650699E-2</v>
      </c>
      <c r="U13" s="69">
        <v>5.5374397988039198E-2</v>
      </c>
      <c r="V13" s="69">
        <v>42.845826441664101</v>
      </c>
      <c r="W13" s="69">
        <v>1.6760091538556099</v>
      </c>
      <c r="X13" s="69">
        <v>3.2101129629436298</v>
      </c>
      <c r="Y13" s="69">
        <v>126.15548914770601</v>
      </c>
      <c r="Z13" s="69">
        <v>0.34915485176511502</v>
      </c>
      <c r="AA13" s="69">
        <v>0.33810371243533999</v>
      </c>
      <c r="AB13" s="69">
        <v>6.8518701754274394E-2</v>
      </c>
      <c r="AC13" s="69">
        <v>0.11523864407411499</v>
      </c>
      <c r="AD13" s="69">
        <v>4.6117436835458103E-2</v>
      </c>
      <c r="AE13" s="69">
        <v>3.5910207588179102</v>
      </c>
      <c r="AF13" s="69">
        <v>1.6366014919472101E-2</v>
      </c>
      <c r="AG13" s="69">
        <v>7.9257401082891199E-2</v>
      </c>
      <c r="AH13" s="69">
        <v>0.153917277079337</v>
      </c>
      <c r="AI13" s="69">
        <v>7.6664635699570702E-2</v>
      </c>
      <c r="AJ13" s="69">
        <v>3.7507165478720003E-2</v>
      </c>
      <c r="AK13" s="69">
        <v>1.9481189805928001E-2</v>
      </c>
      <c r="AL13" s="69">
        <v>0.110666188079941</v>
      </c>
      <c r="AM13" s="69">
        <v>9.3666539191746098E-2</v>
      </c>
      <c r="AN13" s="69">
        <v>3.6493999044329602E-2</v>
      </c>
      <c r="AO13" s="69">
        <v>4.7477182979853899E-2</v>
      </c>
      <c r="AP13" s="69">
        <v>0.36740069427901101</v>
      </c>
      <c r="AQ13" s="69">
        <v>39.799139536284102</v>
      </c>
      <c r="AR13" s="69">
        <v>2.2786083658334101E-2</v>
      </c>
      <c r="AS13" s="69">
        <v>1.3087542567912899E-3</v>
      </c>
      <c r="AT13" s="69">
        <v>1.41852152636154E-2</v>
      </c>
      <c r="AU13" s="69">
        <v>9.1797295678267103E-3</v>
      </c>
      <c r="AV13" s="69">
        <v>33.009377534601803</v>
      </c>
      <c r="AW13" s="69">
        <v>996.68083032878201</v>
      </c>
      <c r="AX13" s="69">
        <v>0</v>
      </c>
      <c r="AY13" s="69">
        <v>2.1615613055018701E-3</v>
      </c>
      <c r="AZ13" s="69">
        <v>3.6982574003491697E-2</v>
      </c>
      <c r="BA13" s="69">
        <v>2.6685630214279398E-3</v>
      </c>
      <c r="BB13" s="69">
        <v>9.6258260768495404E-2</v>
      </c>
      <c r="BC13" s="69">
        <v>1.44393474625946E-2</v>
      </c>
      <c r="BD13" s="69">
        <v>5.0553772792651497E-2</v>
      </c>
      <c r="BE13" s="69">
        <v>6.3910293604456797E-3</v>
      </c>
      <c r="BF13" s="69">
        <v>6.0927380756840503E-2</v>
      </c>
      <c r="BG13" s="69">
        <v>8.7059347471131303E-3</v>
      </c>
      <c r="BH13" s="69">
        <v>3.3741207381022598E-2</v>
      </c>
      <c r="BI13" s="69">
        <v>4.0686161085356698E-3</v>
      </c>
      <c r="BJ13" s="69">
        <v>169.70824889535399</v>
      </c>
      <c r="BK13" s="69">
        <v>83.574685996967105</v>
      </c>
      <c r="BL13" s="69">
        <v>17.183631912191402</v>
      </c>
      <c r="BM13" s="69">
        <v>113.015236029695</v>
      </c>
      <c r="BN13" s="69">
        <v>41.400993924032697</v>
      </c>
      <c r="BO13" s="69">
        <v>2.6583914705583401E-2</v>
      </c>
      <c r="BP13" s="69">
        <v>12.538531777557401</v>
      </c>
      <c r="BQ13" s="70">
        <v>0</v>
      </c>
      <c r="BR13" s="71">
        <v>3713.5040424459198</v>
      </c>
      <c r="BS13" s="72">
        <v>0.25133342051292401</v>
      </c>
      <c r="BT13" s="73">
        <v>5.1975437402958603E-2</v>
      </c>
      <c r="BU13" s="73">
        <v>0</v>
      </c>
      <c r="BV13" s="73">
        <v>776.69166614440098</v>
      </c>
      <c r="BW13" s="73">
        <v>0.16452009436585399</v>
      </c>
      <c r="BX13" s="74">
        <v>0</v>
      </c>
      <c r="BY13" s="71">
        <v>777.15949509668201</v>
      </c>
      <c r="BZ13" s="75">
        <v>4490.6635375426104</v>
      </c>
    </row>
    <row r="14" spans="1:78" ht="15" customHeight="1" x14ac:dyDescent="0.3">
      <c r="A14" s="19" t="s">
        <v>32</v>
      </c>
      <c r="B14" s="11" t="s">
        <v>100</v>
      </c>
      <c r="C14" s="68">
        <v>0.89363675550252597</v>
      </c>
      <c r="D14" s="69">
        <v>12.4599943685828</v>
      </c>
      <c r="E14" s="69">
        <v>0</v>
      </c>
      <c r="F14" s="69">
        <v>6.3591996654747901E-3</v>
      </c>
      <c r="G14" s="69">
        <v>10.651371156214999</v>
      </c>
      <c r="H14" s="69">
        <v>0.91815904631725298</v>
      </c>
      <c r="I14" s="69">
        <v>9.3202777352807201E-2</v>
      </c>
      <c r="J14" s="69">
        <v>62.800157814902697</v>
      </c>
      <c r="K14" s="69">
        <v>321.43927834510299</v>
      </c>
      <c r="L14" s="69">
        <v>778.22590656627301</v>
      </c>
      <c r="M14" s="69">
        <v>179.00044929324599</v>
      </c>
      <c r="N14" s="69">
        <v>0</v>
      </c>
      <c r="O14" s="69">
        <v>4.3676188619343704E-3</v>
      </c>
      <c r="P14" s="69">
        <v>3.3656405829810701E-3</v>
      </c>
      <c r="Q14" s="69">
        <v>0</v>
      </c>
      <c r="R14" s="69">
        <v>6.9212463387008597E-3</v>
      </c>
      <c r="S14" s="69">
        <v>3.4336377354653801E-2</v>
      </c>
      <c r="T14" s="69">
        <v>0</v>
      </c>
      <c r="U14" s="69">
        <v>280.34568817382399</v>
      </c>
      <c r="V14" s="69">
        <v>243.24866972334399</v>
      </c>
      <c r="W14" s="69">
        <v>4.8404534196306699</v>
      </c>
      <c r="X14" s="69">
        <v>83.655787185208993</v>
      </c>
      <c r="Y14" s="69">
        <v>23.417578305553299</v>
      </c>
      <c r="Z14" s="69">
        <v>10.747837514812799</v>
      </c>
      <c r="AA14" s="69">
        <v>1.6082563067286299E-2</v>
      </c>
      <c r="AB14" s="69">
        <v>2.0503539222029799E-2</v>
      </c>
      <c r="AC14" s="69">
        <v>5.6672086974222302E-3</v>
      </c>
      <c r="AD14" s="69">
        <v>9.8464377211226594E-3</v>
      </c>
      <c r="AE14" s="69">
        <v>0.39570007977392702</v>
      </c>
      <c r="AF14" s="69">
        <v>2.6644654615266702E-3</v>
      </c>
      <c r="AG14" s="69">
        <v>5.1484091831940103E-2</v>
      </c>
      <c r="AH14" s="69">
        <v>2.9365353050190102</v>
      </c>
      <c r="AI14" s="69">
        <v>0.18327218880065499</v>
      </c>
      <c r="AJ14" s="69">
        <v>4.0576894280249503E-3</v>
      </c>
      <c r="AK14" s="69">
        <v>4.64151747386655E-2</v>
      </c>
      <c r="AL14" s="69">
        <v>0</v>
      </c>
      <c r="AM14" s="69">
        <v>1.17040260793707</v>
      </c>
      <c r="AN14" s="69">
        <v>0</v>
      </c>
      <c r="AO14" s="69">
        <v>1.1027622319892599E-2</v>
      </c>
      <c r="AP14" s="69">
        <v>6.3838196065044803</v>
      </c>
      <c r="AQ14" s="69">
        <v>20.3749779926288</v>
      </c>
      <c r="AR14" s="69">
        <v>11.3166978876027</v>
      </c>
      <c r="AS14" s="69">
        <v>0.124073852022565</v>
      </c>
      <c r="AT14" s="69">
        <v>1.1286188920169101E-3</v>
      </c>
      <c r="AU14" s="69">
        <v>1.0163222267126499</v>
      </c>
      <c r="AV14" s="69">
        <v>0.166062350693646</v>
      </c>
      <c r="AW14" s="69">
        <v>144.686727596613</v>
      </c>
      <c r="AX14" s="69">
        <v>6.5172900020355598E-2</v>
      </c>
      <c r="AY14" s="69">
        <v>1.0916795921263701E-2</v>
      </c>
      <c r="AZ14" s="69">
        <v>2.8939027057877199E-2</v>
      </c>
      <c r="BA14" s="69">
        <v>0</v>
      </c>
      <c r="BB14" s="69">
        <v>1.8911934922104201</v>
      </c>
      <c r="BC14" s="69">
        <v>0.25023631629400001</v>
      </c>
      <c r="BD14" s="69">
        <v>2.1953858263172701</v>
      </c>
      <c r="BE14" s="69">
        <v>2.12769334762016</v>
      </c>
      <c r="BF14" s="69">
        <v>1.0697179830927099</v>
      </c>
      <c r="BG14" s="69">
        <v>3.16309817656348</v>
      </c>
      <c r="BH14" s="69">
        <v>4.6061709137842204</v>
      </c>
      <c r="BI14" s="69">
        <v>0.86615698833537003</v>
      </c>
      <c r="BJ14" s="69">
        <v>26.559433860215101</v>
      </c>
      <c r="BK14" s="69">
        <v>11.596161628293199</v>
      </c>
      <c r="BL14" s="69">
        <v>0.94990209974134998</v>
      </c>
      <c r="BM14" s="69">
        <v>14.704891647058799</v>
      </c>
      <c r="BN14" s="69">
        <v>3.8957237321532698</v>
      </c>
      <c r="BO14" s="69">
        <v>0.27375892966068399</v>
      </c>
      <c r="BP14" s="69">
        <v>3.8489949268483299</v>
      </c>
      <c r="BQ14" s="70">
        <v>0</v>
      </c>
      <c r="BR14" s="71">
        <v>2279.8205382255501</v>
      </c>
      <c r="BS14" s="72">
        <v>0</v>
      </c>
      <c r="BT14" s="73">
        <v>0</v>
      </c>
      <c r="BU14" s="73">
        <v>0</v>
      </c>
      <c r="BV14" s="73">
        <v>97.826365929441096</v>
      </c>
      <c r="BW14" s="73">
        <v>4.93793048065635</v>
      </c>
      <c r="BX14" s="74">
        <v>0</v>
      </c>
      <c r="BY14" s="71">
        <v>102.764296410097</v>
      </c>
      <c r="BZ14" s="75">
        <v>2382.5848346356502</v>
      </c>
    </row>
    <row r="15" spans="1:78" ht="15" customHeight="1" x14ac:dyDescent="0.3">
      <c r="A15" s="19" t="s">
        <v>33</v>
      </c>
      <c r="B15" s="11" t="s">
        <v>101</v>
      </c>
      <c r="C15" s="68">
        <v>114.521541456698</v>
      </c>
      <c r="D15" s="69">
        <v>992.35551682818902</v>
      </c>
      <c r="E15" s="69">
        <v>66.574220594515197</v>
      </c>
      <c r="F15" s="69">
        <v>6.5196111674351798</v>
      </c>
      <c r="G15" s="69">
        <v>6.3720779900804896</v>
      </c>
      <c r="H15" s="69">
        <v>1.7950647071302199</v>
      </c>
      <c r="I15" s="69">
        <v>0.422220573009149</v>
      </c>
      <c r="J15" s="69">
        <v>1983.25175743504</v>
      </c>
      <c r="K15" s="69">
        <v>3.5681230087664901</v>
      </c>
      <c r="L15" s="69">
        <v>1973.70128906588</v>
      </c>
      <c r="M15" s="69">
        <v>178.636949295378</v>
      </c>
      <c r="N15" s="69">
        <v>1.2707283402302601E-2</v>
      </c>
      <c r="O15" s="69">
        <v>0.85030869581066604</v>
      </c>
      <c r="P15" s="69">
        <v>0.50348963755519704</v>
      </c>
      <c r="Q15" s="69">
        <v>1.0275711515408601</v>
      </c>
      <c r="R15" s="69">
        <v>1.8443182897149899</v>
      </c>
      <c r="S15" s="69">
        <v>39.423954279792198</v>
      </c>
      <c r="T15" s="69">
        <v>0.41700599736464</v>
      </c>
      <c r="U15" s="69">
        <v>100.410406490398</v>
      </c>
      <c r="V15" s="69">
        <v>129.091775056279</v>
      </c>
      <c r="W15" s="69">
        <v>19.613200693273502</v>
      </c>
      <c r="X15" s="69">
        <v>42.5953892551886</v>
      </c>
      <c r="Y15" s="69">
        <v>24.511542745970399</v>
      </c>
      <c r="Z15" s="69">
        <v>7.1845959304050604</v>
      </c>
      <c r="AA15" s="69">
        <v>3.9982595340991298</v>
      </c>
      <c r="AB15" s="69">
        <v>6.2938476478973397</v>
      </c>
      <c r="AC15" s="69">
        <v>2.3219835793708299</v>
      </c>
      <c r="AD15" s="69">
        <v>0.53085474979904701</v>
      </c>
      <c r="AE15" s="69">
        <v>3.6220196380973801</v>
      </c>
      <c r="AF15" s="69">
        <v>9.6098636668108903E-2</v>
      </c>
      <c r="AG15" s="69">
        <v>0.76232623001737498</v>
      </c>
      <c r="AH15" s="69">
        <v>1.6507507312135099</v>
      </c>
      <c r="AI15" s="69">
        <v>0.72765337568173405</v>
      </c>
      <c r="AJ15" s="69">
        <v>0.72865313581111402</v>
      </c>
      <c r="AK15" s="69">
        <v>0.16107917873854999</v>
      </c>
      <c r="AL15" s="69">
        <v>1.3121766035545901</v>
      </c>
      <c r="AM15" s="69">
        <v>0.91304704204119502</v>
      </c>
      <c r="AN15" s="69">
        <v>0.18422446497658901</v>
      </c>
      <c r="AO15" s="69">
        <v>1.0179648491323701</v>
      </c>
      <c r="AP15" s="69">
        <v>10.0943197221102</v>
      </c>
      <c r="AQ15" s="69">
        <v>163.778768415109</v>
      </c>
      <c r="AR15" s="69">
        <v>4.9334853739600302</v>
      </c>
      <c r="AS15" s="69">
        <v>5.3080009492116803E-2</v>
      </c>
      <c r="AT15" s="69">
        <v>1.60693484966387</v>
      </c>
      <c r="AU15" s="69">
        <v>0.49885516034883398</v>
      </c>
      <c r="AV15" s="69">
        <v>19.334382827811801</v>
      </c>
      <c r="AW15" s="69">
        <v>937.71126932726202</v>
      </c>
      <c r="AX15" s="69">
        <v>3.4113539984093402E-2</v>
      </c>
      <c r="AY15" s="69">
        <v>2.5225476376488101E-2</v>
      </c>
      <c r="AZ15" s="69">
        <v>0.87850874630995202</v>
      </c>
      <c r="BA15" s="69">
        <v>2.95781263258291E-2</v>
      </c>
      <c r="BB15" s="69">
        <v>10.460601707761599</v>
      </c>
      <c r="BC15" s="69">
        <v>1.54501937637855</v>
      </c>
      <c r="BD15" s="69">
        <v>3.2415919821816601</v>
      </c>
      <c r="BE15" s="69">
        <v>0.84839669976713195</v>
      </c>
      <c r="BF15" s="69">
        <v>2.5727112222709101</v>
      </c>
      <c r="BG15" s="69">
        <v>1.2588997678643701</v>
      </c>
      <c r="BH15" s="69">
        <v>2.03849115665238</v>
      </c>
      <c r="BI15" s="69">
        <v>0.31956313352698101</v>
      </c>
      <c r="BJ15" s="69">
        <v>181.63265444562799</v>
      </c>
      <c r="BK15" s="69">
        <v>106.414326631134</v>
      </c>
      <c r="BL15" s="69">
        <v>13.1566993719031</v>
      </c>
      <c r="BM15" s="69">
        <v>182.01237663836</v>
      </c>
      <c r="BN15" s="69">
        <v>48.508520107840901</v>
      </c>
      <c r="BO15" s="69">
        <v>1.12794281217736</v>
      </c>
      <c r="BP15" s="69">
        <v>39.102911282218699</v>
      </c>
      <c r="BQ15" s="70">
        <v>0</v>
      </c>
      <c r="BR15" s="71">
        <v>7452.7448049363302</v>
      </c>
      <c r="BS15" s="72">
        <v>7.8507960021217103E-5</v>
      </c>
      <c r="BT15" s="73">
        <v>0.17404618946862299</v>
      </c>
      <c r="BU15" s="73">
        <v>0</v>
      </c>
      <c r="BV15" s="73">
        <v>871.322554668885</v>
      </c>
      <c r="BW15" s="73">
        <v>1.2530168537402899</v>
      </c>
      <c r="BX15" s="74">
        <v>0</v>
      </c>
      <c r="BY15" s="71">
        <v>872.74969622005403</v>
      </c>
      <c r="BZ15" s="75">
        <v>8325.4945011563796</v>
      </c>
    </row>
    <row r="16" spans="1:78" ht="15" customHeight="1" x14ac:dyDescent="0.3">
      <c r="A16" s="19" t="s">
        <v>34</v>
      </c>
      <c r="B16" s="11" t="s">
        <v>102</v>
      </c>
      <c r="C16" s="68">
        <v>3.4748846684426002E-2</v>
      </c>
      <c r="D16" s="69">
        <v>5.4659463997623801E-2</v>
      </c>
      <c r="E16" s="69">
        <v>2.0761870819825299E-4</v>
      </c>
      <c r="F16" s="69">
        <v>0.44498383460735602</v>
      </c>
      <c r="G16" s="69">
        <v>0.296349164254679</v>
      </c>
      <c r="H16" s="69">
        <v>0.41283892048468901</v>
      </c>
      <c r="I16" s="69">
        <v>6.5381387340306005E-2</v>
      </c>
      <c r="J16" s="69">
        <v>43.822944651384901</v>
      </c>
      <c r="K16" s="69">
        <v>1.05744968281365E-2</v>
      </c>
      <c r="L16" s="69">
        <v>4.0478172656095603</v>
      </c>
      <c r="M16" s="69">
        <v>743.24169611880302</v>
      </c>
      <c r="N16" s="69">
        <v>0</v>
      </c>
      <c r="O16" s="69">
        <v>2.5102592628524802E-2</v>
      </c>
      <c r="P16" s="69">
        <v>2.84002199224057E-3</v>
      </c>
      <c r="Q16" s="69">
        <v>1.75497121356568E-2</v>
      </c>
      <c r="R16" s="69">
        <v>0.226880515476617</v>
      </c>
      <c r="S16" s="69">
        <v>0.158180022156652</v>
      </c>
      <c r="T16" s="69">
        <v>3.8338546519277698E-2</v>
      </c>
      <c r="U16" s="69">
        <v>0.87723413146981799</v>
      </c>
      <c r="V16" s="69">
        <v>9.2033046271511099E-2</v>
      </c>
      <c r="W16" s="69">
        <v>0.265186293911644</v>
      </c>
      <c r="X16" s="69">
        <v>0.80278385774496797</v>
      </c>
      <c r="Y16" s="69">
        <v>0.29050074377136398</v>
      </c>
      <c r="Z16" s="69">
        <v>0.212013888747447</v>
      </c>
      <c r="AA16" s="69">
        <v>0.282748057574704</v>
      </c>
      <c r="AB16" s="69">
        <v>0.117684552798048</v>
      </c>
      <c r="AC16" s="69">
        <v>0.144454071607583</v>
      </c>
      <c r="AD16" s="69">
        <v>3.5081378153354999E-2</v>
      </c>
      <c r="AE16" s="69">
        <v>0.59137072453309902</v>
      </c>
      <c r="AF16" s="69">
        <v>5.4743409305181498E-2</v>
      </c>
      <c r="AG16" s="69">
        <v>0.21006912045268999</v>
      </c>
      <c r="AH16" s="69">
        <v>1.0154802331252999</v>
      </c>
      <c r="AI16" s="69">
        <v>0.28466834014465597</v>
      </c>
      <c r="AJ16" s="69">
        <v>0.11964628255359</v>
      </c>
      <c r="AK16" s="69">
        <v>6.6496036306650602E-2</v>
      </c>
      <c r="AL16" s="69">
        <v>0.13965940141437599</v>
      </c>
      <c r="AM16" s="69">
        <v>0.47260778775242301</v>
      </c>
      <c r="AN16" s="69">
        <v>0.109818850529994</v>
      </c>
      <c r="AO16" s="69">
        <v>7.1471976801817702E-2</v>
      </c>
      <c r="AP16" s="69">
        <v>1.37150552654641</v>
      </c>
      <c r="AQ16" s="69">
        <v>0.55948249483075896</v>
      </c>
      <c r="AR16" s="69">
        <v>5.68467142382778E-2</v>
      </c>
      <c r="AS16" s="69">
        <v>5.6859467386413398E-3</v>
      </c>
      <c r="AT16" s="69">
        <v>0.69982724785689598</v>
      </c>
      <c r="AU16" s="69">
        <v>1.8175966636647601E-2</v>
      </c>
      <c r="AV16" s="69">
        <v>28.9378715490204</v>
      </c>
      <c r="AW16" s="69">
        <v>1071.8959139118199</v>
      </c>
      <c r="AX16" s="69">
        <v>1.8092185055161399E-4</v>
      </c>
      <c r="AY16" s="69">
        <v>0</v>
      </c>
      <c r="AZ16" s="69">
        <v>1.84628386194466E-3</v>
      </c>
      <c r="BA16" s="69">
        <v>0</v>
      </c>
      <c r="BB16" s="69">
        <v>6.9081184125266804</v>
      </c>
      <c r="BC16" s="69">
        <v>1.53281016967947E-2</v>
      </c>
      <c r="BD16" s="69">
        <v>6.9390750012160796E-3</v>
      </c>
      <c r="BE16" s="69">
        <v>5.8532705260191803E-3</v>
      </c>
      <c r="BF16" s="69">
        <v>2.5025987412752699E-3</v>
      </c>
      <c r="BG16" s="69">
        <v>8.7209640733190898E-3</v>
      </c>
      <c r="BH16" s="69">
        <v>7.0872172715613399E-2</v>
      </c>
      <c r="BI16" s="69">
        <v>9.1810349885839797E-3</v>
      </c>
      <c r="BJ16" s="69">
        <v>15.931111985062699</v>
      </c>
      <c r="BK16" s="69">
        <v>8.2667402427120606</v>
      </c>
      <c r="BL16" s="69">
        <v>1.0921935595801699</v>
      </c>
      <c r="BM16" s="69">
        <v>11.5371795350393</v>
      </c>
      <c r="BN16" s="69">
        <v>14.2612753791554</v>
      </c>
      <c r="BO16" s="69">
        <v>1.2099215218260699</v>
      </c>
      <c r="BP16" s="69">
        <v>0.79361943622515996</v>
      </c>
      <c r="BQ16" s="70">
        <v>0</v>
      </c>
      <c r="BR16" s="71">
        <v>1962.8237392178601</v>
      </c>
      <c r="BS16" s="72">
        <v>0</v>
      </c>
      <c r="BT16" s="73">
        <v>0</v>
      </c>
      <c r="BU16" s="73">
        <v>0</v>
      </c>
      <c r="BV16" s="73">
        <v>754.96736464840001</v>
      </c>
      <c r="BW16" s="73">
        <v>1.34805710999402</v>
      </c>
      <c r="BX16" s="74">
        <v>0</v>
      </c>
      <c r="BY16" s="71">
        <v>756.315421758394</v>
      </c>
      <c r="BZ16" s="75">
        <v>2719.13916097625</v>
      </c>
    </row>
    <row r="17" spans="1:78" ht="15" customHeight="1" x14ac:dyDescent="0.3">
      <c r="A17" s="19" t="s">
        <v>35</v>
      </c>
      <c r="B17" s="11" t="s">
        <v>103</v>
      </c>
      <c r="C17" s="68">
        <v>0.111441022909294</v>
      </c>
      <c r="D17" s="69">
        <v>1.1599522985574999E-2</v>
      </c>
      <c r="E17" s="69">
        <v>5.7542389721584495E-4</v>
      </c>
      <c r="F17" s="69">
        <v>1.14695978025716E-4</v>
      </c>
      <c r="G17" s="69">
        <v>1.82588696786312E-2</v>
      </c>
      <c r="H17" s="69">
        <v>2.2339364079776301E-2</v>
      </c>
      <c r="I17" s="69">
        <v>1.72354460665224E-3</v>
      </c>
      <c r="J17" s="69">
        <v>2.2087328804164599E-2</v>
      </c>
      <c r="K17" s="69">
        <v>3.7800796651174501E-4</v>
      </c>
      <c r="L17" s="69">
        <v>2.2749417384224101E-2</v>
      </c>
      <c r="M17" s="69">
        <v>1.42230173378753E-3</v>
      </c>
      <c r="N17" s="69">
        <v>18.8423917205631</v>
      </c>
      <c r="O17" s="69">
        <v>3.7222039464991602E-3</v>
      </c>
      <c r="P17" s="69">
        <v>2.3730338620734401E-3</v>
      </c>
      <c r="Q17" s="69">
        <v>2.9141307129127501E-3</v>
      </c>
      <c r="R17" s="69">
        <v>1.1815433148666E-2</v>
      </c>
      <c r="S17" s="69">
        <v>8.72920466524124E-2</v>
      </c>
      <c r="T17" s="69">
        <v>8.5145527453900204E-3</v>
      </c>
      <c r="U17" s="69">
        <v>1.2450376633733799E-3</v>
      </c>
      <c r="V17" s="69">
        <v>6.3033680591331905E-4</v>
      </c>
      <c r="W17" s="69">
        <v>4.0857264811813001E-3</v>
      </c>
      <c r="X17" s="69">
        <v>1.1383976972500699E-3</v>
      </c>
      <c r="Y17" s="69">
        <v>9.2438923895782604E-3</v>
      </c>
      <c r="Z17" s="69">
        <v>5.5980373110376602E-3</v>
      </c>
      <c r="AA17" s="69">
        <v>1.6939520477450402E-2</v>
      </c>
      <c r="AB17" s="69">
        <v>1.33333631643503E-2</v>
      </c>
      <c r="AC17" s="69">
        <v>0</v>
      </c>
      <c r="AD17" s="69">
        <v>0</v>
      </c>
      <c r="AE17" s="69">
        <v>8.4312268039014107E-3</v>
      </c>
      <c r="AF17" s="69">
        <v>4.6643983302984797E-3</v>
      </c>
      <c r="AG17" s="69">
        <v>3.4528422355248902E-3</v>
      </c>
      <c r="AH17" s="69">
        <v>6.8034572327641096E-2</v>
      </c>
      <c r="AI17" s="69">
        <v>6.6211346406298104E-3</v>
      </c>
      <c r="AJ17" s="69">
        <v>4.0830657100178504E-3</v>
      </c>
      <c r="AK17" s="69">
        <v>9.3590734723703701E-4</v>
      </c>
      <c r="AL17" s="69">
        <v>5.8215597567741403E-3</v>
      </c>
      <c r="AM17" s="69">
        <v>2.6361376415045899E-2</v>
      </c>
      <c r="AN17" s="69">
        <v>2.73802148357331E-4</v>
      </c>
      <c r="AO17" s="69">
        <v>4.0458920940218403E-4</v>
      </c>
      <c r="AP17" s="69">
        <v>1.1324036626561999E-2</v>
      </c>
      <c r="AQ17" s="69">
        <v>5.1490322876423099E-2</v>
      </c>
      <c r="AR17" s="69">
        <v>9.967043800620161E-4</v>
      </c>
      <c r="AS17" s="69">
        <v>9.7417793822061405E-4</v>
      </c>
      <c r="AT17" s="69">
        <v>0</v>
      </c>
      <c r="AU17" s="69">
        <v>2.8550909537164702E-3</v>
      </c>
      <c r="AV17" s="69">
        <v>1.46254858802173E-3</v>
      </c>
      <c r="AW17" s="69">
        <v>7.3128779251439204E-3</v>
      </c>
      <c r="AX17" s="69">
        <v>4.8582560763623002E-3</v>
      </c>
      <c r="AY17" s="69">
        <v>7.5059884861419302E-4</v>
      </c>
      <c r="AZ17" s="69">
        <v>3.6248450348683902E-4</v>
      </c>
      <c r="BA17" s="69">
        <v>5.9004738959046498E-3</v>
      </c>
      <c r="BB17" s="69">
        <v>8.6296424026485706E-3</v>
      </c>
      <c r="BC17" s="69">
        <v>1.7873964944857799E-3</v>
      </c>
      <c r="BD17" s="69">
        <v>1.12513542731013E-2</v>
      </c>
      <c r="BE17" s="69">
        <v>2.5201190142483702E-3</v>
      </c>
      <c r="BF17" s="69">
        <v>5.2593409338645104E-3</v>
      </c>
      <c r="BG17" s="69">
        <v>3.3909223097013099E-3</v>
      </c>
      <c r="BH17" s="69">
        <v>2.2686778483559801E-2</v>
      </c>
      <c r="BI17" s="69">
        <v>0</v>
      </c>
      <c r="BJ17" s="69">
        <v>6.1446113669640498E-3</v>
      </c>
      <c r="BK17" s="69">
        <v>4.7652635475053003E-3</v>
      </c>
      <c r="BL17" s="69">
        <v>3.6675889424375501E-3</v>
      </c>
      <c r="BM17" s="69">
        <v>2.07570456835229E-3</v>
      </c>
      <c r="BN17" s="69">
        <v>1.11405224955647E-2</v>
      </c>
      <c r="BO17" s="69">
        <v>0</v>
      </c>
      <c r="BP17" s="69">
        <v>4.3362371275639496E-3</v>
      </c>
      <c r="BQ17" s="70">
        <v>0</v>
      </c>
      <c r="BR17" s="71">
        <v>19.528954463142401</v>
      </c>
      <c r="BS17" s="72">
        <v>0</v>
      </c>
      <c r="BT17" s="73">
        <v>0</v>
      </c>
      <c r="BU17" s="73">
        <v>0</v>
      </c>
      <c r="BV17" s="73">
        <v>21.421269529992099</v>
      </c>
      <c r="BW17" s="73">
        <v>0.113415364396701</v>
      </c>
      <c r="BX17" s="74">
        <v>0</v>
      </c>
      <c r="BY17" s="71">
        <v>21.5346848943888</v>
      </c>
      <c r="BZ17" s="75">
        <v>41.063639357531102</v>
      </c>
    </row>
    <row r="18" spans="1:78" ht="15" customHeight="1" x14ac:dyDescent="0.3">
      <c r="A18" s="19" t="s">
        <v>36</v>
      </c>
      <c r="B18" s="11" t="s">
        <v>104</v>
      </c>
      <c r="C18" s="68">
        <v>20.392287098733998</v>
      </c>
      <c r="D18" s="69">
        <v>0.12740864297958701</v>
      </c>
      <c r="E18" s="69">
        <v>1.0814568230944401E-2</v>
      </c>
      <c r="F18" s="69">
        <v>3.2118450281748201</v>
      </c>
      <c r="G18" s="69">
        <v>5.2745601610048398</v>
      </c>
      <c r="H18" s="69">
        <v>0.17215805686084601</v>
      </c>
      <c r="I18" s="69">
        <v>1.4726938688487399E-2</v>
      </c>
      <c r="J18" s="69">
        <v>0.28023205840856502</v>
      </c>
      <c r="K18" s="69">
        <v>2.8183613587089602</v>
      </c>
      <c r="L18" s="69">
        <v>6.71508868756671</v>
      </c>
      <c r="M18" s="69">
        <v>0.33263044552910798</v>
      </c>
      <c r="N18" s="69">
        <v>6.6661158831751296E-3</v>
      </c>
      <c r="O18" s="69">
        <v>259.25714695762798</v>
      </c>
      <c r="P18" s="69">
        <v>333.86214258634499</v>
      </c>
      <c r="Q18" s="69">
        <v>67.753233856981694</v>
      </c>
      <c r="R18" s="69">
        <v>0.30451610633013598</v>
      </c>
      <c r="S18" s="69">
        <v>5.9280305384598302</v>
      </c>
      <c r="T18" s="69">
        <v>8.4915306021194098E-2</v>
      </c>
      <c r="U18" s="69">
        <v>8.2921586210856092E-3</v>
      </c>
      <c r="V18" s="69">
        <v>7.9558533121932007E-3</v>
      </c>
      <c r="W18" s="69">
        <v>0.56389568561735903</v>
      </c>
      <c r="X18" s="69">
        <v>0.33882626143273398</v>
      </c>
      <c r="Y18" s="69">
        <v>0.236087953802052</v>
      </c>
      <c r="Z18" s="69">
        <v>1.5689354392222601</v>
      </c>
      <c r="AA18" s="69">
        <v>18.481819279876699</v>
      </c>
      <c r="AB18" s="69">
        <v>0.62088930153301003</v>
      </c>
      <c r="AC18" s="69">
        <v>0.12519586136771199</v>
      </c>
      <c r="AD18" s="69">
        <v>0.22909635709505399</v>
      </c>
      <c r="AE18" s="69">
        <v>0.43284635624573597</v>
      </c>
      <c r="AF18" s="69">
        <v>0.26031810305727998</v>
      </c>
      <c r="AG18" s="69">
        <v>1.0281167179420101</v>
      </c>
      <c r="AH18" s="69">
        <v>0.73621987552688395</v>
      </c>
      <c r="AI18" s="69">
        <v>1.9145782053207301</v>
      </c>
      <c r="AJ18" s="69">
        <v>30.8541395904723</v>
      </c>
      <c r="AK18" s="69">
        <v>3.1653874516310299</v>
      </c>
      <c r="AL18" s="69">
        <v>33.858765055598802</v>
      </c>
      <c r="AM18" s="69">
        <v>0.34461937900649398</v>
      </c>
      <c r="AN18" s="69">
        <v>0.418115927329412</v>
      </c>
      <c r="AO18" s="69">
        <v>0.27047873243106602</v>
      </c>
      <c r="AP18" s="69">
        <v>17.744263992319102</v>
      </c>
      <c r="AQ18" s="69">
        <v>7.2097496447717404</v>
      </c>
      <c r="AR18" s="69">
        <v>0.77650756560557599</v>
      </c>
      <c r="AS18" s="69">
        <v>2.53827405356786E-2</v>
      </c>
      <c r="AT18" s="69">
        <v>0.166344548742522</v>
      </c>
      <c r="AU18" s="69">
        <v>0.17535417613012499</v>
      </c>
      <c r="AV18" s="69">
        <v>77.596097683826301</v>
      </c>
      <c r="AW18" s="69">
        <v>50.498601328111803</v>
      </c>
      <c r="AX18" s="69">
        <v>2.9360247880965099E-2</v>
      </c>
      <c r="AY18" s="69">
        <v>0.150207182366346</v>
      </c>
      <c r="AZ18" s="69">
        <v>8.3890292977626305E-2</v>
      </c>
      <c r="BA18" s="69">
        <v>5.4867295822630897E-2</v>
      </c>
      <c r="BB18" s="69">
        <v>0.543804219762827</v>
      </c>
      <c r="BC18" s="69">
        <v>0.118819909040888</v>
      </c>
      <c r="BD18" s="69">
        <v>0.108820104319979</v>
      </c>
      <c r="BE18" s="69">
        <v>0.24224115981740699</v>
      </c>
      <c r="BF18" s="69">
        <v>0.220107369892593</v>
      </c>
      <c r="BG18" s="69">
        <v>0.111529712660381</v>
      </c>
      <c r="BH18" s="69">
        <v>3.5500379365469201</v>
      </c>
      <c r="BI18" s="69">
        <v>0.23183406896025199</v>
      </c>
      <c r="BJ18" s="69">
        <v>7.1262093314171899</v>
      </c>
      <c r="BK18" s="69">
        <v>12.3230915741152</v>
      </c>
      <c r="BL18" s="69">
        <v>6.0716872822677501E-3</v>
      </c>
      <c r="BM18" s="69">
        <v>8.4116163198768703</v>
      </c>
      <c r="BN18" s="69">
        <v>4.0026622293837404</v>
      </c>
      <c r="BO18" s="69">
        <v>0.13713560860546101</v>
      </c>
      <c r="BP18" s="69">
        <v>172.28374020616999</v>
      </c>
      <c r="BQ18" s="70">
        <v>0</v>
      </c>
      <c r="BR18" s="71">
        <v>1165.9396921959201</v>
      </c>
      <c r="BS18" s="72">
        <v>0</v>
      </c>
      <c r="BT18" s="73">
        <v>5.2452276278215099E-3</v>
      </c>
      <c r="BU18" s="73">
        <v>0</v>
      </c>
      <c r="BV18" s="73">
        <v>125.482252707977</v>
      </c>
      <c r="BW18" s="73">
        <v>1.9694945342536501</v>
      </c>
      <c r="BX18" s="74">
        <v>0</v>
      </c>
      <c r="BY18" s="71">
        <v>127.456992469859</v>
      </c>
      <c r="BZ18" s="75">
        <v>1293.39668466578</v>
      </c>
    </row>
    <row r="19" spans="1:78" ht="15" customHeight="1" x14ac:dyDescent="0.3">
      <c r="A19" s="19" t="s">
        <v>37</v>
      </c>
      <c r="B19" s="11" t="s">
        <v>105</v>
      </c>
      <c r="C19" s="68">
        <v>0.25817911309115099</v>
      </c>
      <c r="D19" s="69">
        <v>1.2365105126339801E-3</v>
      </c>
      <c r="E19" s="69">
        <v>2.01834962215933</v>
      </c>
      <c r="F19" s="69">
        <v>5.9657246484377299E-2</v>
      </c>
      <c r="G19" s="69">
        <v>32.345849332455003</v>
      </c>
      <c r="H19" s="69">
        <v>5.9847099297533901E-2</v>
      </c>
      <c r="I19" s="69">
        <v>4.8218657880499003E-3</v>
      </c>
      <c r="J19" s="69">
        <v>2.28073785069585</v>
      </c>
      <c r="K19" s="69">
        <v>1.7717717024096601E-2</v>
      </c>
      <c r="L19" s="69">
        <v>0.11283976911740599</v>
      </c>
      <c r="M19" s="69">
        <v>8.8326586442337707E-3</v>
      </c>
      <c r="N19" s="69">
        <v>4.7912707910321203E-3</v>
      </c>
      <c r="O19" s="69">
        <v>4.4533085868393503</v>
      </c>
      <c r="P19" s="69">
        <v>477.94526029229399</v>
      </c>
      <c r="Q19" s="69">
        <v>3.18105546635485</v>
      </c>
      <c r="R19" s="69">
        <v>1.10585512994054E-2</v>
      </c>
      <c r="S19" s="69">
        <v>0.31467109655776798</v>
      </c>
      <c r="T19" s="69">
        <v>8.9814658393907003E-3</v>
      </c>
      <c r="U19" s="69">
        <v>1.2222121269034401E-3</v>
      </c>
      <c r="V19" s="69">
        <v>8.0394570385756005E-4</v>
      </c>
      <c r="W19" s="69">
        <v>1.77212925363999E-2</v>
      </c>
      <c r="X19" s="69">
        <v>2.42047120271774</v>
      </c>
      <c r="Y19" s="69">
        <v>1.1545390920775099E-2</v>
      </c>
      <c r="Z19" s="69">
        <v>8.0050168297873397E-3</v>
      </c>
      <c r="AA19" s="69">
        <v>0.15575729555200901</v>
      </c>
      <c r="AB19" s="69">
        <v>3.7982893017242101</v>
      </c>
      <c r="AC19" s="69">
        <v>2.5386215333962401</v>
      </c>
      <c r="AD19" s="69">
        <v>0</v>
      </c>
      <c r="AE19" s="69">
        <v>14.3281005720041</v>
      </c>
      <c r="AF19" s="69">
        <v>6.3986207371884204E-3</v>
      </c>
      <c r="AG19" s="69">
        <v>9.5461490915830904E-3</v>
      </c>
      <c r="AH19" s="69">
        <v>0.243889111705616</v>
      </c>
      <c r="AI19" s="69">
        <v>0.101535154591874</v>
      </c>
      <c r="AJ19" s="69">
        <v>0.94743689762538097</v>
      </c>
      <c r="AK19" s="69">
        <v>2.55980911094475E-2</v>
      </c>
      <c r="AL19" s="69">
        <v>0.97897302441721801</v>
      </c>
      <c r="AM19" s="69">
        <v>8.1502272020069599E-2</v>
      </c>
      <c r="AN19" s="69">
        <v>20.142153717165201</v>
      </c>
      <c r="AO19" s="69">
        <v>35.610562958697997</v>
      </c>
      <c r="AP19" s="69">
        <v>8.2052818291270704</v>
      </c>
      <c r="AQ19" s="69">
        <v>90.464790677628301</v>
      </c>
      <c r="AR19" s="69">
        <v>51.206936240786703</v>
      </c>
      <c r="AS19" s="69">
        <v>2.24076980752691</v>
      </c>
      <c r="AT19" s="69">
        <v>27.619932950065401</v>
      </c>
      <c r="AU19" s="69">
        <v>30.532196812628001</v>
      </c>
      <c r="AV19" s="69">
        <v>21.907899520951901</v>
      </c>
      <c r="AW19" s="69">
        <v>46.245859343207101</v>
      </c>
      <c r="AX19" s="69">
        <v>4.1385144354197396E-3</v>
      </c>
      <c r="AY19" s="69">
        <v>28.034844805882301</v>
      </c>
      <c r="AZ19" s="69">
        <v>6.9364545225813403</v>
      </c>
      <c r="BA19" s="69">
        <v>2.7451325249597602E-2</v>
      </c>
      <c r="BB19" s="69">
        <v>101.757984920178</v>
      </c>
      <c r="BC19" s="69">
        <v>6.9930123050452799</v>
      </c>
      <c r="BD19" s="69">
        <v>1.45051590332959</v>
      </c>
      <c r="BE19" s="69">
        <v>38.073926100801003</v>
      </c>
      <c r="BF19" s="69">
        <v>9.7361502783883207</v>
      </c>
      <c r="BG19" s="69">
        <v>7.0202358826372199E-2</v>
      </c>
      <c r="BH19" s="69">
        <v>32.9072670080349</v>
      </c>
      <c r="BI19" s="69">
        <v>49.011384632992097</v>
      </c>
      <c r="BJ19" s="69">
        <v>179.419836810166</v>
      </c>
      <c r="BK19" s="69">
        <v>147.75883806020701</v>
      </c>
      <c r="BL19" s="69">
        <v>3.1242424324467999E-3</v>
      </c>
      <c r="BM19" s="69">
        <v>20.309973593404901</v>
      </c>
      <c r="BN19" s="69">
        <v>9.2532458175201793</v>
      </c>
      <c r="BO19" s="69">
        <v>23.826529529397199</v>
      </c>
      <c r="BP19" s="69">
        <v>212.89100577144001</v>
      </c>
      <c r="BQ19" s="70">
        <v>0</v>
      </c>
      <c r="BR19" s="71">
        <v>1751.40488295815</v>
      </c>
      <c r="BS19" s="72">
        <v>0</v>
      </c>
      <c r="BT19" s="73">
        <v>0</v>
      </c>
      <c r="BU19" s="73">
        <v>0</v>
      </c>
      <c r="BV19" s="73">
        <v>259.91147996960802</v>
      </c>
      <c r="BW19" s="73">
        <v>0.62379473992400503</v>
      </c>
      <c r="BX19" s="74">
        <v>0</v>
      </c>
      <c r="BY19" s="71">
        <v>260.53527470953202</v>
      </c>
      <c r="BZ19" s="75">
        <v>2011.9401576676801</v>
      </c>
    </row>
    <row r="20" spans="1:78" ht="15" customHeight="1" x14ac:dyDescent="0.3">
      <c r="A20" s="19" t="s">
        <v>38</v>
      </c>
      <c r="B20" s="11" t="s">
        <v>106</v>
      </c>
      <c r="C20" s="68">
        <v>4.0793501426324402E-2</v>
      </c>
      <c r="D20" s="69">
        <v>0.14420536789316701</v>
      </c>
      <c r="E20" s="69">
        <v>5.2721253875799602E-3</v>
      </c>
      <c r="F20" s="69">
        <v>3.5865165634790398E-2</v>
      </c>
      <c r="G20" s="69">
        <v>0.11994466666275901</v>
      </c>
      <c r="H20" s="69">
        <v>4.98047402633994E-2</v>
      </c>
      <c r="I20" s="69">
        <v>5.7330762734053298E-3</v>
      </c>
      <c r="J20" s="69">
        <v>0.540903639937652</v>
      </c>
      <c r="K20" s="69">
        <v>1.00444295356949E-2</v>
      </c>
      <c r="L20" s="69">
        <v>0.39843111177540902</v>
      </c>
      <c r="M20" s="69">
        <v>8.3645472590516301E-2</v>
      </c>
      <c r="N20" s="69">
        <v>1.3328868572214599E-2</v>
      </c>
      <c r="O20" s="69">
        <v>0.237732130441932</v>
      </c>
      <c r="P20" s="69">
        <v>1.28609219132671</v>
      </c>
      <c r="Q20" s="69">
        <v>378.89146337266197</v>
      </c>
      <c r="R20" s="69">
        <v>3.1441643025295098E-2</v>
      </c>
      <c r="S20" s="69">
        <v>47.046525837746799</v>
      </c>
      <c r="T20" s="69">
        <v>2.7411651832497899E-2</v>
      </c>
      <c r="U20" s="69">
        <v>7.7736469048206996E-3</v>
      </c>
      <c r="V20" s="69">
        <v>6.6625906299000698E-2</v>
      </c>
      <c r="W20" s="69">
        <v>8.2819015033701204E-2</v>
      </c>
      <c r="X20" s="69">
        <v>9.07447159902703E-2</v>
      </c>
      <c r="Y20" s="69">
        <v>0.206944236828634</v>
      </c>
      <c r="Z20" s="69">
        <v>2.2905116273891201E-2</v>
      </c>
      <c r="AA20" s="69">
        <v>0.56990228578748603</v>
      </c>
      <c r="AB20" s="69">
        <v>8.3513063277017699E-2</v>
      </c>
      <c r="AC20" s="69">
        <v>2.6025310666191698E-2</v>
      </c>
      <c r="AD20" s="69">
        <v>3.44464732872408E-3</v>
      </c>
      <c r="AE20" s="69">
        <v>1.86623460810115</v>
      </c>
      <c r="AF20" s="69">
        <v>2.6399674296269701E-2</v>
      </c>
      <c r="AG20" s="69">
        <v>6.7962745106943306E-2</v>
      </c>
      <c r="AH20" s="69">
        <v>0.10964606287530999</v>
      </c>
      <c r="AI20" s="69">
        <v>0.84327085429822801</v>
      </c>
      <c r="AJ20" s="69">
        <v>0.28177043372396299</v>
      </c>
      <c r="AK20" s="69">
        <v>2.4096901894645899E-2</v>
      </c>
      <c r="AL20" s="69">
        <v>23.208497445048799</v>
      </c>
      <c r="AM20" s="69">
        <v>5.6176805116284402E-2</v>
      </c>
      <c r="AN20" s="69">
        <v>4.71732643483326</v>
      </c>
      <c r="AO20" s="69">
        <v>0.12578843326084699</v>
      </c>
      <c r="AP20" s="69">
        <v>0.62047570602463997</v>
      </c>
      <c r="AQ20" s="69">
        <v>0.82653983487841298</v>
      </c>
      <c r="AR20" s="69">
        <v>0.45254288899601502</v>
      </c>
      <c r="AS20" s="69">
        <v>7.3063225909819098E-3</v>
      </c>
      <c r="AT20" s="69">
        <v>8.46166826704359E-2</v>
      </c>
      <c r="AU20" s="69">
        <v>8.4181863078460706E-2</v>
      </c>
      <c r="AV20" s="69">
        <v>0.21929599863320101</v>
      </c>
      <c r="AW20" s="69">
        <v>0.90569430089593805</v>
      </c>
      <c r="AX20" s="69">
        <v>8.5826599103362294E-3</v>
      </c>
      <c r="AY20" s="69">
        <v>1.4152793185046499</v>
      </c>
      <c r="AZ20" s="69">
        <v>2.3059087631661899E-2</v>
      </c>
      <c r="BA20" s="69">
        <v>3.0515595400092401</v>
      </c>
      <c r="BB20" s="69">
        <v>0.28042303767299898</v>
      </c>
      <c r="BC20" s="69">
        <v>2.7094210214741E-2</v>
      </c>
      <c r="BD20" s="69">
        <v>1.8758685814429899E-2</v>
      </c>
      <c r="BE20" s="69">
        <v>0.10687055054002299</v>
      </c>
      <c r="BF20" s="69">
        <v>7.0465566303781799E-2</v>
      </c>
      <c r="BG20" s="69">
        <v>1.9246073690003002E-2</v>
      </c>
      <c r="BH20" s="69">
        <v>0.12006796303471901</v>
      </c>
      <c r="BI20" s="69">
        <v>3.8351064778587101</v>
      </c>
      <c r="BJ20" s="69">
        <v>10.8588243008438</v>
      </c>
      <c r="BK20" s="69">
        <v>0.48260392850662898</v>
      </c>
      <c r="BL20" s="69">
        <v>1.2707112853514099E-2</v>
      </c>
      <c r="BM20" s="69">
        <v>0.226767114108096</v>
      </c>
      <c r="BN20" s="69">
        <v>0.20890344260117</v>
      </c>
      <c r="BO20" s="69">
        <v>6.6314844784146398E-2</v>
      </c>
      <c r="BP20" s="69">
        <v>0.86994569572803004</v>
      </c>
      <c r="BQ20" s="70">
        <v>0</v>
      </c>
      <c r="BR20" s="71">
        <v>486.35974054431199</v>
      </c>
      <c r="BS20" s="72">
        <v>0</v>
      </c>
      <c r="BT20" s="73">
        <v>0</v>
      </c>
      <c r="BU20" s="73">
        <v>0</v>
      </c>
      <c r="BV20" s="73">
        <v>626.90269802510898</v>
      </c>
      <c r="BW20" s="73">
        <v>0.18035409203918901</v>
      </c>
      <c r="BX20" s="74">
        <v>0</v>
      </c>
      <c r="BY20" s="71">
        <v>627.08305211714799</v>
      </c>
      <c r="BZ20" s="75">
        <v>1113.4427926614601</v>
      </c>
    </row>
    <row r="21" spans="1:78" ht="15" customHeight="1" x14ac:dyDescent="0.3">
      <c r="A21" s="19" t="s">
        <v>39</v>
      </c>
      <c r="B21" s="11" t="s">
        <v>107</v>
      </c>
      <c r="C21" s="68">
        <v>13.323805214480601</v>
      </c>
      <c r="D21" s="69">
        <v>10.848872453960499</v>
      </c>
      <c r="E21" s="69">
        <v>0</v>
      </c>
      <c r="F21" s="69">
        <v>2.3663034608848699E-3</v>
      </c>
      <c r="G21" s="69">
        <v>8.9837265979151606E-2</v>
      </c>
      <c r="H21" s="69">
        <v>7.5241408160605899E-2</v>
      </c>
      <c r="I21" s="69">
        <v>1.02968762394063E-2</v>
      </c>
      <c r="J21" s="69">
        <v>1.30832232106376</v>
      </c>
      <c r="K21" s="69">
        <v>3.40816429798411E-3</v>
      </c>
      <c r="L21" s="69">
        <v>7.6029068827742599</v>
      </c>
      <c r="M21" s="69">
        <v>3.0139002453719499</v>
      </c>
      <c r="N21" s="69">
        <v>0</v>
      </c>
      <c r="O21" s="69">
        <v>1.13711452998813E-3</v>
      </c>
      <c r="P21" s="69">
        <v>1.2843586701562699E-2</v>
      </c>
      <c r="Q21" s="69">
        <v>2.1816365492428901E-3</v>
      </c>
      <c r="R21" s="69">
        <v>208.972597686303</v>
      </c>
      <c r="S21" s="69">
        <v>30.751268248236801</v>
      </c>
      <c r="T21" s="69">
        <v>3.6871004064852101E-3</v>
      </c>
      <c r="U21" s="69">
        <v>7.8594458272923592E-3</v>
      </c>
      <c r="V21" s="69">
        <v>5.6958320735982497E-4</v>
      </c>
      <c r="W21" s="69">
        <v>2.3737649202976701E-2</v>
      </c>
      <c r="X21" s="69">
        <v>1.9212282129285101E-2</v>
      </c>
      <c r="Y21" s="69">
        <v>2.2880488890855699E-2</v>
      </c>
      <c r="Z21" s="69">
        <v>3.4317203262465199E-3</v>
      </c>
      <c r="AA21" s="69">
        <v>8.7235579214775497E-2</v>
      </c>
      <c r="AB21" s="69">
        <v>3.4399091322097501E-2</v>
      </c>
      <c r="AC21" s="69">
        <v>7.9115556657006897E-2</v>
      </c>
      <c r="AD21" s="69">
        <v>1.01319087018958E-2</v>
      </c>
      <c r="AE21" s="69">
        <v>8.1371644148153504</v>
      </c>
      <c r="AF21" s="69">
        <v>2.5451914958944499E-2</v>
      </c>
      <c r="AG21" s="69">
        <v>9.1440898177268304E-2</v>
      </c>
      <c r="AH21" s="69">
        <v>8.7579379261533195</v>
      </c>
      <c r="AI21" s="69">
        <v>6.4923850746030496</v>
      </c>
      <c r="AJ21" s="69">
        <v>1.4341448770729299</v>
      </c>
      <c r="AK21" s="69">
        <v>3.2999108900134901</v>
      </c>
      <c r="AL21" s="69">
        <v>223.10734355578001</v>
      </c>
      <c r="AM21" s="69">
        <v>0.120765213915571</v>
      </c>
      <c r="AN21" s="69">
        <v>9.4586248488363491</v>
      </c>
      <c r="AO21" s="69">
        <v>2.05217752948114E-2</v>
      </c>
      <c r="AP21" s="69">
        <v>159.40538729444501</v>
      </c>
      <c r="AQ21" s="69">
        <v>80.424404958385907</v>
      </c>
      <c r="AR21" s="69">
        <v>2.7091965476617498E-3</v>
      </c>
      <c r="AS21" s="69">
        <v>1.40327908143298E-3</v>
      </c>
      <c r="AT21" s="69">
        <v>0</v>
      </c>
      <c r="AU21" s="69">
        <v>1.38968939133744</v>
      </c>
      <c r="AV21" s="69">
        <v>7.0360652564944301E-3</v>
      </c>
      <c r="AW21" s="69">
        <v>0.12832652680380199</v>
      </c>
      <c r="AX21" s="69">
        <v>0</v>
      </c>
      <c r="AY21" s="69">
        <v>3.3667334301737002</v>
      </c>
      <c r="AZ21" s="69">
        <v>2.38750125133641E-4</v>
      </c>
      <c r="BA21" s="69">
        <v>4.0002785520636499E-4</v>
      </c>
      <c r="BB21" s="69">
        <v>9.8758610600268595E-4</v>
      </c>
      <c r="BC21" s="69">
        <v>9.0770965738785492</v>
      </c>
      <c r="BD21" s="69">
        <v>2.7996192835700899E-3</v>
      </c>
      <c r="BE21" s="69">
        <v>2.0362533414146999E-3</v>
      </c>
      <c r="BF21" s="69">
        <v>2.1022801995910401E-3</v>
      </c>
      <c r="BG21" s="69">
        <v>3.63207593248775E-3</v>
      </c>
      <c r="BH21" s="69">
        <v>3.97852042556501</v>
      </c>
      <c r="BI21" s="69">
        <v>2.5679588976898699E-3</v>
      </c>
      <c r="BJ21" s="69">
        <v>1.67708673700633</v>
      </c>
      <c r="BK21" s="69">
        <v>1.81783888222307E-2</v>
      </c>
      <c r="BL21" s="69">
        <v>7.4326787379064003E-4</v>
      </c>
      <c r="BM21" s="69">
        <v>3.2979341368941303E-2</v>
      </c>
      <c r="BN21" s="69">
        <v>5.9029860633762497E-2</v>
      </c>
      <c r="BO21" s="69">
        <v>7.0204962337557203E-4</v>
      </c>
      <c r="BP21" s="69">
        <v>7.7373589588531901</v>
      </c>
      <c r="BQ21" s="70">
        <v>0</v>
      </c>
      <c r="BR21" s="71">
        <v>804.57908750101501</v>
      </c>
      <c r="BS21" s="72">
        <v>0</v>
      </c>
      <c r="BT21" s="73">
        <v>0</v>
      </c>
      <c r="BU21" s="73">
        <v>0</v>
      </c>
      <c r="BV21" s="73">
        <v>57.362423206612299</v>
      </c>
      <c r="BW21" s="73">
        <v>3.59616927011731</v>
      </c>
      <c r="BX21" s="74">
        <v>0</v>
      </c>
      <c r="BY21" s="71">
        <v>60.958592476729699</v>
      </c>
      <c r="BZ21" s="75">
        <v>865.53767997774503</v>
      </c>
    </row>
    <row r="22" spans="1:78" ht="15" customHeight="1" x14ac:dyDescent="0.3">
      <c r="A22" s="19" t="s">
        <v>40</v>
      </c>
      <c r="B22" s="11" t="s">
        <v>108</v>
      </c>
      <c r="C22" s="68">
        <v>16.0270509763658</v>
      </c>
      <c r="D22" s="69">
        <v>4.3679939531669802</v>
      </c>
      <c r="E22" s="69">
        <v>2.1358913003693801E-4</v>
      </c>
      <c r="F22" s="69">
        <v>3.8930361851050303E-2</v>
      </c>
      <c r="G22" s="69">
        <v>3.6007782158191102</v>
      </c>
      <c r="H22" s="69">
        <v>10.8235884594681</v>
      </c>
      <c r="I22" s="69">
        <v>0.218789300623422</v>
      </c>
      <c r="J22" s="69">
        <v>86.880331815787599</v>
      </c>
      <c r="K22" s="69">
        <v>2.53376280555506E-2</v>
      </c>
      <c r="L22" s="69">
        <v>90.112487914356194</v>
      </c>
      <c r="M22" s="69">
        <v>6.0318359921305102</v>
      </c>
      <c r="N22" s="69">
        <v>21.992974511444199</v>
      </c>
      <c r="O22" s="69">
        <v>14.702699435748899</v>
      </c>
      <c r="P22" s="69">
        <v>9.4513745442544295</v>
      </c>
      <c r="Q22" s="69">
        <v>11.5255161109623</v>
      </c>
      <c r="R22" s="69">
        <v>46.790024725825198</v>
      </c>
      <c r="S22" s="69">
        <v>948.29192001997501</v>
      </c>
      <c r="T22" s="69">
        <v>33.736317362112302</v>
      </c>
      <c r="U22" s="69">
        <v>4.8956151146622302</v>
      </c>
      <c r="V22" s="69">
        <v>2.4943328141237702</v>
      </c>
      <c r="W22" s="69">
        <v>4.0847174081370996</v>
      </c>
      <c r="X22" s="69">
        <v>4.6910346311074296</v>
      </c>
      <c r="Y22" s="69">
        <v>38.5803087595039</v>
      </c>
      <c r="Z22" s="69">
        <v>22.0174177032629</v>
      </c>
      <c r="AA22" s="69">
        <v>67.034708900212493</v>
      </c>
      <c r="AB22" s="69">
        <v>52.435376643121501</v>
      </c>
      <c r="AC22" s="69">
        <v>6.7341611044417299E-2</v>
      </c>
      <c r="AD22" s="69">
        <v>0.21916307234068</v>
      </c>
      <c r="AE22" s="69">
        <v>33.543649110097</v>
      </c>
      <c r="AF22" s="69">
        <v>18.751774855707101</v>
      </c>
      <c r="AG22" s="69">
        <v>9.3291551075970904</v>
      </c>
      <c r="AH22" s="69">
        <v>10.3400249562144</v>
      </c>
      <c r="AI22" s="69">
        <v>10.226042887603199</v>
      </c>
      <c r="AJ22" s="69">
        <v>16.316526248122099</v>
      </c>
      <c r="AK22" s="69">
        <v>0.156510991909214</v>
      </c>
      <c r="AL22" s="69">
        <v>23.644429115580198</v>
      </c>
      <c r="AM22" s="69">
        <v>3.1936621252274402</v>
      </c>
      <c r="AN22" s="69">
        <v>1.15200117683612</v>
      </c>
      <c r="AO22" s="69">
        <v>1.2565170900950899</v>
      </c>
      <c r="AP22" s="69">
        <v>11.5857887286944</v>
      </c>
      <c r="AQ22" s="69">
        <v>200.384033232142</v>
      </c>
      <c r="AR22" s="69">
        <v>4.2305879807965496</v>
      </c>
      <c r="AS22" s="69">
        <v>1.6424096960198</v>
      </c>
      <c r="AT22" s="69">
        <v>2.2622206318286701E-2</v>
      </c>
      <c r="AU22" s="69">
        <v>8.8315496089665402</v>
      </c>
      <c r="AV22" s="69">
        <v>5.8456012330795097</v>
      </c>
      <c r="AW22" s="69">
        <v>28.816550627161</v>
      </c>
      <c r="AX22" s="69">
        <v>19.342132997018801</v>
      </c>
      <c r="AY22" s="69">
        <v>3.0927694164147801</v>
      </c>
      <c r="AZ22" s="69">
        <v>1.1595964501773699</v>
      </c>
      <c r="BA22" s="69">
        <v>23.6699866722767</v>
      </c>
      <c r="BB22" s="69">
        <v>34.261722508257598</v>
      </c>
      <c r="BC22" s="69">
        <v>7.1515074667666401</v>
      </c>
      <c r="BD22" s="69">
        <v>44.459409893234898</v>
      </c>
      <c r="BE22" s="69">
        <v>10.0387396685109</v>
      </c>
      <c r="BF22" s="69">
        <v>22.7889826072037</v>
      </c>
      <c r="BG22" s="69">
        <v>13.3895353163621</v>
      </c>
      <c r="BH22" s="69">
        <v>74.397747222391899</v>
      </c>
      <c r="BI22" s="69">
        <v>1.2094787835440399E-3</v>
      </c>
      <c r="BJ22" s="69">
        <v>24.153010580225398</v>
      </c>
      <c r="BK22" s="69">
        <v>18.893857205959101</v>
      </c>
      <c r="BL22" s="69">
        <v>14.4257161678001</v>
      </c>
      <c r="BM22" s="69">
        <v>7.2488439644851699</v>
      </c>
      <c r="BN22" s="69">
        <v>44.518457401136899</v>
      </c>
      <c r="BO22" s="69">
        <v>0.16239984299565499</v>
      </c>
      <c r="BP22" s="69">
        <v>18.431208957982101</v>
      </c>
      <c r="BQ22" s="70">
        <v>0</v>
      </c>
      <c r="BR22" s="71">
        <v>2271.99445237074</v>
      </c>
      <c r="BS22" s="72">
        <v>0</v>
      </c>
      <c r="BT22" s="73">
        <v>3.0040849141159599E-2</v>
      </c>
      <c r="BU22" s="73">
        <v>0</v>
      </c>
      <c r="BV22" s="73">
        <v>158.76685591128299</v>
      </c>
      <c r="BW22" s="73">
        <v>13.5740175325096</v>
      </c>
      <c r="BX22" s="74">
        <v>0</v>
      </c>
      <c r="BY22" s="71">
        <v>172.37091429293301</v>
      </c>
      <c r="BZ22" s="75">
        <v>2444.3653666636801</v>
      </c>
    </row>
    <row r="23" spans="1:78" ht="15" customHeight="1" x14ac:dyDescent="0.3">
      <c r="A23" s="19" t="s">
        <v>41</v>
      </c>
      <c r="B23" s="11" t="s">
        <v>109</v>
      </c>
      <c r="C23" s="68">
        <v>0.120504432550368</v>
      </c>
      <c r="D23" s="69">
        <v>2.9393051867245199E-2</v>
      </c>
      <c r="E23" s="69">
        <v>0</v>
      </c>
      <c r="F23" s="69">
        <v>2.4945597530600602E-2</v>
      </c>
      <c r="G23" s="69">
        <v>0.11674010112979601</v>
      </c>
      <c r="H23" s="69">
        <v>0.16337274761159301</v>
      </c>
      <c r="I23" s="69">
        <v>1.11108198455852E-2</v>
      </c>
      <c r="J23" s="69">
        <v>0.65085711301419702</v>
      </c>
      <c r="K23" s="69">
        <v>1.4093776982691E-2</v>
      </c>
      <c r="L23" s="69">
        <v>2.49532472012553</v>
      </c>
      <c r="M23" s="69">
        <v>6.7733986544501503</v>
      </c>
      <c r="N23" s="69">
        <v>0.112282389407231</v>
      </c>
      <c r="O23" s="69">
        <v>0.12594114391979999</v>
      </c>
      <c r="P23" s="69">
        <v>0.35320930459607602</v>
      </c>
      <c r="Q23" s="69">
        <v>0.115594261761767</v>
      </c>
      <c r="R23" s="69">
        <v>0.32270467740573799</v>
      </c>
      <c r="S23" s="69">
        <v>6.0397994604316398</v>
      </c>
      <c r="T23" s="69">
        <v>21.808688772016801</v>
      </c>
      <c r="U23" s="69">
        <v>3.1880898007342201E-2</v>
      </c>
      <c r="V23" s="69">
        <v>2.14932187162718E-2</v>
      </c>
      <c r="W23" s="69">
        <v>0.143004182200656</v>
      </c>
      <c r="X23" s="69">
        <v>0.116363009358862</v>
      </c>
      <c r="Y23" s="69">
        <v>0.282343875804421</v>
      </c>
      <c r="Z23" s="69">
        <v>0.14524350060801</v>
      </c>
      <c r="AA23" s="69">
        <v>1.52362857813209</v>
      </c>
      <c r="AB23" s="69">
        <v>0.54489292254690103</v>
      </c>
      <c r="AC23" s="69">
        <v>1.9793935502741E-2</v>
      </c>
      <c r="AD23" s="69">
        <v>3.65409183299771E-4</v>
      </c>
      <c r="AE23" s="69">
        <v>0.27569292541349699</v>
      </c>
      <c r="AF23" s="69">
        <v>2.53600956314743</v>
      </c>
      <c r="AG23" s="69">
        <v>0.15754318323499</v>
      </c>
      <c r="AH23" s="69">
        <v>0.54499651748073996</v>
      </c>
      <c r="AI23" s="69">
        <v>0.25469633853513601</v>
      </c>
      <c r="AJ23" s="69">
        <v>0.24815185146049901</v>
      </c>
      <c r="AK23" s="69">
        <v>2.1338095300625099E-2</v>
      </c>
      <c r="AL23" s="69">
        <v>0.45032375946383102</v>
      </c>
      <c r="AM23" s="69">
        <v>0.29340702167489102</v>
      </c>
      <c r="AN23" s="69">
        <v>4.5613691177083499E-2</v>
      </c>
      <c r="AO23" s="69">
        <v>0.110079985500401</v>
      </c>
      <c r="AP23" s="69">
        <v>2.31306182917359</v>
      </c>
      <c r="AQ23" s="69">
        <v>168.770799627146</v>
      </c>
      <c r="AR23" s="69">
        <v>5.3624437131466099E-2</v>
      </c>
      <c r="AS23" s="69">
        <v>2.2349473483265499E-2</v>
      </c>
      <c r="AT23" s="69">
        <v>0.81349720863714403</v>
      </c>
      <c r="AU23" s="69">
        <v>7.1140224330529703E-2</v>
      </c>
      <c r="AV23" s="69">
        <v>5.87533944194139E-2</v>
      </c>
      <c r="AW23" s="69">
        <v>1.5157264353608999</v>
      </c>
      <c r="AX23" s="69">
        <v>20.729273734406501</v>
      </c>
      <c r="AY23" s="69">
        <v>6.1188637751705404</v>
      </c>
      <c r="AZ23" s="69">
        <v>11.6971422566511</v>
      </c>
      <c r="BA23" s="69">
        <v>29.4785724038192</v>
      </c>
      <c r="BB23" s="69">
        <v>29.111877202986701</v>
      </c>
      <c r="BC23" s="69">
        <v>7.2157788062808503</v>
      </c>
      <c r="BD23" s="69">
        <v>11.902256545253501</v>
      </c>
      <c r="BE23" s="69">
        <v>5.5567698774213703</v>
      </c>
      <c r="BF23" s="69">
        <v>95.061272594138799</v>
      </c>
      <c r="BG23" s="69">
        <v>1.700119025007</v>
      </c>
      <c r="BH23" s="69">
        <v>31.520144680978898</v>
      </c>
      <c r="BI23" s="69">
        <v>0</v>
      </c>
      <c r="BJ23" s="69">
        <v>27.3150607559866</v>
      </c>
      <c r="BK23" s="69">
        <v>5.5773513666088297</v>
      </c>
      <c r="BL23" s="69">
        <v>7.32159422212533E-2</v>
      </c>
      <c r="BM23" s="69">
        <v>3.5591410240224501</v>
      </c>
      <c r="BN23" s="69">
        <v>1.6612088659784701</v>
      </c>
      <c r="BO23" s="69">
        <v>5.3624232333624402</v>
      </c>
      <c r="BP23" s="69">
        <v>7.0034118900306099</v>
      </c>
      <c r="BQ23" s="70">
        <v>0</v>
      </c>
      <c r="BR23" s="71">
        <v>521.30766009710396</v>
      </c>
      <c r="BS23" s="72">
        <v>0</v>
      </c>
      <c r="BT23" s="73">
        <v>0</v>
      </c>
      <c r="BU23" s="73">
        <v>0</v>
      </c>
      <c r="BV23" s="73">
        <v>20.769179461204999</v>
      </c>
      <c r="BW23" s="73">
        <v>1.08084045355703</v>
      </c>
      <c r="BX23" s="74">
        <v>0</v>
      </c>
      <c r="BY23" s="71">
        <v>21.8500199147621</v>
      </c>
      <c r="BZ23" s="75">
        <v>543.15768001186598</v>
      </c>
    </row>
    <row r="24" spans="1:78" ht="15" customHeight="1" x14ac:dyDescent="0.3">
      <c r="A24" s="19" t="s">
        <v>42</v>
      </c>
      <c r="B24" s="11" t="s">
        <v>110</v>
      </c>
      <c r="C24" s="68">
        <v>430.06029174519898</v>
      </c>
      <c r="D24" s="69">
        <v>252.37762130202299</v>
      </c>
      <c r="E24" s="69">
        <v>24.762074441866901</v>
      </c>
      <c r="F24" s="69">
        <v>45.091961561249597</v>
      </c>
      <c r="G24" s="69">
        <v>140.78503270124301</v>
      </c>
      <c r="H24" s="69">
        <v>209.9951103898</v>
      </c>
      <c r="I24" s="69">
        <v>38.795026747504899</v>
      </c>
      <c r="J24" s="69">
        <v>166.27293782436999</v>
      </c>
      <c r="K24" s="69">
        <v>37.739529589364103</v>
      </c>
      <c r="L24" s="69">
        <v>132.327484739705</v>
      </c>
      <c r="M24" s="69">
        <v>40.312208529528299</v>
      </c>
      <c r="N24" s="69">
        <v>0</v>
      </c>
      <c r="O24" s="69">
        <v>11.4821551736897</v>
      </c>
      <c r="P24" s="69">
        <v>2.4994623308259598</v>
      </c>
      <c r="Q24" s="69">
        <v>4.8629569398075398</v>
      </c>
      <c r="R24" s="69">
        <v>25.3634450898635</v>
      </c>
      <c r="S24" s="69">
        <v>115.57393416943</v>
      </c>
      <c r="T24" s="69">
        <v>5.1548820987846002E-2</v>
      </c>
      <c r="U24" s="69">
        <v>484.02643903433398</v>
      </c>
      <c r="V24" s="69">
        <v>39.020122246137603</v>
      </c>
      <c r="W24" s="69">
        <v>677.62788861717797</v>
      </c>
      <c r="X24" s="69">
        <v>46.275089798395399</v>
      </c>
      <c r="Y24" s="69">
        <v>14.1832322793686</v>
      </c>
      <c r="Z24" s="69">
        <v>3.2053111358280502</v>
      </c>
      <c r="AA24" s="69">
        <v>67.090191224124197</v>
      </c>
      <c r="AB24" s="69">
        <v>148.762785561458</v>
      </c>
      <c r="AC24" s="69">
        <v>123.87602919808199</v>
      </c>
      <c r="AD24" s="69">
        <v>132.45650708103901</v>
      </c>
      <c r="AE24" s="69">
        <v>14.1981917302271</v>
      </c>
      <c r="AF24" s="69">
        <v>2.5929406246290698</v>
      </c>
      <c r="AG24" s="69">
        <v>26.6389541575987</v>
      </c>
      <c r="AH24" s="69">
        <v>18.8597573161619</v>
      </c>
      <c r="AI24" s="69">
        <v>18.838508361706399</v>
      </c>
      <c r="AJ24" s="69">
        <v>14.1602626003453</v>
      </c>
      <c r="AK24" s="69">
        <v>2.81809852388619</v>
      </c>
      <c r="AL24" s="69">
        <v>6.8944390713501598</v>
      </c>
      <c r="AM24" s="69">
        <v>9.7257624933249005</v>
      </c>
      <c r="AN24" s="69">
        <v>168.718991883786</v>
      </c>
      <c r="AO24" s="69">
        <v>45.060103851244001</v>
      </c>
      <c r="AP24" s="69">
        <v>220.38223533644</v>
      </c>
      <c r="AQ24" s="69">
        <v>828.962188254691</v>
      </c>
      <c r="AR24" s="69">
        <v>1685.80331874072</v>
      </c>
      <c r="AS24" s="69">
        <v>94.770205712662502</v>
      </c>
      <c r="AT24" s="69">
        <v>166.771590532842</v>
      </c>
      <c r="AU24" s="69">
        <v>74.555101132783903</v>
      </c>
      <c r="AV24" s="69">
        <v>5.8187763471713199</v>
      </c>
      <c r="AW24" s="69">
        <v>268.00759571433002</v>
      </c>
      <c r="AX24" s="69">
        <v>2.23721853067017</v>
      </c>
      <c r="AY24" s="69">
        <v>7.2091231889601399</v>
      </c>
      <c r="AZ24" s="69">
        <v>10.5702826114878</v>
      </c>
      <c r="BA24" s="69">
        <v>26.8937034171833</v>
      </c>
      <c r="BB24" s="69">
        <v>64.550687935249002</v>
      </c>
      <c r="BC24" s="69">
        <v>7.6238036338288504</v>
      </c>
      <c r="BD24" s="69">
        <v>75.164699727194105</v>
      </c>
      <c r="BE24" s="69">
        <v>42.186755680123198</v>
      </c>
      <c r="BF24" s="69">
        <v>17.503567940217899</v>
      </c>
      <c r="BG24" s="69">
        <v>78.738652282833101</v>
      </c>
      <c r="BH24" s="69">
        <v>60.510958700501398</v>
      </c>
      <c r="BI24" s="69">
        <v>17.236814692824801</v>
      </c>
      <c r="BJ24" s="69">
        <v>220.89507111948001</v>
      </c>
      <c r="BK24" s="69">
        <v>29.0254307779804</v>
      </c>
      <c r="BL24" s="69">
        <v>7.2062342633470902</v>
      </c>
      <c r="BM24" s="69">
        <v>11.326730478243899</v>
      </c>
      <c r="BN24" s="69">
        <v>26.8482922110354</v>
      </c>
      <c r="BO24" s="69">
        <v>8.4022719180678802</v>
      </c>
      <c r="BP24" s="69">
        <v>53.532288240188301</v>
      </c>
      <c r="BQ24" s="70">
        <v>0</v>
      </c>
      <c r="BR24" s="71">
        <v>7856.1159880077203</v>
      </c>
      <c r="BS24" s="72">
        <v>10.373121206544299</v>
      </c>
      <c r="BT24" s="73">
        <v>0</v>
      </c>
      <c r="BU24" s="73">
        <v>0</v>
      </c>
      <c r="BV24" s="73">
        <v>14.741130373992499</v>
      </c>
      <c r="BW24" s="73">
        <v>4.3621293998730999E-2</v>
      </c>
      <c r="BX24" s="74">
        <v>0</v>
      </c>
      <c r="BY24" s="71">
        <v>25.157872874535599</v>
      </c>
      <c r="BZ24" s="75">
        <v>7881.2738608822601</v>
      </c>
    </row>
    <row r="25" spans="1:78" ht="15" customHeight="1" x14ac:dyDescent="0.3">
      <c r="A25" s="19" t="s">
        <v>43</v>
      </c>
      <c r="B25" s="11" t="s">
        <v>111</v>
      </c>
      <c r="C25" s="68">
        <v>3.9145950109496899</v>
      </c>
      <c r="D25" s="69">
        <v>14.7923699719907</v>
      </c>
      <c r="E25" s="69">
        <v>0</v>
      </c>
      <c r="F25" s="69">
        <v>2.5290846618252798E-2</v>
      </c>
      <c r="G25" s="69">
        <v>25.207966708603099</v>
      </c>
      <c r="H25" s="69">
        <v>0.28920326781713601</v>
      </c>
      <c r="I25" s="69">
        <v>6.3721646393235298E-2</v>
      </c>
      <c r="J25" s="69">
        <v>51.149379994186802</v>
      </c>
      <c r="K25" s="69">
        <v>55.284940306617301</v>
      </c>
      <c r="L25" s="69">
        <v>178.97496517232901</v>
      </c>
      <c r="M25" s="69">
        <v>34.526498439117297</v>
      </c>
      <c r="N25" s="69">
        <v>0</v>
      </c>
      <c r="O25" s="69">
        <v>4.3169231135432203E-2</v>
      </c>
      <c r="P25" s="69">
        <v>1.39355569943455E-2</v>
      </c>
      <c r="Q25" s="69">
        <v>1.35113632166927E-2</v>
      </c>
      <c r="R25" s="69">
        <v>1.9127808063318701E-2</v>
      </c>
      <c r="S25" s="69">
        <v>0.58677633813026298</v>
      </c>
      <c r="T25" s="69">
        <v>0</v>
      </c>
      <c r="U25" s="69">
        <v>710.03576050748995</v>
      </c>
      <c r="V25" s="69">
        <v>72.031219354232206</v>
      </c>
      <c r="W25" s="69">
        <v>12.865647211197601</v>
      </c>
      <c r="X25" s="69">
        <v>21.6240307007496</v>
      </c>
      <c r="Y25" s="69">
        <v>59.996690928298399</v>
      </c>
      <c r="Z25" s="69">
        <v>27.2787732488936</v>
      </c>
      <c r="AA25" s="69">
        <v>7.7217942478357698E-2</v>
      </c>
      <c r="AB25" s="69">
        <v>5.40469260884738E-2</v>
      </c>
      <c r="AC25" s="69">
        <v>3.2200537457091997E-2</v>
      </c>
      <c r="AD25" s="69">
        <v>3.8674782704374702E-2</v>
      </c>
      <c r="AE25" s="69">
        <v>1.0387190681440099</v>
      </c>
      <c r="AF25" s="69">
        <v>7.36361363912827E-3</v>
      </c>
      <c r="AG25" s="69">
        <v>1.2478077654235999E-2</v>
      </c>
      <c r="AH25" s="69">
        <v>0.55514006649652703</v>
      </c>
      <c r="AI25" s="69">
        <v>3.4646862547120398E-2</v>
      </c>
      <c r="AJ25" s="69">
        <v>1.12139780556326E-2</v>
      </c>
      <c r="AK25" s="69">
        <v>2.2056641188615601E-2</v>
      </c>
      <c r="AL25" s="69">
        <v>8.0527078171232398E-3</v>
      </c>
      <c r="AM25" s="69">
        <v>0.27438802104618998</v>
      </c>
      <c r="AN25" s="69">
        <v>0</v>
      </c>
      <c r="AO25" s="69">
        <v>2.02513090619891E-2</v>
      </c>
      <c r="AP25" s="69">
        <v>15.214611114268299</v>
      </c>
      <c r="AQ25" s="69">
        <v>47.937478613777003</v>
      </c>
      <c r="AR25" s="69">
        <v>28.6765990818636</v>
      </c>
      <c r="AS25" s="69">
        <v>0.255891375338341</v>
      </c>
      <c r="AT25" s="69">
        <v>1.56965033308004E-3</v>
      </c>
      <c r="AU25" s="69">
        <v>2.5128717080143401</v>
      </c>
      <c r="AV25" s="69">
        <v>0.47365412381993999</v>
      </c>
      <c r="AW25" s="69">
        <v>32.341958079164101</v>
      </c>
      <c r="AX25" s="69">
        <v>0.16506414360945099</v>
      </c>
      <c r="AY25" s="69">
        <v>3.0170054182401401E-2</v>
      </c>
      <c r="AZ25" s="69">
        <v>6.3661267411088199E-2</v>
      </c>
      <c r="BA25" s="69">
        <v>0</v>
      </c>
      <c r="BB25" s="69">
        <v>4.7894809912566796</v>
      </c>
      <c r="BC25" s="69">
        <v>0.63154976685355102</v>
      </c>
      <c r="BD25" s="69">
        <v>5.5709878806907698</v>
      </c>
      <c r="BE25" s="69">
        <v>5.3932641757240001</v>
      </c>
      <c r="BF25" s="69">
        <v>2.7481318907091699</v>
      </c>
      <c r="BG25" s="69">
        <v>8.0161964358570597</v>
      </c>
      <c r="BH25" s="69">
        <v>11.3014166646063</v>
      </c>
      <c r="BI25" s="69">
        <v>2.19372563544455</v>
      </c>
      <c r="BJ25" s="69">
        <v>23.021800980432701</v>
      </c>
      <c r="BK25" s="69">
        <v>4.4108651337923401</v>
      </c>
      <c r="BL25" s="69">
        <v>0.33357118988337697</v>
      </c>
      <c r="BM25" s="69">
        <v>3.7811653540668102</v>
      </c>
      <c r="BN25" s="69">
        <v>3.3858943122368799</v>
      </c>
      <c r="BO25" s="69">
        <v>0.700390780467393</v>
      </c>
      <c r="BP25" s="69">
        <v>8.0564311073994901</v>
      </c>
      <c r="BQ25" s="70">
        <v>0</v>
      </c>
      <c r="BR25" s="71">
        <v>1482.9324256586101</v>
      </c>
      <c r="BS25" s="72">
        <v>0</v>
      </c>
      <c r="BT25" s="73">
        <v>0</v>
      </c>
      <c r="BU25" s="73">
        <v>0</v>
      </c>
      <c r="BV25" s="73">
        <v>102.408289589905</v>
      </c>
      <c r="BW25" s="73">
        <v>0.93349569157284296</v>
      </c>
      <c r="BX25" s="74">
        <v>0</v>
      </c>
      <c r="BY25" s="71">
        <v>103.341785281478</v>
      </c>
      <c r="BZ25" s="75">
        <v>1586.2742109400799</v>
      </c>
    </row>
    <row r="26" spans="1:78" ht="15" customHeight="1" x14ac:dyDescent="0.3">
      <c r="A26" s="19" t="s">
        <v>44</v>
      </c>
      <c r="B26" s="32" t="s">
        <v>112</v>
      </c>
      <c r="C26" s="68">
        <v>1331.60433704406</v>
      </c>
      <c r="D26" s="69">
        <v>146.682327165787</v>
      </c>
      <c r="E26" s="69">
        <v>7.7552048371453504</v>
      </c>
      <c r="F26" s="69">
        <v>8.9093351870722195</v>
      </c>
      <c r="G26" s="69">
        <v>124.280586072426</v>
      </c>
      <c r="H26" s="69">
        <v>19.821003455682401</v>
      </c>
      <c r="I26" s="69">
        <v>4.8829559982741504</v>
      </c>
      <c r="J26" s="69">
        <v>18.8751999567965</v>
      </c>
      <c r="K26" s="69">
        <v>8.1742951690040595</v>
      </c>
      <c r="L26" s="69">
        <v>40.543510047374397</v>
      </c>
      <c r="M26" s="69">
        <v>3.6721731947319798</v>
      </c>
      <c r="N26" s="69">
        <v>0</v>
      </c>
      <c r="O26" s="69">
        <v>113.681120143778</v>
      </c>
      <c r="P26" s="69">
        <v>5.17798587653634</v>
      </c>
      <c r="Q26" s="69">
        <v>36.942364078007998</v>
      </c>
      <c r="R26" s="69">
        <v>33.636863469474697</v>
      </c>
      <c r="S26" s="69">
        <v>214.607451655793</v>
      </c>
      <c r="T26" s="69">
        <v>0.99320341093878906</v>
      </c>
      <c r="U26" s="69">
        <v>13.8703785315028</v>
      </c>
      <c r="V26" s="69">
        <v>40.821110762504702</v>
      </c>
      <c r="W26" s="69">
        <v>1488.57422745445</v>
      </c>
      <c r="X26" s="69">
        <v>487.88716266265601</v>
      </c>
      <c r="Y26" s="69">
        <v>150.89660787945999</v>
      </c>
      <c r="Z26" s="69">
        <v>64.916530603887296</v>
      </c>
      <c r="AA26" s="69">
        <v>626.93378718272902</v>
      </c>
      <c r="AB26" s="69">
        <v>103.12891525954301</v>
      </c>
      <c r="AC26" s="69">
        <v>74.202436656664403</v>
      </c>
      <c r="AD26" s="69">
        <v>49.584724471285803</v>
      </c>
      <c r="AE26" s="69">
        <v>48.704112763085099</v>
      </c>
      <c r="AF26" s="69">
        <v>3.4002231098537599</v>
      </c>
      <c r="AG26" s="69">
        <v>75.806328480825599</v>
      </c>
      <c r="AH26" s="69">
        <v>4.7683768959221897</v>
      </c>
      <c r="AI26" s="69">
        <v>3.9057049908604902</v>
      </c>
      <c r="AJ26" s="69">
        <v>33.1867308217779</v>
      </c>
      <c r="AK26" s="69">
        <v>7.2794884861357598</v>
      </c>
      <c r="AL26" s="69">
        <v>58.832426048257901</v>
      </c>
      <c r="AM26" s="69">
        <v>6.9839921297974898</v>
      </c>
      <c r="AN26" s="69">
        <v>3.7787799978508798</v>
      </c>
      <c r="AO26" s="69">
        <v>31.796280503018298</v>
      </c>
      <c r="AP26" s="69">
        <v>14.9470458306795</v>
      </c>
      <c r="AQ26" s="69">
        <v>30.387162116585301</v>
      </c>
      <c r="AR26" s="69">
        <v>4.2103192016126503</v>
      </c>
      <c r="AS26" s="69">
        <v>5.1542391150353098E-2</v>
      </c>
      <c r="AT26" s="69">
        <v>0.13940372429429401</v>
      </c>
      <c r="AU26" s="69">
        <v>0.42449820698222601</v>
      </c>
      <c r="AV26" s="69">
        <v>0.48407290971392303</v>
      </c>
      <c r="AW26" s="69">
        <v>6.0039763055141702</v>
      </c>
      <c r="AX26" s="69">
        <v>4.9214076061787203E-2</v>
      </c>
      <c r="AY26" s="69">
        <v>0.18997405545240001</v>
      </c>
      <c r="AZ26" s="69">
        <v>0.25792668501627802</v>
      </c>
      <c r="BA26" s="69">
        <v>3.1360383089674398E-2</v>
      </c>
      <c r="BB26" s="69">
        <v>0.15257230523187501</v>
      </c>
      <c r="BC26" s="69">
        <v>0.74599742189539398</v>
      </c>
      <c r="BD26" s="69">
        <v>0.78404599870620695</v>
      </c>
      <c r="BE26" s="69">
        <v>0.38287038584956301</v>
      </c>
      <c r="BF26" s="69">
        <v>2.0750628127016602</v>
      </c>
      <c r="BG26" s="69">
        <v>0.93421475504820395</v>
      </c>
      <c r="BH26" s="69">
        <v>3.62167590928216</v>
      </c>
      <c r="BI26" s="69">
        <v>1.6837512302019499E-2</v>
      </c>
      <c r="BJ26" s="69">
        <v>1.7153904329665699</v>
      </c>
      <c r="BK26" s="69">
        <v>1.5879851434626699</v>
      </c>
      <c r="BL26" s="69">
        <v>0.26632048666353397</v>
      </c>
      <c r="BM26" s="69">
        <v>19.6770558083305</v>
      </c>
      <c r="BN26" s="69">
        <v>24.048014747763201</v>
      </c>
      <c r="BO26" s="69">
        <v>0.246249918172041</v>
      </c>
      <c r="BP26" s="69">
        <v>15.065943400850299</v>
      </c>
      <c r="BQ26" s="70">
        <v>0</v>
      </c>
      <c r="BR26" s="71">
        <v>5627.9949753803303</v>
      </c>
      <c r="BS26" s="72">
        <v>0</v>
      </c>
      <c r="BT26" s="73">
        <v>8.0585769918348593E-2</v>
      </c>
      <c r="BU26" s="73">
        <v>0</v>
      </c>
      <c r="BV26" s="73">
        <v>17.869616461124298</v>
      </c>
      <c r="BW26" s="73">
        <v>1.1618290653080701</v>
      </c>
      <c r="BX26" s="74">
        <v>0</v>
      </c>
      <c r="BY26" s="71">
        <v>19.1120312963507</v>
      </c>
      <c r="BZ26" s="75">
        <v>5647.1070066766797</v>
      </c>
    </row>
    <row r="27" spans="1:78" ht="15" customHeight="1" x14ac:dyDescent="0.3">
      <c r="A27" s="19" t="s">
        <v>45</v>
      </c>
      <c r="B27" s="11" t="s">
        <v>113</v>
      </c>
      <c r="C27" s="68">
        <v>11.2553310995552</v>
      </c>
      <c r="D27" s="69">
        <v>2.8790451641689501</v>
      </c>
      <c r="E27" s="69">
        <v>0.10446895524968999</v>
      </c>
      <c r="F27" s="69">
        <v>58.931336293915102</v>
      </c>
      <c r="G27" s="69">
        <v>12.752058191858699</v>
      </c>
      <c r="H27" s="69">
        <v>16.265980167191099</v>
      </c>
      <c r="I27" s="69">
        <v>4.2688980953946798</v>
      </c>
      <c r="J27" s="69">
        <v>31.947984636511901</v>
      </c>
      <c r="K27" s="69">
        <v>0.27777786820265399</v>
      </c>
      <c r="L27" s="69">
        <v>77.261434416952795</v>
      </c>
      <c r="M27" s="69">
        <v>4.1610379653606202</v>
      </c>
      <c r="N27" s="69">
        <v>1.45821284944456E-3</v>
      </c>
      <c r="O27" s="69">
        <v>8.0089597092771392</v>
      </c>
      <c r="P27" s="69">
        <v>1.3351670525741699</v>
      </c>
      <c r="Q27" s="69">
        <v>5.6124095143282302</v>
      </c>
      <c r="R27" s="69">
        <v>33.8460799754587</v>
      </c>
      <c r="S27" s="69">
        <v>62.265927334627399</v>
      </c>
      <c r="T27" s="69">
        <v>20.868795618896701</v>
      </c>
      <c r="U27" s="69">
        <v>11.643808324518099</v>
      </c>
      <c r="V27" s="69">
        <v>9.8661039717355408</v>
      </c>
      <c r="W27" s="69">
        <v>77.505710491474005</v>
      </c>
      <c r="X27" s="69">
        <v>121.669029610986</v>
      </c>
      <c r="Y27" s="69">
        <v>33.1130167150666</v>
      </c>
      <c r="Z27" s="69">
        <v>26.727847584141799</v>
      </c>
      <c r="AA27" s="69">
        <v>104.576176733645</v>
      </c>
      <c r="AB27" s="69">
        <v>40.1970153741891</v>
      </c>
      <c r="AC27" s="69">
        <v>13.718808764386599</v>
      </c>
      <c r="AD27" s="69">
        <v>2.9004065125145502</v>
      </c>
      <c r="AE27" s="69">
        <v>19.2730169233627</v>
      </c>
      <c r="AF27" s="69">
        <v>5.2075467475616799</v>
      </c>
      <c r="AG27" s="69">
        <v>5.8001858979472303</v>
      </c>
      <c r="AH27" s="69">
        <v>4.96816110700812</v>
      </c>
      <c r="AI27" s="69">
        <v>12.6202598230529</v>
      </c>
      <c r="AJ27" s="69">
        <v>5.1676072862883</v>
      </c>
      <c r="AK27" s="69">
        <v>2.0099214766292799</v>
      </c>
      <c r="AL27" s="69">
        <v>16.8629551299619</v>
      </c>
      <c r="AM27" s="69">
        <v>21.920766270782099</v>
      </c>
      <c r="AN27" s="69">
        <v>2.3170962559708199</v>
      </c>
      <c r="AO27" s="69">
        <v>10.4626224433784</v>
      </c>
      <c r="AP27" s="69">
        <v>171.010405674498</v>
      </c>
      <c r="AQ27" s="69">
        <v>77.530622861443902</v>
      </c>
      <c r="AR27" s="69">
        <v>5.9719436817595701</v>
      </c>
      <c r="AS27" s="69">
        <v>9.7678797016842404E-3</v>
      </c>
      <c r="AT27" s="69">
        <v>5.0636315820194802E-3</v>
      </c>
      <c r="AU27" s="69">
        <v>1.34678255856905</v>
      </c>
      <c r="AV27" s="69">
        <v>0.222079460985035</v>
      </c>
      <c r="AW27" s="69">
        <v>2.2996315002989798</v>
      </c>
      <c r="AX27" s="69">
        <v>1.8981396865960201</v>
      </c>
      <c r="AY27" s="69">
        <v>2.86281421362178</v>
      </c>
      <c r="AZ27" s="69">
        <v>0.13164348935890399</v>
      </c>
      <c r="BA27" s="69">
        <v>4.5089334873591298E-2</v>
      </c>
      <c r="BB27" s="69">
        <v>7.5131448547815297E-2</v>
      </c>
      <c r="BC27" s="69">
        <v>21.3257534833518</v>
      </c>
      <c r="BD27" s="69">
        <v>0.33208457058246799</v>
      </c>
      <c r="BE27" s="69">
        <v>0.12291733277290399</v>
      </c>
      <c r="BF27" s="69">
        <v>0.96724914926105998</v>
      </c>
      <c r="BG27" s="69">
        <v>0.18662492457223001</v>
      </c>
      <c r="BH27" s="69">
        <v>14.7666612525882</v>
      </c>
      <c r="BI27" s="69">
        <v>6.1247514084669099E-3</v>
      </c>
      <c r="BJ27" s="69">
        <v>5.3862796908635904</v>
      </c>
      <c r="BK27" s="69">
        <v>7.6361713682419099</v>
      </c>
      <c r="BL27" s="69">
        <v>0.165308827432743</v>
      </c>
      <c r="BM27" s="69">
        <v>31.339063665541701</v>
      </c>
      <c r="BN27" s="69">
        <v>2.9118757605185301</v>
      </c>
      <c r="BO27" s="69">
        <v>0.10382982105116</v>
      </c>
      <c r="BP27" s="69">
        <v>4.4389322005105196</v>
      </c>
      <c r="BQ27" s="70">
        <v>0</v>
      </c>
      <c r="BR27" s="71">
        <v>1253.67020593751</v>
      </c>
      <c r="BS27" s="72">
        <v>0</v>
      </c>
      <c r="BT27" s="73">
        <v>0.123501268691434</v>
      </c>
      <c r="BU27" s="73">
        <v>0</v>
      </c>
      <c r="BV27" s="73">
        <v>9.2433502111416495</v>
      </c>
      <c r="BW27" s="73">
        <v>0.91864091065153697</v>
      </c>
      <c r="BX27" s="74">
        <v>0</v>
      </c>
      <c r="BY27" s="71">
        <v>10.285492390484601</v>
      </c>
      <c r="BZ27" s="75">
        <v>1263.9556983279899</v>
      </c>
    </row>
    <row r="28" spans="1:78" ht="15" customHeight="1" x14ac:dyDescent="0.3">
      <c r="A28" s="33" t="s">
        <v>46</v>
      </c>
      <c r="B28" s="11" t="s">
        <v>114</v>
      </c>
      <c r="C28" s="68">
        <v>1.5842478320740001</v>
      </c>
      <c r="D28" s="69">
        <v>2.4243987921500398</v>
      </c>
      <c r="E28" s="69">
        <v>1.1211100612153699E-2</v>
      </c>
      <c r="F28" s="69">
        <v>1.60663876194582</v>
      </c>
      <c r="G28" s="69">
        <v>8.5367473346029996</v>
      </c>
      <c r="H28" s="69">
        <v>14.5526204116769</v>
      </c>
      <c r="I28" s="69">
        <v>1.6248302749663399</v>
      </c>
      <c r="J28" s="69">
        <v>5.90757622996931</v>
      </c>
      <c r="K28" s="69">
        <v>6.6160244708571098E-2</v>
      </c>
      <c r="L28" s="69">
        <v>12.234727369203201</v>
      </c>
      <c r="M28" s="69">
        <v>1.8880374181102999</v>
      </c>
      <c r="N28" s="69">
        <v>0.101033318854373</v>
      </c>
      <c r="O28" s="69">
        <v>3.2263052963066601</v>
      </c>
      <c r="P28" s="69">
        <v>1.83490717065669</v>
      </c>
      <c r="Q28" s="69">
        <v>1.05390292363245</v>
      </c>
      <c r="R28" s="69">
        <v>3.67278680954086</v>
      </c>
      <c r="S28" s="69">
        <v>7.1051341667644303</v>
      </c>
      <c r="T28" s="69">
        <v>0.78885705514222604</v>
      </c>
      <c r="U28" s="69">
        <v>6.0541059929313796</v>
      </c>
      <c r="V28" s="69">
        <v>1.2949039547553201</v>
      </c>
      <c r="W28" s="69">
        <v>24.477589282820102</v>
      </c>
      <c r="X28" s="69">
        <v>21.800027060986402</v>
      </c>
      <c r="Y28" s="69">
        <v>225.55904044987</v>
      </c>
      <c r="Z28" s="69">
        <v>3.4071927277028302</v>
      </c>
      <c r="AA28" s="69">
        <v>8.7122924337097594</v>
      </c>
      <c r="AB28" s="69">
        <v>5.0297926564427797</v>
      </c>
      <c r="AC28" s="69">
        <v>0.95252139981376405</v>
      </c>
      <c r="AD28" s="69">
        <v>4.0733952914291898</v>
      </c>
      <c r="AE28" s="69">
        <v>39.325185874991902</v>
      </c>
      <c r="AF28" s="69">
        <v>1.21969654292251</v>
      </c>
      <c r="AG28" s="69">
        <v>0.82022551379739095</v>
      </c>
      <c r="AH28" s="69">
        <v>0.70295170910683402</v>
      </c>
      <c r="AI28" s="69">
        <v>0.52664065840477603</v>
      </c>
      <c r="AJ28" s="69">
        <v>1.9220885384411801</v>
      </c>
      <c r="AK28" s="69">
        <v>0.13504527268903299</v>
      </c>
      <c r="AL28" s="69">
        <v>1.28331547528755</v>
      </c>
      <c r="AM28" s="69">
        <v>0.67582311020809605</v>
      </c>
      <c r="AN28" s="69">
        <v>0.16870276386589</v>
      </c>
      <c r="AO28" s="69">
        <v>2.5052096728126401</v>
      </c>
      <c r="AP28" s="69">
        <v>10.850090132528001</v>
      </c>
      <c r="AQ28" s="69">
        <v>192.55243195208899</v>
      </c>
      <c r="AR28" s="69">
        <v>23.581286083948601</v>
      </c>
      <c r="AS28" s="69">
        <v>2.7111358382581E-2</v>
      </c>
      <c r="AT28" s="69">
        <v>9.5640830854702395E-3</v>
      </c>
      <c r="AU28" s="69">
        <v>5.9293056127691397</v>
      </c>
      <c r="AV28" s="69">
        <v>6.7844651078789902</v>
      </c>
      <c r="AW28" s="69">
        <v>9.3097425995244691</v>
      </c>
      <c r="AX28" s="69">
        <v>0.358125360921209</v>
      </c>
      <c r="AY28" s="69">
        <v>4.0403561499510996</v>
      </c>
      <c r="AZ28" s="69">
        <v>8.1598061960369002</v>
      </c>
      <c r="BA28" s="69">
        <v>0.46861484283440702</v>
      </c>
      <c r="BB28" s="69">
        <v>2.5921943331094202</v>
      </c>
      <c r="BC28" s="69">
        <v>0.47515775522058801</v>
      </c>
      <c r="BD28" s="69">
        <v>22.021913486712201</v>
      </c>
      <c r="BE28" s="69">
        <v>7.0763340853291696</v>
      </c>
      <c r="BF28" s="69">
        <v>61.471274761548798</v>
      </c>
      <c r="BG28" s="69">
        <v>7.9557374730932402</v>
      </c>
      <c r="BH28" s="69">
        <v>98.526816049790497</v>
      </c>
      <c r="BI28" s="69">
        <v>2.0196112652408098E-2</v>
      </c>
      <c r="BJ28" s="69">
        <v>10.951055360967301</v>
      </c>
      <c r="BK28" s="69">
        <v>9.5715344982836505</v>
      </c>
      <c r="BL28" s="69">
        <v>7.0472135824912199</v>
      </c>
      <c r="BM28" s="69">
        <v>8.0275742791717892</v>
      </c>
      <c r="BN28" s="69">
        <v>21.356185109479298</v>
      </c>
      <c r="BO28" s="69">
        <v>6.7934802740742697</v>
      </c>
      <c r="BP28" s="69">
        <v>115.226707396235</v>
      </c>
      <c r="BQ28" s="70">
        <v>0</v>
      </c>
      <c r="BR28" s="71">
        <v>1060.05014293202</v>
      </c>
      <c r="BS28" s="72">
        <v>0</v>
      </c>
      <c r="BT28" s="73">
        <v>6.3419570409114598E-2</v>
      </c>
      <c r="BU28" s="73">
        <v>0</v>
      </c>
      <c r="BV28" s="73">
        <v>313.32933589024202</v>
      </c>
      <c r="BW28" s="73">
        <v>1.0549069261014801</v>
      </c>
      <c r="BX28" s="74">
        <v>0</v>
      </c>
      <c r="BY28" s="71">
        <v>314.44766238675197</v>
      </c>
      <c r="BZ28" s="75">
        <v>1374.4978053187699</v>
      </c>
    </row>
    <row r="29" spans="1:78" ht="15" customHeight="1" x14ac:dyDescent="0.3">
      <c r="A29" s="33" t="s">
        <v>47</v>
      </c>
      <c r="B29" s="11" t="s">
        <v>115</v>
      </c>
      <c r="C29" s="68">
        <v>4.2351891466757303</v>
      </c>
      <c r="D29" s="69">
        <v>94.654787524849695</v>
      </c>
      <c r="E29" s="69">
        <v>0.25193084587712899</v>
      </c>
      <c r="F29" s="69">
        <v>0.19416854493809199</v>
      </c>
      <c r="G29" s="69">
        <v>5.79854812274806</v>
      </c>
      <c r="H29" s="69">
        <v>0.42171440748485001</v>
      </c>
      <c r="I29" s="69">
        <v>5.7687955348130697E-2</v>
      </c>
      <c r="J29" s="69">
        <v>4.6798516338907801</v>
      </c>
      <c r="K29" s="69">
        <v>4.3877579827062601E-3</v>
      </c>
      <c r="L29" s="69">
        <v>12.54207821987</v>
      </c>
      <c r="M29" s="69">
        <v>0.32958961136730203</v>
      </c>
      <c r="N29" s="69">
        <v>0</v>
      </c>
      <c r="O29" s="69">
        <v>0.24873646564604501</v>
      </c>
      <c r="P29" s="69">
        <v>0.17630502021998501</v>
      </c>
      <c r="Q29" s="69">
        <v>0.109233867919553</v>
      </c>
      <c r="R29" s="69">
        <v>0.13233329814577199</v>
      </c>
      <c r="S29" s="69">
        <v>0.53708454970654596</v>
      </c>
      <c r="T29" s="69">
        <v>3.4253825036718498E-2</v>
      </c>
      <c r="U29" s="69">
        <v>6.6431252617796796E-2</v>
      </c>
      <c r="V29" s="69">
        <v>0.25769039874488098</v>
      </c>
      <c r="W29" s="69">
        <v>4.26590001238967</v>
      </c>
      <c r="X29" s="69">
        <v>8.2065225850971508</v>
      </c>
      <c r="Y29" s="69">
        <v>4.9542140967738</v>
      </c>
      <c r="Z29" s="69">
        <v>95.924862628573507</v>
      </c>
      <c r="AA29" s="69">
        <v>0.81318768747889103</v>
      </c>
      <c r="AB29" s="69">
        <v>0.174815216527786</v>
      </c>
      <c r="AC29" s="69">
        <v>0.15902381539778801</v>
      </c>
      <c r="AD29" s="69">
        <v>0.15883681460409199</v>
      </c>
      <c r="AE29" s="69">
        <v>0.83825664803297995</v>
      </c>
      <c r="AF29" s="69">
        <v>0.14380267774528999</v>
      </c>
      <c r="AG29" s="69">
        <v>7.02108019489458E-2</v>
      </c>
      <c r="AH29" s="69">
        <v>9.99559494804379E-2</v>
      </c>
      <c r="AI29" s="69">
        <v>6.8518042693209005E-2</v>
      </c>
      <c r="AJ29" s="69">
        <v>6.1046450222237203E-2</v>
      </c>
      <c r="AK29" s="69">
        <v>9.5294055393139905E-3</v>
      </c>
      <c r="AL29" s="69">
        <v>0.175685897960006</v>
      </c>
      <c r="AM29" s="69">
        <v>5.5121224832454699E-2</v>
      </c>
      <c r="AN29" s="69">
        <v>7.3183836476814201E-3</v>
      </c>
      <c r="AO29" s="69">
        <v>0.105337797694201</v>
      </c>
      <c r="AP29" s="69">
        <v>0.33013393456740397</v>
      </c>
      <c r="AQ29" s="69">
        <v>9.2901072813627597</v>
      </c>
      <c r="AR29" s="69">
        <v>0.49055923848885702</v>
      </c>
      <c r="AS29" s="69">
        <v>4.8787413511651896E-3</v>
      </c>
      <c r="AT29" s="69">
        <v>3.7808763708771301E-3</v>
      </c>
      <c r="AU29" s="69">
        <v>0.12495985475761801</v>
      </c>
      <c r="AV29" s="69">
        <v>0.218788832931088</v>
      </c>
      <c r="AW29" s="69">
        <v>2.4132310126053702</v>
      </c>
      <c r="AX29" s="69">
        <v>0</v>
      </c>
      <c r="AY29" s="69">
        <v>8.02724596117734E-2</v>
      </c>
      <c r="AZ29" s="69">
        <v>0.16166570537071501</v>
      </c>
      <c r="BA29" s="69">
        <v>4.4003064072700099E-3</v>
      </c>
      <c r="BB29" s="69">
        <v>5.1957945612843198E-2</v>
      </c>
      <c r="BC29" s="69">
        <v>7.9332365759431905E-3</v>
      </c>
      <c r="BD29" s="69">
        <v>0.43758754367942498</v>
      </c>
      <c r="BE29" s="69">
        <v>0.219771200869813</v>
      </c>
      <c r="BF29" s="69">
        <v>3.0886597907541802</v>
      </c>
      <c r="BG29" s="69">
        <v>0.18216351230649799</v>
      </c>
      <c r="BH29" s="69">
        <v>1.8977336647171601</v>
      </c>
      <c r="BI29" s="69">
        <v>0</v>
      </c>
      <c r="BJ29" s="69">
        <v>60.688621961389302</v>
      </c>
      <c r="BK29" s="69">
        <v>22.504348922663901</v>
      </c>
      <c r="BL29" s="69">
        <v>14.7734480280412</v>
      </c>
      <c r="BM29" s="69">
        <v>571.40123138599802</v>
      </c>
      <c r="BN29" s="69">
        <v>542.25837637330005</v>
      </c>
      <c r="BO29" s="69">
        <v>0.141063822766229</v>
      </c>
      <c r="BP29" s="69">
        <v>33.860431905770199</v>
      </c>
      <c r="BQ29" s="70">
        <v>0</v>
      </c>
      <c r="BR29" s="71">
        <v>1505.6602561239799</v>
      </c>
      <c r="BS29" s="72">
        <v>0</v>
      </c>
      <c r="BT29" s="73">
        <v>44.399898191758602</v>
      </c>
      <c r="BU29" s="73">
        <v>0</v>
      </c>
      <c r="BV29" s="73">
        <v>545.79982464308705</v>
      </c>
      <c r="BW29" s="73">
        <v>0.70005791555671304</v>
      </c>
      <c r="BX29" s="74">
        <v>0</v>
      </c>
      <c r="BY29" s="71">
        <v>590.89978075040199</v>
      </c>
      <c r="BZ29" s="75">
        <v>2096.5600368743799</v>
      </c>
    </row>
    <row r="30" spans="1:78" ht="15" customHeight="1" x14ac:dyDescent="0.3">
      <c r="A30" s="33" t="s">
        <v>48</v>
      </c>
      <c r="B30" s="11" t="s">
        <v>116</v>
      </c>
      <c r="C30" s="68">
        <v>13.962501331526701</v>
      </c>
      <c r="D30" s="69">
        <v>3.22043689208328</v>
      </c>
      <c r="E30" s="69">
        <v>4.5233037322496301E-3</v>
      </c>
      <c r="F30" s="69">
        <v>2.8199732128922399</v>
      </c>
      <c r="G30" s="69">
        <v>7.8560028136476401</v>
      </c>
      <c r="H30" s="69">
        <v>47.174144120230402</v>
      </c>
      <c r="I30" s="69">
        <v>3.4745597513991302</v>
      </c>
      <c r="J30" s="69">
        <v>74.331314389167304</v>
      </c>
      <c r="K30" s="69">
        <v>4.8534149834230398</v>
      </c>
      <c r="L30" s="69">
        <v>180.26382016188799</v>
      </c>
      <c r="M30" s="69">
        <v>68.889663277190806</v>
      </c>
      <c r="N30" s="69">
        <v>0.22081508863017599</v>
      </c>
      <c r="O30" s="69">
        <v>8.2803941809270096</v>
      </c>
      <c r="P30" s="69">
        <v>4.2134106490836896</v>
      </c>
      <c r="Q30" s="69">
        <v>18.2884645270668</v>
      </c>
      <c r="R30" s="69">
        <v>11.6836888788936</v>
      </c>
      <c r="S30" s="69">
        <v>24.293270459930099</v>
      </c>
      <c r="T30" s="69">
        <v>16.0542220190741</v>
      </c>
      <c r="U30" s="69">
        <v>1.5699134835091599</v>
      </c>
      <c r="V30" s="69">
        <v>2.47309037810051</v>
      </c>
      <c r="W30" s="69">
        <v>46.150187658600501</v>
      </c>
      <c r="X30" s="69">
        <v>16.8533817174979</v>
      </c>
      <c r="Y30" s="69">
        <v>34.536273090107798</v>
      </c>
      <c r="Z30" s="69">
        <v>10.127284260499</v>
      </c>
      <c r="AA30" s="69">
        <v>415.45157224114098</v>
      </c>
      <c r="AB30" s="69">
        <v>57.394239912912298</v>
      </c>
      <c r="AC30" s="69">
        <v>16.135608686755301</v>
      </c>
      <c r="AD30" s="69">
        <v>2.2243633653055999</v>
      </c>
      <c r="AE30" s="69">
        <v>22.6919521810498</v>
      </c>
      <c r="AF30" s="69">
        <v>22.937973444618599</v>
      </c>
      <c r="AG30" s="69">
        <v>45.886084998106298</v>
      </c>
      <c r="AH30" s="69">
        <v>73.015866417547301</v>
      </c>
      <c r="AI30" s="69">
        <v>256.22035580339201</v>
      </c>
      <c r="AJ30" s="69">
        <v>95.535128157124007</v>
      </c>
      <c r="AK30" s="69">
        <v>23.026260037259799</v>
      </c>
      <c r="AL30" s="69">
        <v>54.773850621811</v>
      </c>
      <c r="AM30" s="69">
        <v>40.476472522778799</v>
      </c>
      <c r="AN30" s="69">
        <v>9.9300480470082704</v>
      </c>
      <c r="AO30" s="69">
        <v>28.451327848717298</v>
      </c>
      <c r="AP30" s="69">
        <v>506.14485351367699</v>
      </c>
      <c r="AQ30" s="69">
        <v>208.439418168044</v>
      </c>
      <c r="AR30" s="69">
        <v>216.91878252822801</v>
      </c>
      <c r="AS30" s="69">
        <v>8.7162616202292403E-2</v>
      </c>
      <c r="AT30" s="69">
        <v>20.732483737169701</v>
      </c>
      <c r="AU30" s="69">
        <v>1.6605854391122501</v>
      </c>
      <c r="AV30" s="69">
        <v>2.9392611623987701</v>
      </c>
      <c r="AW30" s="69">
        <v>11.5885888895255</v>
      </c>
      <c r="AX30" s="69">
        <v>0.322954724024486</v>
      </c>
      <c r="AY30" s="69">
        <v>0.11499772313085201</v>
      </c>
      <c r="AZ30" s="69">
        <v>0.148609725572667</v>
      </c>
      <c r="BA30" s="69">
        <v>0.47644986625663899</v>
      </c>
      <c r="BB30" s="69">
        <v>0.60530698505735903</v>
      </c>
      <c r="BC30" s="69">
        <v>3.93640522079831</v>
      </c>
      <c r="BD30" s="69">
        <v>7.57144437036097</v>
      </c>
      <c r="BE30" s="69">
        <v>0.33934884235500001</v>
      </c>
      <c r="BF30" s="69">
        <v>0.94405764346092602</v>
      </c>
      <c r="BG30" s="69">
        <v>13.5162498871191</v>
      </c>
      <c r="BH30" s="69">
        <v>12.0267466859907</v>
      </c>
      <c r="BI30" s="69">
        <v>3.40679607842862E-2</v>
      </c>
      <c r="BJ30" s="69">
        <v>4.80743447222362</v>
      </c>
      <c r="BK30" s="69">
        <v>4.01473460872967</v>
      </c>
      <c r="BL30" s="69">
        <v>0.14830762792941099</v>
      </c>
      <c r="BM30" s="69">
        <v>18.843139808767301</v>
      </c>
      <c r="BN30" s="69">
        <v>10.646580245316899</v>
      </c>
      <c r="BO30" s="69">
        <v>8.4176128060128197E-2</v>
      </c>
      <c r="BP30" s="69">
        <v>8.2377817525075407</v>
      </c>
      <c r="BQ30" s="70">
        <v>0</v>
      </c>
      <c r="BR30" s="71">
        <v>2821.0757852474298</v>
      </c>
      <c r="BS30" s="72">
        <v>0</v>
      </c>
      <c r="BT30" s="73">
        <v>8.1062608793605103E-3</v>
      </c>
      <c r="BU30" s="73">
        <v>0</v>
      </c>
      <c r="BV30" s="73">
        <v>182.100358445962</v>
      </c>
      <c r="BW30" s="73">
        <v>17.811704034609999</v>
      </c>
      <c r="BX30" s="74">
        <v>0</v>
      </c>
      <c r="BY30" s="71">
        <v>199.92016874145199</v>
      </c>
      <c r="BZ30" s="75">
        <v>3020.99595398888</v>
      </c>
    </row>
    <row r="31" spans="1:78" ht="15" customHeight="1" x14ac:dyDescent="0.3">
      <c r="A31" s="33" t="s">
        <v>49</v>
      </c>
      <c r="B31" s="11" t="s">
        <v>117</v>
      </c>
      <c r="C31" s="68">
        <v>158.34164729385699</v>
      </c>
      <c r="D31" s="69">
        <v>91.693398881776005</v>
      </c>
      <c r="E31" s="69">
        <v>1.2708252654437699</v>
      </c>
      <c r="F31" s="69">
        <v>3.1689256249003401</v>
      </c>
      <c r="G31" s="69">
        <v>4.9093069724921703</v>
      </c>
      <c r="H31" s="69">
        <v>0.55127860099919501</v>
      </c>
      <c r="I31" s="69">
        <v>8.5953662228704902E-2</v>
      </c>
      <c r="J31" s="69">
        <v>0.77864478511497903</v>
      </c>
      <c r="K31" s="69">
        <v>10.088540135808501</v>
      </c>
      <c r="L31" s="69">
        <v>56.276142619324702</v>
      </c>
      <c r="M31" s="69">
        <v>77.989178177326593</v>
      </c>
      <c r="N31" s="69">
        <v>1.9581715406826902E-2</v>
      </c>
      <c r="O31" s="69">
        <v>0.81056976842150497</v>
      </c>
      <c r="P31" s="69">
        <v>2.0866518123784701</v>
      </c>
      <c r="Q31" s="69">
        <v>0.49382915521295301</v>
      </c>
      <c r="R31" s="69">
        <v>0.51011527782283805</v>
      </c>
      <c r="S31" s="69">
        <v>15.805748242459799</v>
      </c>
      <c r="T31" s="69">
        <v>0.36813703226507699</v>
      </c>
      <c r="U31" s="69">
        <v>0.152824839080482</v>
      </c>
      <c r="V31" s="69">
        <v>0.91115633051665501</v>
      </c>
      <c r="W31" s="69">
        <v>37.132152155064603</v>
      </c>
      <c r="X31" s="69">
        <v>8.9365909417308593</v>
      </c>
      <c r="Y31" s="69">
        <v>11.302112034977601</v>
      </c>
      <c r="Z31" s="69">
        <v>1.9858554319723201</v>
      </c>
      <c r="AA31" s="69">
        <v>25.039399070240901</v>
      </c>
      <c r="AB31" s="69">
        <v>516.019090823704</v>
      </c>
      <c r="AC31" s="69">
        <v>19.217484492143001</v>
      </c>
      <c r="AD31" s="69">
        <v>1.0548934793173701</v>
      </c>
      <c r="AE31" s="69">
        <v>8.9855854403631596</v>
      </c>
      <c r="AF31" s="69">
        <v>0.38085131339679301</v>
      </c>
      <c r="AG31" s="69">
        <v>10.410123625472901</v>
      </c>
      <c r="AH31" s="69">
        <v>12.50946781389</v>
      </c>
      <c r="AI31" s="69">
        <v>57.882634754707603</v>
      </c>
      <c r="AJ31" s="69">
        <v>3.1705145717711298</v>
      </c>
      <c r="AK31" s="69">
        <v>3.4010362248902601</v>
      </c>
      <c r="AL31" s="69">
        <v>14.750723079873</v>
      </c>
      <c r="AM31" s="69">
        <v>9.7826067512320698</v>
      </c>
      <c r="AN31" s="69">
        <v>48.5328097823731</v>
      </c>
      <c r="AO31" s="69">
        <v>35.025352283284398</v>
      </c>
      <c r="AP31" s="69">
        <v>1587.9910545483699</v>
      </c>
      <c r="AQ31" s="69">
        <v>7.14348387491866</v>
      </c>
      <c r="AR31" s="69">
        <v>0.61038011955585703</v>
      </c>
      <c r="AS31" s="69">
        <v>1.8095948988148699E-2</v>
      </c>
      <c r="AT31" s="69">
        <v>0</v>
      </c>
      <c r="AU31" s="69">
        <v>5.0116369483995803E-2</v>
      </c>
      <c r="AV31" s="69">
        <v>5.2913721381636201</v>
      </c>
      <c r="AW31" s="69">
        <v>19.377869443830299</v>
      </c>
      <c r="AX31" s="69">
        <v>4.3064507909803103E-2</v>
      </c>
      <c r="AY31" s="69">
        <v>5.0490323500836001E-2</v>
      </c>
      <c r="AZ31" s="69">
        <v>2.3612287338975899E-2</v>
      </c>
      <c r="BA31" s="69">
        <v>2.7622883637709601E-2</v>
      </c>
      <c r="BB31" s="69">
        <v>4.7937821075621903E-2</v>
      </c>
      <c r="BC31" s="69">
        <v>56.213572939836297</v>
      </c>
      <c r="BD31" s="69">
        <v>9.4373395542996105E-2</v>
      </c>
      <c r="BE31" s="69">
        <v>0.124318842939193</v>
      </c>
      <c r="BF31" s="69">
        <v>7.1703375804921796E-2</v>
      </c>
      <c r="BG31" s="69">
        <v>7.2998661570023604E-2</v>
      </c>
      <c r="BH31" s="69">
        <v>1.85319749052569</v>
      </c>
      <c r="BI31" s="69">
        <v>4.5117611188578901E-3</v>
      </c>
      <c r="BJ31" s="69">
        <v>14.205642988757401</v>
      </c>
      <c r="BK31" s="69">
        <v>3.83917768441512</v>
      </c>
      <c r="BL31" s="69">
        <v>4.3347354587674802E-2</v>
      </c>
      <c r="BM31" s="69">
        <v>6.3947648672360096</v>
      </c>
      <c r="BN31" s="69">
        <v>3.6476691033536701</v>
      </c>
      <c r="BO31" s="69">
        <v>1.3788790208415501E-2</v>
      </c>
      <c r="BP31" s="69">
        <v>7.3641612387776796</v>
      </c>
      <c r="BQ31" s="70">
        <v>0</v>
      </c>
      <c r="BR31" s="71">
        <v>2966.45006902469</v>
      </c>
      <c r="BS31" s="72">
        <v>0</v>
      </c>
      <c r="BT31" s="73">
        <v>8.8692030797709195E-2</v>
      </c>
      <c r="BU31" s="73">
        <v>0</v>
      </c>
      <c r="BV31" s="73">
        <v>47.248554755372901</v>
      </c>
      <c r="BW31" s="73">
        <v>3.62173544226293</v>
      </c>
      <c r="BX31" s="74">
        <v>0</v>
      </c>
      <c r="BY31" s="71">
        <v>50.958982228433598</v>
      </c>
      <c r="BZ31" s="75">
        <v>3017.4090512531202</v>
      </c>
    </row>
    <row r="32" spans="1:78" ht="15" customHeight="1" x14ac:dyDescent="0.3">
      <c r="A32" s="33" t="s">
        <v>50</v>
      </c>
      <c r="B32" s="11" t="s">
        <v>118</v>
      </c>
      <c r="C32" s="68">
        <v>5.0270519289245801</v>
      </c>
      <c r="D32" s="69">
        <v>9.9951651871532796</v>
      </c>
      <c r="E32" s="69">
        <v>4.8375027059884496E-3</v>
      </c>
      <c r="F32" s="69">
        <v>3.5067058524732801</v>
      </c>
      <c r="G32" s="69">
        <v>300.70614536316799</v>
      </c>
      <c r="H32" s="69">
        <v>5.4281559589000699</v>
      </c>
      <c r="I32" s="69">
        <v>3.1529737342129498</v>
      </c>
      <c r="J32" s="69">
        <v>13.349870765246701</v>
      </c>
      <c r="K32" s="69">
        <v>0.22402784576757501</v>
      </c>
      <c r="L32" s="69">
        <v>7.1766504006796898</v>
      </c>
      <c r="M32" s="69">
        <v>6.5975312760907903</v>
      </c>
      <c r="N32" s="69">
        <v>0</v>
      </c>
      <c r="O32" s="69">
        <v>0.67806455445216796</v>
      </c>
      <c r="P32" s="69">
        <v>9.1644308289912504E-2</v>
      </c>
      <c r="Q32" s="69">
        <v>0.230418893104191</v>
      </c>
      <c r="R32" s="69">
        <v>2.2608736409554799</v>
      </c>
      <c r="S32" s="69">
        <v>9.3884130016171206</v>
      </c>
      <c r="T32" s="69">
        <v>0.26763113185474602</v>
      </c>
      <c r="U32" s="69">
        <v>0.79252516489071601</v>
      </c>
      <c r="V32" s="69">
        <v>0.16423659654543499</v>
      </c>
      <c r="W32" s="69">
        <v>6.1028431392850804</v>
      </c>
      <c r="X32" s="69">
        <v>3.3996713256815401</v>
      </c>
      <c r="Y32" s="69">
        <v>2.0087874995143502</v>
      </c>
      <c r="Z32" s="69">
        <v>0.51024584313152399</v>
      </c>
      <c r="AA32" s="69">
        <v>39.858504785759003</v>
      </c>
      <c r="AB32" s="69">
        <v>123.145186155376</v>
      </c>
      <c r="AC32" s="69">
        <v>865.22819413747504</v>
      </c>
      <c r="AD32" s="69">
        <v>81.037427815337594</v>
      </c>
      <c r="AE32" s="69">
        <v>1181.03326095432</v>
      </c>
      <c r="AF32" s="69">
        <v>3.1933424546768698</v>
      </c>
      <c r="AG32" s="69">
        <v>113.08616188789701</v>
      </c>
      <c r="AH32" s="69">
        <v>365.32179590019302</v>
      </c>
      <c r="AI32" s="69">
        <v>179.53761815913899</v>
      </c>
      <c r="AJ32" s="69">
        <v>314.57527270246197</v>
      </c>
      <c r="AK32" s="69">
        <v>24.326498182712601</v>
      </c>
      <c r="AL32" s="69">
        <v>48.4592935099611</v>
      </c>
      <c r="AM32" s="69">
        <v>40.584238614869001</v>
      </c>
      <c r="AN32" s="69">
        <v>8.1578398585367005</v>
      </c>
      <c r="AO32" s="69">
        <v>4.0792471416203799</v>
      </c>
      <c r="AP32" s="69">
        <v>370.95157338109601</v>
      </c>
      <c r="AQ32" s="69">
        <v>64.810550651155694</v>
      </c>
      <c r="AR32" s="69">
        <v>0.524028578919426</v>
      </c>
      <c r="AS32" s="69">
        <v>1.4191786245268999E-2</v>
      </c>
      <c r="AT32" s="69">
        <v>4.9475271279922801E-3</v>
      </c>
      <c r="AU32" s="69">
        <v>4.3131882776545699E-2</v>
      </c>
      <c r="AV32" s="69">
        <v>0.49852937895786398</v>
      </c>
      <c r="AW32" s="69">
        <v>6.72507124892799</v>
      </c>
      <c r="AX32" s="69">
        <v>0</v>
      </c>
      <c r="AY32" s="69">
        <v>2.2556659486669202E-3</v>
      </c>
      <c r="AZ32" s="69">
        <v>2.4599333257326501E-2</v>
      </c>
      <c r="BA32" s="69">
        <v>0</v>
      </c>
      <c r="BB32" s="69">
        <v>0</v>
      </c>
      <c r="BC32" s="69">
        <v>0.43841126206291697</v>
      </c>
      <c r="BD32" s="69">
        <v>8.2610748641633994E-2</v>
      </c>
      <c r="BE32" s="69">
        <v>0.59592198433954302</v>
      </c>
      <c r="BF32" s="69">
        <v>1.03118731490146E-3</v>
      </c>
      <c r="BG32" s="69">
        <v>5.5711377370334896</v>
      </c>
      <c r="BH32" s="69">
        <v>0.42589318677689503</v>
      </c>
      <c r="BI32" s="69">
        <v>0.18180792334686199</v>
      </c>
      <c r="BJ32" s="69">
        <v>3.9121995118858899</v>
      </c>
      <c r="BK32" s="69">
        <v>0.671222291227213</v>
      </c>
      <c r="BL32" s="69">
        <v>0</v>
      </c>
      <c r="BM32" s="69">
        <v>0.48075741696939001</v>
      </c>
      <c r="BN32" s="69">
        <v>0.141359974928424</v>
      </c>
      <c r="BO32" s="69">
        <v>0</v>
      </c>
      <c r="BP32" s="69">
        <v>0.13054991453048601</v>
      </c>
      <c r="BQ32" s="70">
        <v>0</v>
      </c>
      <c r="BR32" s="71">
        <v>4228.9201357484499</v>
      </c>
      <c r="BS32" s="72">
        <v>0</v>
      </c>
      <c r="BT32" s="73">
        <v>0</v>
      </c>
      <c r="BU32" s="73">
        <v>0</v>
      </c>
      <c r="BV32" s="73">
        <v>7.2627565717774303</v>
      </c>
      <c r="BW32" s="73">
        <v>14.3604694223416</v>
      </c>
      <c r="BX32" s="74">
        <v>0</v>
      </c>
      <c r="BY32" s="71">
        <v>21.623225994119</v>
      </c>
      <c r="BZ32" s="75">
        <v>4250.5433617425697</v>
      </c>
    </row>
    <row r="33" spans="1:78" ht="15" customHeight="1" x14ac:dyDescent="0.3">
      <c r="A33" s="33" t="s">
        <v>51</v>
      </c>
      <c r="B33" s="11" t="s">
        <v>119</v>
      </c>
      <c r="C33" s="68">
        <v>8.9869251621418105</v>
      </c>
      <c r="D33" s="69">
        <v>1.81003918485157</v>
      </c>
      <c r="E33" s="69">
        <v>7.3111559211644001E-2</v>
      </c>
      <c r="F33" s="69">
        <v>0.15339633111256101</v>
      </c>
      <c r="G33" s="69">
        <v>3.8442453914138799</v>
      </c>
      <c r="H33" s="69">
        <v>1.5884406457320199</v>
      </c>
      <c r="I33" s="69">
        <v>3.39058644460277</v>
      </c>
      <c r="J33" s="69">
        <v>9.5312813820780704</v>
      </c>
      <c r="K33" s="69">
        <v>0.25922060026774302</v>
      </c>
      <c r="L33" s="69">
        <v>16.256237035522101</v>
      </c>
      <c r="M33" s="69">
        <v>1.8529164806470999</v>
      </c>
      <c r="N33" s="69">
        <v>6.8744320045243503E-3</v>
      </c>
      <c r="O33" s="69">
        <v>0.29328193294757698</v>
      </c>
      <c r="P33" s="69">
        <v>4.6531055480147999E-2</v>
      </c>
      <c r="Q33" s="69">
        <v>0.21138042796397899</v>
      </c>
      <c r="R33" s="69">
        <v>0.52828656032370702</v>
      </c>
      <c r="S33" s="69">
        <v>15.2448907208243</v>
      </c>
      <c r="T33" s="69">
        <v>8.0207712101104303</v>
      </c>
      <c r="U33" s="69">
        <v>0.153867819290778</v>
      </c>
      <c r="V33" s="69">
        <v>6.9865156769161199E-3</v>
      </c>
      <c r="W33" s="69">
        <v>45.800547910132501</v>
      </c>
      <c r="X33" s="69">
        <v>10.385704104597099</v>
      </c>
      <c r="Y33" s="69">
        <v>1.6826630999444201</v>
      </c>
      <c r="Z33" s="69">
        <v>0.38553725360968899</v>
      </c>
      <c r="AA33" s="69">
        <v>4.3159724023779802</v>
      </c>
      <c r="AB33" s="69">
        <v>6.5862859180442701</v>
      </c>
      <c r="AC33" s="69">
        <v>69.863107728809595</v>
      </c>
      <c r="AD33" s="69">
        <v>455.80523957288898</v>
      </c>
      <c r="AE33" s="69">
        <v>92.619366372031607</v>
      </c>
      <c r="AF33" s="69">
        <v>6.0519367596764404</v>
      </c>
      <c r="AG33" s="69">
        <v>241.62239331786401</v>
      </c>
      <c r="AH33" s="69">
        <v>72.070789861136902</v>
      </c>
      <c r="AI33" s="69">
        <v>22.110088265079298</v>
      </c>
      <c r="AJ33" s="69">
        <v>121.931910394322</v>
      </c>
      <c r="AK33" s="69">
        <v>22.5647788239602</v>
      </c>
      <c r="AL33" s="69">
        <v>83.044257785270901</v>
      </c>
      <c r="AM33" s="69">
        <v>35.830193130658401</v>
      </c>
      <c r="AN33" s="69">
        <v>1.2146890571818401</v>
      </c>
      <c r="AO33" s="69">
        <v>3.9333963672989101</v>
      </c>
      <c r="AP33" s="69">
        <v>64.612121573226901</v>
      </c>
      <c r="AQ33" s="69">
        <v>14.747614331902399</v>
      </c>
      <c r="AR33" s="69">
        <v>0.58410830361166999</v>
      </c>
      <c r="AS33" s="69">
        <v>1.90027485190289E-2</v>
      </c>
      <c r="AT33" s="69">
        <v>0</v>
      </c>
      <c r="AU33" s="69">
        <v>2.6190826440301702E-2</v>
      </c>
      <c r="AV33" s="69">
        <v>0.143583818929435</v>
      </c>
      <c r="AW33" s="69">
        <v>1.8777119119125301</v>
      </c>
      <c r="AX33" s="69">
        <v>5.9378685377761403E-3</v>
      </c>
      <c r="AY33" s="69">
        <v>2.67522529544479E-3</v>
      </c>
      <c r="AZ33" s="69">
        <v>2.6785077882235199E-2</v>
      </c>
      <c r="BA33" s="69">
        <v>7.9717432421088901E-3</v>
      </c>
      <c r="BB33" s="69">
        <v>1.24237543157534E-2</v>
      </c>
      <c r="BC33" s="69">
        <v>0.93983994649755198</v>
      </c>
      <c r="BD33" s="69">
        <v>3.28937173834025E-2</v>
      </c>
      <c r="BE33" s="69">
        <v>8.0065754327083294E-3</v>
      </c>
      <c r="BF33" s="69">
        <v>1.04224157428352E-2</v>
      </c>
      <c r="BG33" s="69">
        <v>2.9938405024210999E-2</v>
      </c>
      <c r="BH33" s="69">
        <v>0.23204679638419401</v>
      </c>
      <c r="BI33" s="69">
        <v>5.1751505007611102E-2</v>
      </c>
      <c r="BJ33" s="69">
        <v>0.30746347259603202</v>
      </c>
      <c r="BK33" s="69">
        <v>3.8477600440641302E-2</v>
      </c>
      <c r="BL33" s="69">
        <v>4.4826087074236699E-3</v>
      </c>
      <c r="BM33" s="69">
        <v>0.67916307728482295</v>
      </c>
      <c r="BN33" s="69">
        <v>1.1620212595155099</v>
      </c>
      <c r="BO33" s="69">
        <v>1.3338942844135901E-3</v>
      </c>
      <c r="BP33" s="69">
        <v>0.64440329156263998</v>
      </c>
      <c r="BQ33" s="70">
        <v>0</v>
      </c>
      <c r="BR33" s="71">
        <v>1456.2865007667699</v>
      </c>
      <c r="BS33" s="72">
        <v>0</v>
      </c>
      <c r="BT33" s="73">
        <v>0</v>
      </c>
      <c r="BU33" s="73">
        <v>0</v>
      </c>
      <c r="BV33" s="73">
        <v>10.7685938668298</v>
      </c>
      <c r="BW33" s="73">
        <v>8.7659569296529405</v>
      </c>
      <c r="BX33" s="74">
        <v>0</v>
      </c>
      <c r="BY33" s="71">
        <v>19.534550796482801</v>
      </c>
      <c r="BZ33" s="75">
        <v>1475.82105156325</v>
      </c>
    </row>
    <row r="34" spans="1:78" ht="15" customHeight="1" x14ac:dyDescent="0.3">
      <c r="A34" s="33" t="s">
        <v>52</v>
      </c>
      <c r="B34" s="11" t="s">
        <v>120</v>
      </c>
      <c r="C34" s="68">
        <v>3.2474492564479398</v>
      </c>
      <c r="D34" s="69">
        <v>13.3556283353956</v>
      </c>
      <c r="E34" s="69">
        <v>3.5045174193135101E-3</v>
      </c>
      <c r="F34" s="69">
        <v>1.6004886549989601</v>
      </c>
      <c r="G34" s="69">
        <v>27.366091788245701</v>
      </c>
      <c r="H34" s="69">
        <v>51.812530678988402</v>
      </c>
      <c r="I34" s="69">
        <v>8.7409469721791009</v>
      </c>
      <c r="J34" s="69">
        <v>69.392597396490601</v>
      </c>
      <c r="K34" s="69">
        <v>2.77046619273845</v>
      </c>
      <c r="L34" s="69">
        <v>54.147278570641397</v>
      </c>
      <c r="M34" s="69">
        <v>98.550288064537298</v>
      </c>
      <c r="N34" s="69">
        <v>0</v>
      </c>
      <c r="O34" s="69">
        <v>1.8457979809365901</v>
      </c>
      <c r="P34" s="69">
        <v>1.6165305290035801</v>
      </c>
      <c r="Q34" s="69">
        <v>0.39144358715414701</v>
      </c>
      <c r="R34" s="69">
        <v>30.457283709785798</v>
      </c>
      <c r="S34" s="69">
        <v>4.7135666318981002</v>
      </c>
      <c r="T34" s="69">
        <v>0.29764204650943998</v>
      </c>
      <c r="U34" s="69">
        <v>9.2068758189389701</v>
      </c>
      <c r="V34" s="69">
        <v>3.6770036327618903E-2</v>
      </c>
      <c r="W34" s="69">
        <v>16.948741396148701</v>
      </c>
      <c r="X34" s="69">
        <v>19.075822999430599</v>
      </c>
      <c r="Y34" s="69">
        <v>18.792112096122001</v>
      </c>
      <c r="Z34" s="69">
        <v>1.4802248474461699</v>
      </c>
      <c r="AA34" s="69">
        <v>8.7462764520128999</v>
      </c>
      <c r="AB34" s="69">
        <v>9.3632526985132198</v>
      </c>
      <c r="AC34" s="69">
        <v>33.731127298074398</v>
      </c>
      <c r="AD34" s="69">
        <v>17.832215562109301</v>
      </c>
      <c r="AE34" s="69">
        <v>277.13986968097203</v>
      </c>
      <c r="AF34" s="69">
        <v>25.621586479607402</v>
      </c>
      <c r="AG34" s="69">
        <v>86.239137487583804</v>
      </c>
      <c r="AH34" s="69">
        <v>177.5087700636</v>
      </c>
      <c r="AI34" s="69">
        <v>112.666261077519</v>
      </c>
      <c r="AJ34" s="69">
        <v>63.1021278408043</v>
      </c>
      <c r="AK34" s="69">
        <v>26.295116081388699</v>
      </c>
      <c r="AL34" s="69">
        <v>34.728747889974102</v>
      </c>
      <c r="AM34" s="69">
        <v>84.687293032989103</v>
      </c>
      <c r="AN34" s="69">
        <v>50.350393902628802</v>
      </c>
      <c r="AO34" s="69">
        <v>16.135759797480599</v>
      </c>
      <c r="AP34" s="69">
        <v>486.69147981398498</v>
      </c>
      <c r="AQ34" s="69">
        <v>37.979628572149799</v>
      </c>
      <c r="AR34" s="69">
        <v>5.0510923760659896</v>
      </c>
      <c r="AS34" s="69">
        <v>8.9257495249351504E-2</v>
      </c>
      <c r="AT34" s="69">
        <v>6.7916054211530394E-2</v>
      </c>
      <c r="AU34" s="69">
        <v>0.16443296198416699</v>
      </c>
      <c r="AV34" s="69">
        <v>8.5159870196218996</v>
      </c>
      <c r="AW34" s="69">
        <v>109.495782737787</v>
      </c>
      <c r="AX34" s="69">
        <v>0</v>
      </c>
      <c r="AY34" s="69">
        <v>4.6000777166825699E-2</v>
      </c>
      <c r="AZ34" s="69">
        <v>0.239578115631713</v>
      </c>
      <c r="BA34" s="69">
        <v>4.3536063419457399E-2</v>
      </c>
      <c r="BB34" s="69">
        <v>3.6269475776353997E-2</v>
      </c>
      <c r="BC34" s="69">
        <v>5.4323068564223602</v>
      </c>
      <c r="BD34" s="69">
        <v>0.26519322417130797</v>
      </c>
      <c r="BE34" s="69">
        <v>0.27850027385689602</v>
      </c>
      <c r="BF34" s="69">
        <v>0.21961680779020201</v>
      </c>
      <c r="BG34" s="69">
        <v>0.29757909635908403</v>
      </c>
      <c r="BH34" s="69">
        <v>4.2707427710147599</v>
      </c>
      <c r="BI34" s="69">
        <v>3.0374147128856501</v>
      </c>
      <c r="BJ34" s="69">
        <v>14.468166858701901</v>
      </c>
      <c r="BK34" s="69">
        <v>1.0305270187131701</v>
      </c>
      <c r="BL34" s="69">
        <v>1.8237863631955401E-2</v>
      </c>
      <c r="BM34" s="69">
        <v>0.89533501177821095</v>
      </c>
      <c r="BN34" s="69">
        <v>1.79165949179497</v>
      </c>
      <c r="BO34" s="69">
        <v>4.0573226685553999E-2</v>
      </c>
      <c r="BP34" s="69">
        <v>2.14139788056313</v>
      </c>
      <c r="BQ34" s="70">
        <v>0</v>
      </c>
      <c r="BR34" s="71">
        <v>2142.60623001046</v>
      </c>
      <c r="BS34" s="72">
        <v>0</v>
      </c>
      <c r="BT34" s="73">
        <v>0</v>
      </c>
      <c r="BU34" s="73">
        <v>0</v>
      </c>
      <c r="BV34" s="73">
        <v>108.67341233907401</v>
      </c>
      <c r="BW34" s="73">
        <v>157.96383361617299</v>
      </c>
      <c r="BX34" s="74">
        <v>0</v>
      </c>
      <c r="BY34" s="71">
        <v>266.63724595524701</v>
      </c>
      <c r="BZ34" s="75">
        <v>2409.2434759657099</v>
      </c>
    </row>
    <row r="35" spans="1:78" ht="15" customHeight="1" x14ac:dyDescent="0.3">
      <c r="A35" s="33" t="s">
        <v>53</v>
      </c>
      <c r="B35" s="11" t="s">
        <v>121</v>
      </c>
      <c r="C35" s="68">
        <v>5.27830358163432E-2</v>
      </c>
      <c r="D35" s="69">
        <v>5.2822723856941201E-2</v>
      </c>
      <c r="E35" s="69">
        <v>1.9223021703324399E-4</v>
      </c>
      <c r="F35" s="69">
        <v>0.296363716289894</v>
      </c>
      <c r="G35" s="69">
        <v>18.7735227330867</v>
      </c>
      <c r="H35" s="69">
        <v>9.5291862522232105</v>
      </c>
      <c r="I35" s="69">
        <v>0.82827892164399197</v>
      </c>
      <c r="J35" s="69">
        <v>0.32651812086854998</v>
      </c>
      <c r="K35" s="69">
        <v>1.0137249354858E-2</v>
      </c>
      <c r="L35" s="69">
        <v>0.64704435852589504</v>
      </c>
      <c r="M35" s="69">
        <v>0.214872373972644</v>
      </c>
      <c r="N35" s="69">
        <v>7.7076964899212399E-3</v>
      </c>
      <c r="O35" s="69">
        <v>0.122005071372865</v>
      </c>
      <c r="P35" s="69">
        <v>0.42889444633426899</v>
      </c>
      <c r="Q35" s="69">
        <v>8.3549603447868201E-2</v>
      </c>
      <c r="R35" s="69">
        <v>0.17111336349165199</v>
      </c>
      <c r="S35" s="69">
        <v>0.32133153368283801</v>
      </c>
      <c r="T35" s="69">
        <v>14.940629465347</v>
      </c>
      <c r="U35" s="69">
        <v>5.5113032335440598E-2</v>
      </c>
      <c r="V35" s="69">
        <v>3.6977034522421397E-2</v>
      </c>
      <c r="W35" s="69">
        <v>0.45910963694839102</v>
      </c>
      <c r="X35" s="69">
        <v>0.51986492494071401</v>
      </c>
      <c r="Y35" s="69">
        <v>0.24723442641902801</v>
      </c>
      <c r="Z35" s="69">
        <v>0.12267105952839399</v>
      </c>
      <c r="AA35" s="69">
        <v>1.3280213505738701</v>
      </c>
      <c r="AB35" s="69">
        <v>0.29907305479516999</v>
      </c>
      <c r="AC35" s="69">
        <v>0.10748238291479</v>
      </c>
      <c r="AD35" s="69">
        <v>0.19792667852585699</v>
      </c>
      <c r="AE35" s="69">
        <v>0.359558696112184</v>
      </c>
      <c r="AF35" s="69">
        <v>1121.6923955449499</v>
      </c>
      <c r="AG35" s="69">
        <v>29.166075207745301</v>
      </c>
      <c r="AH35" s="69">
        <v>55.344170862161697</v>
      </c>
      <c r="AI35" s="69">
        <v>14.410171167619</v>
      </c>
      <c r="AJ35" s="69">
        <v>11.851639898887701</v>
      </c>
      <c r="AK35" s="69">
        <v>1.7858912319767399</v>
      </c>
      <c r="AL35" s="69">
        <v>5.9919891229440996</v>
      </c>
      <c r="AM35" s="69">
        <v>39.759024675992897</v>
      </c>
      <c r="AN35" s="69">
        <v>8.5510504778344298</v>
      </c>
      <c r="AO35" s="69">
        <v>0.33007169280149701</v>
      </c>
      <c r="AP35" s="69">
        <v>19.8894391229157</v>
      </c>
      <c r="AQ35" s="69">
        <v>12.8402776739541</v>
      </c>
      <c r="AR35" s="69">
        <v>1.13405984905582</v>
      </c>
      <c r="AS35" s="69">
        <v>0.28205230990688901</v>
      </c>
      <c r="AT35" s="69">
        <v>8.4925573228277502E-3</v>
      </c>
      <c r="AU35" s="69">
        <v>10.1637740461455</v>
      </c>
      <c r="AV35" s="69">
        <v>1.0993121527542799E-2</v>
      </c>
      <c r="AW35" s="69">
        <v>0.12727462352357599</v>
      </c>
      <c r="AX35" s="69">
        <v>2.8114259954559299E-2</v>
      </c>
      <c r="AY35" s="69">
        <v>13.5034256942089</v>
      </c>
      <c r="AZ35" s="69">
        <v>7.8677826937496604</v>
      </c>
      <c r="BA35" s="69">
        <v>122.083074676012</v>
      </c>
      <c r="BB35" s="69">
        <v>11.2460894682101</v>
      </c>
      <c r="BC35" s="69">
        <v>0.36164827055646698</v>
      </c>
      <c r="BD35" s="69">
        <v>20.0405296032677</v>
      </c>
      <c r="BE35" s="69">
        <v>51.9932182631158</v>
      </c>
      <c r="BF35" s="69">
        <v>7.5859859300983397</v>
      </c>
      <c r="BG35" s="69">
        <v>1.79575365628286</v>
      </c>
      <c r="BH35" s="69">
        <v>53.558694598676396</v>
      </c>
      <c r="BI35" s="69">
        <v>2.3880772546747</v>
      </c>
      <c r="BJ35" s="69">
        <v>8.3805553691853891</v>
      </c>
      <c r="BK35" s="69">
        <v>17.364862745911399</v>
      </c>
      <c r="BL35" s="69">
        <v>4.8075261914904299</v>
      </c>
      <c r="BM35" s="69">
        <v>6.8073480966517703</v>
      </c>
      <c r="BN35" s="69">
        <v>9.8534447304098407</v>
      </c>
      <c r="BO35" s="69">
        <v>4.27439407357544</v>
      </c>
      <c r="BP35" s="69">
        <v>33.197369673209501</v>
      </c>
      <c r="BQ35" s="70">
        <v>0</v>
      </c>
      <c r="BR35" s="71">
        <v>1761.0167236101499</v>
      </c>
      <c r="BS35" s="72">
        <v>0</v>
      </c>
      <c r="BT35" s="73">
        <v>0</v>
      </c>
      <c r="BU35" s="73">
        <v>0</v>
      </c>
      <c r="BV35" s="73">
        <v>2193.1104516242099</v>
      </c>
      <c r="BW35" s="73">
        <v>1569.5135411998899</v>
      </c>
      <c r="BX35" s="74">
        <v>0</v>
      </c>
      <c r="BY35" s="71">
        <v>3762.6239928240998</v>
      </c>
      <c r="BZ35" s="75">
        <v>5523.64071643425</v>
      </c>
    </row>
    <row r="36" spans="1:78" ht="15" customHeight="1" x14ac:dyDescent="0.3">
      <c r="A36" s="33" t="s">
        <v>54</v>
      </c>
      <c r="B36" s="11" t="s">
        <v>122</v>
      </c>
      <c r="C36" s="68">
        <v>0.27074818255116401</v>
      </c>
      <c r="D36" s="69">
        <v>1.4083785274488601</v>
      </c>
      <c r="E36" s="69">
        <v>1.42774815863458E-3</v>
      </c>
      <c r="F36" s="69">
        <v>7.4219995113334297E-2</v>
      </c>
      <c r="G36" s="69">
        <v>12.913998147007399</v>
      </c>
      <c r="H36" s="69">
        <v>4.01725020470065</v>
      </c>
      <c r="I36" s="69">
        <v>0.386556366751376</v>
      </c>
      <c r="J36" s="69">
        <v>0.84398233993215099</v>
      </c>
      <c r="K36" s="69">
        <v>4.6625274469241702E-2</v>
      </c>
      <c r="L36" s="69">
        <v>1.18909734211858</v>
      </c>
      <c r="M36" s="69">
        <v>0.96917003938428203</v>
      </c>
      <c r="N36" s="69">
        <v>3.5413740629367898E-3</v>
      </c>
      <c r="O36" s="69">
        <v>1.4868549992922</v>
      </c>
      <c r="P36" s="69">
        <v>2.5969282756951401E-2</v>
      </c>
      <c r="Q36" s="69">
        <v>6.1842359235411398E-2</v>
      </c>
      <c r="R36" s="69">
        <v>0.28074752679391202</v>
      </c>
      <c r="S36" s="69">
        <v>1.99764226017238</v>
      </c>
      <c r="T36" s="69">
        <v>0.39497359949592198</v>
      </c>
      <c r="U36" s="69">
        <v>6.9118836244582593E-2</v>
      </c>
      <c r="V36" s="69">
        <v>1.12638785421209E-2</v>
      </c>
      <c r="W36" s="69">
        <v>2.68915465844937</v>
      </c>
      <c r="X36" s="69">
        <v>0.33717402960971499</v>
      </c>
      <c r="Y36" s="69">
        <v>0.290294467994198</v>
      </c>
      <c r="Z36" s="69">
        <v>5.8929585427292798E-2</v>
      </c>
      <c r="AA36" s="69">
        <v>3.5573827501425499</v>
      </c>
      <c r="AB36" s="69">
        <v>4.2734147453438602</v>
      </c>
      <c r="AC36" s="69">
        <v>2.4637001865708901</v>
      </c>
      <c r="AD36" s="69">
        <v>6.8511813546880402</v>
      </c>
      <c r="AE36" s="69">
        <v>7.7015023547465802</v>
      </c>
      <c r="AF36" s="69">
        <v>64.627478731852094</v>
      </c>
      <c r="AG36" s="69">
        <v>333.966005045467</v>
      </c>
      <c r="AH36" s="69">
        <v>101.833951546374</v>
      </c>
      <c r="AI36" s="69">
        <v>21.104726890060402</v>
      </c>
      <c r="AJ36" s="69">
        <v>37.767402409577898</v>
      </c>
      <c r="AK36" s="69">
        <v>6.1989432555842896</v>
      </c>
      <c r="AL36" s="69">
        <v>8.5853362035057206</v>
      </c>
      <c r="AM36" s="69">
        <v>69.465662799287003</v>
      </c>
      <c r="AN36" s="69">
        <v>162.37461283629199</v>
      </c>
      <c r="AO36" s="69">
        <v>7.7234377982793898</v>
      </c>
      <c r="AP36" s="69">
        <v>247.53999846036999</v>
      </c>
      <c r="AQ36" s="69">
        <v>36.578875573950199</v>
      </c>
      <c r="AR36" s="69">
        <v>33.697701867887297</v>
      </c>
      <c r="AS36" s="69">
        <v>0.10318726756593501</v>
      </c>
      <c r="AT36" s="69">
        <v>4.30189045131831E-3</v>
      </c>
      <c r="AU36" s="69">
        <v>1.7332998210661601</v>
      </c>
      <c r="AV36" s="69">
        <v>0.12688115803345601</v>
      </c>
      <c r="AW36" s="69">
        <v>0.83265583631134998</v>
      </c>
      <c r="AX36" s="69">
        <v>9.4958969067580699E-3</v>
      </c>
      <c r="AY36" s="69">
        <v>1.4229957885431099</v>
      </c>
      <c r="AZ36" s="69">
        <v>22.508296495155399</v>
      </c>
      <c r="BA36" s="69">
        <v>0.58262315550850297</v>
      </c>
      <c r="BB36" s="69">
        <v>5.4546119438249697E-2</v>
      </c>
      <c r="BC36" s="69">
        <v>12.507313447814999</v>
      </c>
      <c r="BD36" s="69">
        <v>12.8996605997371</v>
      </c>
      <c r="BE36" s="69">
        <v>0.88999851607173497</v>
      </c>
      <c r="BF36" s="69">
        <v>5.4642128133836301E-2</v>
      </c>
      <c r="BG36" s="69">
        <v>4.65133029929349E-2</v>
      </c>
      <c r="BH36" s="69">
        <v>19.993106282567901</v>
      </c>
      <c r="BI36" s="69">
        <v>3.2443596877153702E-2</v>
      </c>
      <c r="BJ36" s="69">
        <v>1.6089354297174701</v>
      </c>
      <c r="BK36" s="69">
        <v>0.97949507269051905</v>
      </c>
      <c r="BL36" s="69">
        <v>1.6411315826258498E-2</v>
      </c>
      <c r="BM36" s="69">
        <v>0.18364667195199899</v>
      </c>
      <c r="BN36" s="69">
        <v>0.173136208800483</v>
      </c>
      <c r="BO36" s="69">
        <v>2.2925168781840002E-2</v>
      </c>
      <c r="BP36" s="69">
        <v>38.795457881469197</v>
      </c>
      <c r="BQ36" s="70">
        <v>0</v>
      </c>
      <c r="BR36" s="71">
        <v>1301.7222448881</v>
      </c>
      <c r="BS36" s="72">
        <v>0</v>
      </c>
      <c r="BT36" s="73">
        <v>0</v>
      </c>
      <c r="BU36" s="73">
        <v>0</v>
      </c>
      <c r="BV36" s="73">
        <v>696.28003079897201</v>
      </c>
      <c r="BW36" s="73">
        <v>439.71319933453299</v>
      </c>
      <c r="BX36" s="74">
        <v>0</v>
      </c>
      <c r="BY36" s="71">
        <v>1135.99323013351</v>
      </c>
      <c r="BZ36" s="75">
        <v>2437.71547502161</v>
      </c>
    </row>
    <row r="37" spans="1:78" ht="15" customHeight="1" x14ac:dyDescent="0.3">
      <c r="A37" s="33" t="s">
        <v>55</v>
      </c>
      <c r="B37" s="11" t="s">
        <v>123</v>
      </c>
      <c r="C37" s="68">
        <v>0.846894505344713</v>
      </c>
      <c r="D37" s="69">
        <v>0.65550889146152502</v>
      </c>
      <c r="E37" s="69">
        <v>5.28629172412475E-3</v>
      </c>
      <c r="F37" s="69">
        <v>2.8385683306187399</v>
      </c>
      <c r="G37" s="69">
        <v>180.811392336382</v>
      </c>
      <c r="H37" s="69">
        <v>230.73060313924901</v>
      </c>
      <c r="I37" s="69">
        <v>22.889847866540102</v>
      </c>
      <c r="J37" s="69">
        <v>1.74465448188007</v>
      </c>
      <c r="K37" s="69">
        <v>0.13293828122505699</v>
      </c>
      <c r="L37" s="69">
        <v>2.1867372536259002</v>
      </c>
      <c r="M37" s="69">
        <v>2.52519919943111</v>
      </c>
      <c r="N37" s="69">
        <v>7.4993803685720201E-3</v>
      </c>
      <c r="O37" s="69">
        <v>0.87763908279708702</v>
      </c>
      <c r="P37" s="69">
        <v>0.301370636439735</v>
      </c>
      <c r="Q37" s="69">
        <v>0.26118124457277098</v>
      </c>
      <c r="R37" s="69">
        <v>0.67344614680077297</v>
      </c>
      <c r="S37" s="69">
        <v>0.48317745784510202</v>
      </c>
      <c r="T37" s="69">
        <v>0.35102986422363602</v>
      </c>
      <c r="U37" s="69">
        <v>0.19770693904313499</v>
      </c>
      <c r="V37" s="69">
        <v>2.3065965690459201E-2</v>
      </c>
      <c r="W37" s="69">
        <v>0.70727612064569001</v>
      </c>
      <c r="X37" s="69">
        <v>0.62361913573566496</v>
      </c>
      <c r="Y37" s="69">
        <v>0.57922373352297096</v>
      </c>
      <c r="Z37" s="69">
        <v>0.11630414312352701</v>
      </c>
      <c r="AA37" s="69">
        <v>4.5558661203481101</v>
      </c>
      <c r="AB37" s="69">
        <v>1.3262019692991101</v>
      </c>
      <c r="AC37" s="69">
        <v>1.36371085328528</v>
      </c>
      <c r="AD37" s="69">
        <v>1.58217545430162</v>
      </c>
      <c r="AE37" s="69">
        <v>6.8006293229635597</v>
      </c>
      <c r="AF37" s="69">
        <v>5.6012215384914104</v>
      </c>
      <c r="AG37" s="69">
        <v>23.4519946424967</v>
      </c>
      <c r="AH37" s="69">
        <v>755.31156064203401</v>
      </c>
      <c r="AI37" s="69">
        <v>49.249245111502503</v>
      </c>
      <c r="AJ37" s="69">
        <v>5.6776728538326102</v>
      </c>
      <c r="AK37" s="69">
        <v>9.6099353773109595</v>
      </c>
      <c r="AL37" s="69">
        <v>2.1815192415673401</v>
      </c>
      <c r="AM37" s="69">
        <v>285.78272596361302</v>
      </c>
      <c r="AN37" s="69">
        <v>5.6918681326219103</v>
      </c>
      <c r="AO37" s="69">
        <v>1.79864571716815</v>
      </c>
      <c r="AP37" s="69">
        <v>105.480716400611</v>
      </c>
      <c r="AQ37" s="69">
        <v>21.887884924848301</v>
      </c>
      <c r="AR37" s="69">
        <v>4.56241315278037</v>
      </c>
      <c r="AS37" s="69">
        <v>5.0874330502155498</v>
      </c>
      <c r="AT37" s="69">
        <v>0.13788512290711</v>
      </c>
      <c r="AU37" s="69">
        <v>5.7374233415340603</v>
      </c>
      <c r="AV37" s="69">
        <v>0.70951247339141299</v>
      </c>
      <c r="AW37" s="69">
        <v>2.6033908269572401</v>
      </c>
      <c r="AX37" s="69">
        <v>1.3382838640963001E-2</v>
      </c>
      <c r="AY37" s="69">
        <v>0.131687837445014</v>
      </c>
      <c r="AZ37" s="69">
        <v>1.90831301750537</v>
      </c>
      <c r="BA37" s="69">
        <v>0.68844066755734901</v>
      </c>
      <c r="BB37" s="69">
        <v>8.5710222418110299E-2</v>
      </c>
      <c r="BC37" s="69">
        <v>0.56803758028990303</v>
      </c>
      <c r="BD37" s="69">
        <v>0.508496591441017</v>
      </c>
      <c r="BE37" s="69">
        <v>1.1497149243489799</v>
      </c>
      <c r="BF37" s="69">
        <v>0.114731095000687</v>
      </c>
      <c r="BG37" s="69">
        <v>0.187575681266202</v>
      </c>
      <c r="BH37" s="69">
        <v>38.055758595984003</v>
      </c>
      <c r="BI37" s="69">
        <v>6.0593622260677701E-2</v>
      </c>
      <c r="BJ37" s="69">
        <v>2.0171007922615498</v>
      </c>
      <c r="BK37" s="69">
        <v>0.38719667482745301</v>
      </c>
      <c r="BL37" s="69">
        <v>3.5546842848172999E-2</v>
      </c>
      <c r="BM37" s="69">
        <v>4.25379968410929</v>
      </c>
      <c r="BN37" s="69">
        <v>1.0664773060124</v>
      </c>
      <c r="BO37" s="69">
        <v>1.41393397225851E-2</v>
      </c>
      <c r="BP37" s="69">
        <v>2.7871448751308798</v>
      </c>
      <c r="BQ37" s="70">
        <v>0</v>
      </c>
      <c r="BR37" s="71">
        <v>1810.7956508514401</v>
      </c>
      <c r="BS37" s="72">
        <v>0</v>
      </c>
      <c r="BT37" s="73">
        <v>0</v>
      </c>
      <c r="BU37" s="73">
        <v>0</v>
      </c>
      <c r="BV37" s="73">
        <v>131.41041459073401</v>
      </c>
      <c r="BW37" s="73">
        <v>2050.1732459059699</v>
      </c>
      <c r="BX37" s="74">
        <v>0</v>
      </c>
      <c r="BY37" s="71">
        <v>2181.5836604967099</v>
      </c>
      <c r="BZ37" s="75">
        <v>3992.3793113481502</v>
      </c>
    </row>
    <row r="38" spans="1:78" ht="15" customHeight="1" x14ac:dyDescent="0.3">
      <c r="A38" s="33" t="s">
        <v>56</v>
      </c>
      <c r="B38" s="11" t="s">
        <v>124</v>
      </c>
      <c r="C38" s="68">
        <v>3.6456625455302302E-2</v>
      </c>
      <c r="D38" s="69">
        <v>3.0249594380505299E-2</v>
      </c>
      <c r="E38" s="69">
        <v>0</v>
      </c>
      <c r="F38" s="69">
        <v>1.4934679436309099E-2</v>
      </c>
      <c r="G38" s="69">
        <v>1.5431437145637099</v>
      </c>
      <c r="H38" s="69">
        <v>1.5114894836331001</v>
      </c>
      <c r="I38" s="69">
        <v>0.131345666419796</v>
      </c>
      <c r="J38" s="69">
        <v>8.4235579285544801E-2</v>
      </c>
      <c r="K38" s="69">
        <v>1.02589093441324E-2</v>
      </c>
      <c r="L38" s="69">
        <v>0.16903501834679099</v>
      </c>
      <c r="M38" s="69">
        <v>8.9482773093429196E-2</v>
      </c>
      <c r="N38" s="69">
        <v>0</v>
      </c>
      <c r="O38" s="69">
        <v>0.25863468528516897</v>
      </c>
      <c r="P38" s="69">
        <v>3.0641431799317099E-2</v>
      </c>
      <c r="Q38" s="69">
        <v>4.7315774287405299E-2</v>
      </c>
      <c r="R38" s="69">
        <v>1.7880326215100301E-2</v>
      </c>
      <c r="S38" s="69">
        <v>5.77734143923661E-2</v>
      </c>
      <c r="T38" s="69">
        <v>1.22135200964823E-2</v>
      </c>
      <c r="U38" s="69">
        <v>4.3776193594829201E-3</v>
      </c>
      <c r="V38" s="69">
        <v>1.8867443743794199E-3</v>
      </c>
      <c r="W38" s="69">
        <v>7.57230793338564E-2</v>
      </c>
      <c r="X38" s="69">
        <v>1.7449556454603499E-2</v>
      </c>
      <c r="Y38" s="69">
        <v>3.2420952557094297E-2</v>
      </c>
      <c r="Z38" s="69">
        <v>8.1055706339001905E-3</v>
      </c>
      <c r="AA38" s="69">
        <v>0.34597829219113402</v>
      </c>
      <c r="AB38" s="69">
        <v>0.12564857487179101</v>
      </c>
      <c r="AC38" s="69">
        <v>9.7619970773113005E-2</v>
      </c>
      <c r="AD38" s="69">
        <v>6.1226415342309E-2</v>
      </c>
      <c r="AE38" s="69">
        <v>0.35727493836532698</v>
      </c>
      <c r="AF38" s="69">
        <v>1.01862164702971</v>
      </c>
      <c r="AG38" s="69">
        <v>5.3192714773401102</v>
      </c>
      <c r="AH38" s="69">
        <v>6.9423170981074502</v>
      </c>
      <c r="AI38" s="69">
        <v>79.081738474629404</v>
      </c>
      <c r="AJ38" s="69">
        <v>4.0884567327268098</v>
      </c>
      <c r="AK38" s="69">
        <v>4.3589883542319603</v>
      </c>
      <c r="AL38" s="69">
        <v>0.205375137458228</v>
      </c>
      <c r="AM38" s="69">
        <v>3.9772121090873802</v>
      </c>
      <c r="AN38" s="69">
        <v>2.9256583289518598</v>
      </c>
      <c r="AO38" s="69">
        <v>0.171354770187715</v>
      </c>
      <c r="AP38" s="69">
        <v>5.61788104889074</v>
      </c>
      <c r="AQ38" s="69">
        <v>9.4998568391978395</v>
      </c>
      <c r="AR38" s="69">
        <v>6.4372914185561996</v>
      </c>
      <c r="AS38" s="69">
        <v>4.2053358702647099E-2</v>
      </c>
      <c r="AT38" s="69">
        <v>0</v>
      </c>
      <c r="AU38" s="69">
        <v>7.4839739321117801E-2</v>
      </c>
      <c r="AV38" s="69">
        <v>0.15714592785256101</v>
      </c>
      <c r="AW38" s="69">
        <v>0.14671523990438601</v>
      </c>
      <c r="AX38" s="69">
        <v>0</v>
      </c>
      <c r="AY38" s="69">
        <v>2.4083548908835701E-2</v>
      </c>
      <c r="AZ38" s="69">
        <v>0.41224077167856199</v>
      </c>
      <c r="BA38" s="69">
        <v>0</v>
      </c>
      <c r="BB38" s="69">
        <v>0</v>
      </c>
      <c r="BC38" s="69">
        <v>0.227330754289579</v>
      </c>
      <c r="BD38" s="69">
        <v>0.234490552396245</v>
      </c>
      <c r="BE38" s="69">
        <v>1.2342257531167101E-4</v>
      </c>
      <c r="BF38" s="69">
        <v>0</v>
      </c>
      <c r="BG38" s="69">
        <v>6.0590515285889497E-2</v>
      </c>
      <c r="BH38" s="69">
        <v>0.66293853714624096</v>
      </c>
      <c r="BI38" s="69">
        <v>1.1056489698386899E-3</v>
      </c>
      <c r="BJ38" s="69">
        <v>0.46780223522084802</v>
      </c>
      <c r="BK38" s="69">
        <v>9.5124558814649304E-2</v>
      </c>
      <c r="BL38" s="69">
        <v>0</v>
      </c>
      <c r="BM38" s="69">
        <v>0.104224442461679</v>
      </c>
      <c r="BN38" s="69">
        <v>9.5653568353302795E-3</v>
      </c>
      <c r="BO38" s="69">
        <v>0</v>
      </c>
      <c r="BP38" s="69">
        <v>0.62360340234261602</v>
      </c>
      <c r="BQ38" s="70">
        <v>0</v>
      </c>
      <c r="BR38" s="71">
        <v>138.16080435939301</v>
      </c>
      <c r="BS38" s="72">
        <v>0</v>
      </c>
      <c r="BT38" s="73">
        <v>0</v>
      </c>
      <c r="BU38" s="73">
        <v>0</v>
      </c>
      <c r="BV38" s="73">
        <v>2525.4199765335902</v>
      </c>
      <c r="BW38" s="73">
        <v>1707.71697536343</v>
      </c>
      <c r="BX38" s="74">
        <v>0</v>
      </c>
      <c r="BY38" s="71">
        <v>4233.1369518970096</v>
      </c>
      <c r="BZ38" s="75">
        <v>4371.2977562564101</v>
      </c>
    </row>
    <row r="39" spans="1:78" ht="15" customHeight="1" x14ac:dyDescent="0.3">
      <c r="A39" s="33" t="s">
        <v>57</v>
      </c>
      <c r="B39" s="11" t="s">
        <v>125</v>
      </c>
      <c r="C39" s="68">
        <v>0.82148129383209501</v>
      </c>
      <c r="D39" s="69">
        <v>0.51541597093964997</v>
      </c>
      <c r="E39" s="69">
        <v>5.8133238295510897E-3</v>
      </c>
      <c r="F39" s="69">
        <v>0.26243609945114899</v>
      </c>
      <c r="G39" s="69">
        <v>4.6964377785323901</v>
      </c>
      <c r="H39" s="69">
        <v>5.2230118106493704</v>
      </c>
      <c r="I39" s="69">
        <v>0.57398543104612998</v>
      </c>
      <c r="J39" s="69">
        <v>0.92538424151084797</v>
      </c>
      <c r="K39" s="69">
        <v>9.0601659310574706E-2</v>
      </c>
      <c r="L39" s="69">
        <v>1.5834310479417</v>
      </c>
      <c r="M39" s="69">
        <v>1.3766787520030099</v>
      </c>
      <c r="N39" s="69">
        <v>1.24989672809534E-3</v>
      </c>
      <c r="O39" s="69">
        <v>0.299380360953518</v>
      </c>
      <c r="P39" s="69">
        <v>4.7295462271684699E-2</v>
      </c>
      <c r="Q39" s="69">
        <v>0.268234728119562</v>
      </c>
      <c r="R39" s="69">
        <v>0.34611903667505201</v>
      </c>
      <c r="S39" s="69">
        <v>0.335974818103908</v>
      </c>
      <c r="T39" s="69">
        <v>0.259754114745889</v>
      </c>
      <c r="U39" s="69">
        <v>0.13234123284010599</v>
      </c>
      <c r="V39" s="69">
        <v>3.4762714276779502E-2</v>
      </c>
      <c r="W39" s="69">
        <v>0.51198505084276902</v>
      </c>
      <c r="X39" s="69">
        <v>0.56144820726911204</v>
      </c>
      <c r="Y39" s="69">
        <v>0.39162225299220099</v>
      </c>
      <c r="Z39" s="69">
        <v>0.13059224514220899</v>
      </c>
      <c r="AA39" s="69">
        <v>1.91422116998315</v>
      </c>
      <c r="AB39" s="69">
        <v>1.24002594539244</v>
      </c>
      <c r="AC39" s="69">
        <v>1.11332374038563</v>
      </c>
      <c r="AD39" s="69">
        <v>1.16352539724801</v>
      </c>
      <c r="AE39" s="69">
        <v>3.88490475985942</v>
      </c>
      <c r="AF39" s="69">
        <v>3.8136923698957998</v>
      </c>
      <c r="AG39" s="69">
        <v>4.4072876886642103</v>
      </c>
      <c r="AH39" s="69">
        <v>18.8414994951338</v>
      </c>
      <c r="AI39" s="69">
        <v>667.11740909438402</v>
      </c>
      <c r="AJ39" s="69">
        <v>189.528497856049</v>
      </c>
      <c r="AK39" s="69">
        <v>2.2833681350580401</v>
      </c>
      <c r="AL39" s="69">
        <v>0.84515617090501505</v>
      </c>
      <c r="AM39" s="69">
        <v>8.1979846036416095</v>
      </c>
      <c r="AN39" s="69">
        <v>1.59669910117644</v>
      </c>
      <c r="AO39" s="69">
        <v>0.33613010774406199</v>
      </c>
      <c r="AP39" s="69">
        <v>13.323573268928801</v>
      </c>
      <c r="AQ39" s="69">
        <v>282.89461411926902</v>
      </c>
      <c r="AR39" s="69">
        <v>192.78515961487301</v>
      </c>
      <c r="AS39" s="69">
        <v>0.11777239615448699</v>
      </c>
      <c r="AT39" s="69">
        <v>7.6911558080607206E-2</v>
      </c>
      <c r="AU39" s="69">
        <v>0.19949050032841101</v>
      </c>
      <c r="AV39" s="69">
        <v>0.25922928788746302</v>
      </c>
      <c r="AW39" s="69">
        <v>1.0938783240479799</v>
      </c>
      <c r="AX39" s="69">
        <v>2.4172380034932698E-3</v>
      </c>
      <c r="AY39" s="69">
        <v>3.5070978444882703E-2</v>
      </c>
      <c r="AZ39" s="69">
        <v>0.19024833118204601</v>
      </c>
      <c r="BA39" s="69">
        <v>0.12846488093463501</v>
      </c>
      <c r="BB39" s="69">
        <v>3.5941462499506499E-3</v>
      </c>
      <c r="BC39" s="69">
        <v>0.23734332594116</v>
      </c>
      <c r="BD39" s="69">
        <v>0.121954124457299</v>
      </c>
      <c r="BE39" s="69">
        <v>0.57706001719394395</v>
      </c>
      <c r="BF39" s="69">
        <v>1.3302536959370499E-3</v>
      </c>
      <c r="BG39" s="69">
        <v>3.3771906812380599</v>
      </c>
      <c r="BH39" s="69">
        <v>1.10764458925523</v>
      </c>
      <c r="BI39" s="69">
        <v>2.6185932529401001E-2</v>
      </c>
      <c r="BJ39" s="69">
        <v>13.4473707808163</v>
      </c>
      <c r="BK39" s="69">
        <v>3.0917532412364501</v>
      </c>
      <c r="BL39" s="69">
        <v>8.1501976498612203E-4</v>
      </c>
      <c r="BM39" s="69">
        <v>2.7847830687364299</v>
      </c>
      <c r="BN39" s="69">
        <v>0.127873771537582</v>
      </c>
      <c r="BO39" s="69">
        <v>2.0244724262649802E-3</v>
      </c>
      <c r="BP39" s="69">
        <v>0.580510916236188</v>
      </c>
      <c r="BQ39" s="70">
        <v>0</v>
      </c>
      <c r="BR39" s="71">
        <v>1442.2734280049799</v>
      </c>
      <c r="BS39" s="72">
        <v>0</v>
      </c>
      <c r="BT39" s="73">
        <v>0</v>
      </c>
      <c r="BU39" s="73">
        <v>0</v>
      </c>
      <c r="BV39" s="73">
        <v>25.704820110625899</v>
      </c>
      <c r="BW39" s="73">
        <v>54.275500175822501</v>
      </c>
      <c r="BX39" s="74">
        <v>0</v>
      </c>
      <c r="BY39" s="71">
        <v>79.980320286448404</v>
      </c>
      <c r="BZ39" s="75">
        <v>1522.2537482914299</v>
      </c>
    </row>
    <row r="40" spans="1:78" ht="15" customHeight="1" x14ac:dyDescent="0.3">
      <c r="A40" s="33" t="s">
        <v>58</v>
      </c>
      <c r="B40" s="11" t="s">
        <v>126</v>
      </c>
      <c r="C40" s="68">
        <v>1.21146642685021E-2</v>
      </c>
      <c r="D40" s="69">
        <v>1.81118630244149E-2</v>
      </c>
      <c r="E40" s="69">
        <v>0</v>
      </c>
      <c r="F40" s="69">
        <v>1.69465661455932E-2</v>
      </c>
      <c r="G40" s="69">
        <v>0.97621333542094202</v>
      </c>
      <c r="H40" s="69">
        <v>1.2118206737102799</v>
      </c>
      <c r="I40" s="69">
        <v>0.12320572443054401</v>
      </c>
      <c r="J40" s="69">
        <v>0.12144560938955699</v>
      </c>
      <c r="K40" s="69">
        <v>5.8167895671314097E-3</v>
      </c>
      <c r="L40" s="69">
        <v>0.16342316079109001</v>
      </c>
      <c r="M40" s="69">
        <v>0.15110828797738901</v>
      </c>
      <c r="N40" s="69">
        <v>0</v>
      </c>
      <c r="O40" s="69">
        <v>1.5242783374235199E-2</v>
      </c>
      <c r="P40" s="69">
        <v>0.33126677370798502</v>
      </c>
      <c r="Q40" s="69">
        <v>3.9790007863971397E-2</v>
      </c>
      <c r="R40" s="69">
        <v>3.9145325330592597E-2</v>
      </c>
      <c r="S40" s="69">
        <v>1.6801818249251699E-2</v>
      </c>
      <c r="T40" s="69">
        <v>8.9873072408077001E-3</v>
      </c>
      <c r="U40" s="69">
        <v>1.09643466591639E-2</v>
      </c>
      <c r="V40" s="69">
        <v>1.38835906793957E-3</v>
      </c>
      <c r="W40" s="69">
        <v>5.58720898519404E-2</v>
      </c>
      <c r="X40" s="69">
        <v>3.73420813390795E-2</v>
      </c>
      <c r="Y40" s="69">
        <v>3.9363493593540702E-2</v>
      </c>
      <c r="Z40" s="69">
        <v>7.1307593490903404E-3</v>
      </c>
      <c r="AA40" s="69">
        <v>0.213872015239402</v>
      </c>
      <c r="AB40" s="69">
        <v>6.6715147143240505E-2</v>
      </c>
      <c r="AC40" s="69">
        <v>8.3367903389255302E-2</v>
      </c>
      <c r="AD40" s="69">
        <v>1.49008564416675E-2</v>
      </c>
      <c r="AE40" s="69">
        <v>0.45233035350973999</v>
      </c>
      <c r="AF40" s="69">
        <v>6.5262985052580394E-2</v>
      </c>
      <c r="AG40" s="69">
        <v>0.51738797067237097</v>
      </c>
      <c r="AH40" s="69">
        <v>3.7001449534745898</v>
      </c>
      <c r="AI40" s="69">
        <v>1.0875183148590499</v>
      </c>
      <c r="AJ40" s="69">
        <v>0.356661184243389</v>
      </c>
      <c r="AK40" s="69">
        <v>123.854923413332</v>
      </c>
      <c r="AL40" s="69">
        <v>0.24589308536309501</v>
      </c>
      <c r="AM40" s="69">
        <v>24.467692518364</v>
      </c>
      <c r="AN40" s="69">
        <v>0.13954089391165</v>
      </c>
      <c r="AO40" s="69">
        <v>4.3758831808206701E-2</v>
      </c>
      <c r="AP40" s="69">
        <v>1.47558875182161</v>
      </c>
      <c r="AQ40" s="69">
        <v>2.7778500062255</v>
      </c>
      <c r="AR40" s="69">
        <v>19.3781199602562</v>
      </c>
      <c r="AS40" s="69">
        <v>3.6188682318441502E-2</v>
      </c>
      <c r="AT40" s="69">
        <v>0</v>
      </c>
      <c r="AU40" s="69">
        <v>4.7863166526615097E-2</v>
      </c>
      <c r="AV40" s="69">
        <v>9.4791434705550001E-3</v>
      </c>
      <c r="AW40" s="69">
        <v>0.129757634048044</v>
      </c>
      <c r="AX40" s="69">
        <v>0</v>
      </c>
      <c r="AY40" s="69">
        <v>5.9160945113489599E-3</v>
      </c>
      <c r="AZ40" s="69">
        <v>1.6706478114425501E-2</v>
      </c>
      <c r="BA40" s="69">
        <v>9.3606518118289402E-3</v>
      </c>
      <c r="BB40" s="69">
        <v>2.3109514880462902E-2</v>
      </c>
      <c r="BC40" s="69">
        <v>2.8593800000136799E-2</v>
      </c>
      <c r="BD40" s="69">
        <v>3.67069760021431E-2</v>
      </c>
      <c r="BE40" s="69">
        <v>4.5747163408654798E-2</v>
      </c>
      <c r="BF40" s="69">
        <v>4.9193356670430399E-2</v>
      </c>
      <c r="BG40" s="69">
        <v>6.9808443347286794E-2</v>
      </c>
      <c r="BH40" s="69">
        <v>0.221603619394725</v>
      </c>
      <c r="BI40" s="69">
        <v>3.4596112927210701E-3</v>
      </c>
      <c r="BJ40" s="69">
        <v>5.4400400470294104</v>
      </c>
      <c r="BK40" s="69">
        <v>9.9807551606262701E-2</v>
      </c>
      <c r="BL40" s="69">
        <v>0</v>
      </c>
      <c r="BM40" s="69">
        <v>0.50055811003781003</v>
      </c>
      <c r="BN40" s="69">
        <v>1.3172886217151101</v>
      </c>
      <c r="BO40" s="69">
        <v>1.6427961186988398E-2</v>
      </c>
      <c r="BP40" s="69">
        <v>1.45753687037728</v>
      </c>
      <c r="BQ40" s="70">
        <v>0</v>
      </c>
      <c r="BR40" s="71">
        <v>191.91018446321101</v>
      </c>
      <c r="BS40" s="72">
        <v>0</v>
      </c>
      <c r="BT40" s="73">
        <v>0</v>
      </c>
      <c r="BU40" s="73">
        <v>0</v>
      </c>
      <c r="BV40" s="73">
        <v>312.130886858255</v>
      </c>
      <c r="BW40" s="73">
        <v>274.87545943150002</v>
      </c>
      <c r="BX40" s="74">
        <v>0</v>
      </c>
      <c r="BY40" s="71">
        <v>587.00634628975502</v>
      </c>
      <c r="BZ40" s="75">
        <v>778.91653075296597</v>
      </c>
    </row>
    <row r="41" spans="1:78" ht="15" customHeight="1" x14ac:dyDescent="0.3">
      <c r="A41" s="33" t="s">
        <v>59</v>
      </c>
      <c r="B41" s="11" t="s">
        <v>127</v>
      </c>
      <c r="C41" s="68">
        <v>1.2019037649251001</v>
      </c>
      <c r="D41" s="69">
        <v>1.2017714654009</v>
      </c>
      <c r="E41" s="69">
        <v>1.4871968693404699E-2</v>
      </c>
      <c r="F41" s="69">
        <v>0.16076480167197599</v>
      </c>
      <c r="G41" s="69">
        <v>1.89306836904095</v>
      </c>
      <c r="H41" s="69">
        <v>1.53450322784825</v>
      </c>
      <c r="I41" s="69">
        <v>0.21274321056189199</v>
      </c>
      <c r="J41" s="69">
        <v>1.1747050034997799</v>
      </c>
      <c r="K41" s="69">
        <v>0.14454014935988399</v>
      </c>
      <c r="L41" s="69">
        <v>2.2765923293658101</v>
      </c>
      <c r="M41" s="69">
        <v>1.60259501549767</v>
      </c>
      <c r="N41" s="69">
        <v>2.1248244377620702E-2</v>
      </c>
      <c r="O41" s="69">
        <v>2.4094093587625198</v>
      </c>
      <c r="P41" s="69">
        <v>59.233158572845099</v>
      </c>
      <c r="Q41" s="69">
        <v>6.0901446685457801</v>
      </c>
      <c r="R41" s="69">
        <v>1.14693224610332</v>
      </c>
      <c r="S41" s="69">
        <v>1.0278368111079399</v>
      </c>
      <c r="T41" s="69">
        <v>0.52658623392751802</v>
      </c>
      <c r="U41" s="69">
        <v>0.12891127153766199</v>
      </c>
      <c r="V41" s="69">
        <v>4.4117767710164797E-2</v>
      </c>
      <c r="W41" s="69">
        <v>3.82533062999482</v>
      </c>
      <c r="X41" s="69">
        <v>2.5453908740897702</v>
      </c>
      <c r="Y41" s="69">
        <v>1.29613677023249</v>
      </c>
      <c r="Z41" s="69">
        <v>0.80554826084116804</v>
      </c>
      <c r="AA41" s="69">
        <v>4.5949834850925502</v>
      </c>
      <c r="AB41" s="69">
        <v>4.3829233912433203</v>
      </c>
      <c r="AC41" s="69">
        <v>0.47368469871246399</v>
      </c>
      <c r="AD41" s="69">
        <v>0.60047041128213596</v>
      </c>
      <c r="AE41" s="69">
        <v>2.4106916688819799</v>
      </c>
      <c r="AF41" s="69">
        <v>3.5387945881681602</v>
      </c>
      <c r="AG41" s="69">
        <v>2.1597681124249202</v>
      </c>
      <c r="AH41" s="69">
        <v>21.441256502596602</v>
      </c>
      <c r="AI41" s="69">
        <v>9.0324651717661606</v>
      </c>
      <c r="AJ41" s="69">
        <v>14.101927590531</v>
      </c>
      <c r="AK41" s="69">
        <v>1.0095310600354701</v>
      </c>
      <c r="AL41" s="69">
        <v>86.429718390661705</v>
      </c>
      <c r="AM41" s="69">
        <v>5.6659681902725501</v>
      </c>
      <c r="AN41" s="69">
        <v>1.54310120722936</v>
      </c>
      <c r="AO41" s="69">
        <v>0.55788334890004398</v>
      </c>
      <c r="AP41" s="69">
        <v>29.213721990184801</v>
      </c>
      <c r="AQ41" s="69">
        <v>17.869768681903398</v>
      </c>
      <c r="AR41" s="69">
        <v>2.2892518373619999</v>
      </c>
      <c r="AS41" s="69">
        <v>2.16181265483478</v>
      </c>
      <c r="AT41" s="69">
        <v>0.13588193307291899</v>
      </c>
      <c r="AU41" s="69">
        <v>3.8281625056052602</v>
      </c>
      <c r="AV41" s="69">
        <v>1.36597652320227</v>
      </c>
      <c r="AW41" s="69">
        <v>1.9913549990766199</v>
      </c>
      <c r="AX41" s="69">
        <v>3.5518731664707801E-2</v>
      </c>
      <c r="AY41" s="69">
        <v>1.31369435031646</v>
      </c>
      <c r="AZ41" s="69">
        <v>9.1493902665491095E-2</v>
      </c>
      <c r="BA41" s="69">
        <v>1.9957360146149801</v>
      </c>
      <c r="BB41" s="69">
        <v>5.3007205406319802</v>
      </c>
      <c r="BC41" s="69">
        <v>3.3716274370916599</v>
      </c>
      <c r="BD41" s="69">
        <v>5.7683770812251201</v>
      </c>
      <c r="BE41" s="69">
        <v>11.373192528741299</v>
      </c>
      <c r="BF41" s="69">
        <v>10.5854733071565</v>
      </c>
      <c r="BG41" s="69">
        <v>13.7085140972542</v>
      </c>
      <c r="BH41" s="69">
        <v>3.5906754474043501</v>
      </c>
      <c r="BI41" s="69">
        <v>0.22752227230887301</v>
      </c>
      <c r="BJ41" s="69">
        <v>24.236538668998399</v>
      </c>
      <c r="BK41" s="69">
        <v>22.995555984717299</v>
      </c>
      <c r="BL41" s="69">
        <v>0.133129076613932</v>
      </c>
      <c r="BM41" s="69">
        <v>100.975080989886</v>
      </c>
      <c r="BN41" s="69">
        <v>277.57551078098498</v>
      </c>
      <c r="BO41" s="69">
        <v>3.5466049667887498</v>
      </c>
      <c r="BP41" s="69">
        <v>6.8751501500171903</v>
      </c>
      <c r="BQ41" s="70">
        <v>0</v>
      </c>
      <c r="BR41" s="71">
        <v>801.01802628806399</v>
      </c>
      <c r="BS41" s="72">
        <v>0</v>
      </c>
      <c r="BT41" s="73">
        <v>0.29468642490851799</v>
      </c>
      <c r="BU41" s="73">
        <v>0</v>
      </c>
      <c r="BV41" s="73">
        <v>1301.5771164163</v>
      </c>
      <c r="BW41" s="73">
        <v>273.43538833817001</v>
      </c>
      <c r="BX41" s="74">
        <v>0</v>
      </c>
      <c r="BY41" s="71">
        <v>1575.30719117938</v>
      </c>
      <c r="BZ41" s="75">
        <v>2376.3252174674399</v>
      </c>
    </row>
    <row r="42" spans="1:78" ht="15" customHeight="1" x14ac:dyDescent="0.3">
      <c r="A42" s="33" t="s">
        <v>60</v>
      </c>
      <c r="B42" s="11" t="s">
        <v>128</v>
      </c>
      <c r="C42" s="68">
        <v>0.28988184546722401</v>
      </c>
      <c r="D42" s="69">
        <v>0.192197239567093</v>
      </c>
      <c r="E42" s="69">
        <v>2.2678351203193801E-3</v>
      </c>
      <c r="F42" s="69">
        <v>3.1473301940545602E-2</v>
      </c>
      <c r="G42" s="69">
        <v>1.7753561913820399</v>
      </c>
      <c r="H42" s="69">
        <v>1.8434787336110701</v>
      </c>
      <c r="I42" s="69">
        <v>0.19717868591892099</v>
      </c>
      <c r="J42" s="69">
        <v>0.14022778960917201</v>
      </c>
      <c r="K42" s="69">
        <v>2.3535981862445599E-2</v>
      </c>
      <c r="L42" s="69">
        <v>0.223031249202684</v>
      </c>
      <c r="M42" s="69">
        <v>0.32284242331219798</v>
      </c>
      <c r="N42" s="69">
        <v>0</v>
      </c>
      <c r="O42" s="69">
        <v>1.73792776702941E-2</v>
      </c>
      <c r="P42" s="69">
        <v>3.4682360336745502E-2</v>
      </c>
      <c r="Q42" s="69">
        <v>7.6912705048904299E-3</v>
      </c>
      <c r="R42" s="69">
        <v>7.4938574193008894E-2</v>
      </c>
      <c r="S42" s="69">
        <v>6.5265122918208102E-2</v>
      </c>
      <c r="T42" s="69">
        <v>0.12185200623556899</v>
      </c>
      <c r="U42" s="69">
        <v>1.5892563665608199E-2</v>
      </c>
      <c r="V42" s="69">
        <v>3.91588455059879E-4</v>
      </c>
      <c r="W42" s="69">
        <v>0.10834183962504799</v>
      </c>
      <c r="X42" s="69">
        <v>4.9575137345975497E-2</v>
      </c>
      <c r="Y42" s="69">
        <v>5.6016793593338603E-2</v>
      </c>
      <c r="Z42" s="69">
        <v>6.5978290396169403E-3</v>
      </c>
      <c r="AA42" s="69">
        <v>0.179063832621495</v>
      </c>
      <c r="AB42" s="69">
        <v>0.43232967645928699</v>
      </c>
      <c r="AC42" s="69">
        <v>0.36802752354655599</v>
      </c>
      <c r="AD42" s="69">
        <v>0.14653672430976</v>
      </c>
      <c r="AE42" s="69">
        <v>1.31450567304027</v>
      </c>
      <c r="AF42" s="69">
        <v>2.3627954736576999</v>
      </c>
      <c r="AG42" s="69">
        <v>3.7423888334828699</v>
      </c>
      <c r="AH42" s="69">
        <v>6.4370514784709201</v>
      </c>
      <c r="AI42" s="69">
        <v>0.97693500022384605</v>
      </c>
      <c r="AJ42" s="69">
        <v>0.76997077625768895</v>
      </c>
      <c r="AK42" s="69">
        <v>0.34144781927573797</v>
      </c>
      <c r="AL42" s="69">
        <v>0.31150471074166702</v>
      </c>
      <c r="AM42" s="69">
        <v>2.8933596860957</v>
      </c>
      <c r="AN42" s="69">
        <v>1.9912335775427299</v>
      </c>
      <c r="AO42" s="69">
        <v>0.132238281788703</v>
      </c>
      <c r="AP42" s="69">
        <v>5.9402993836372699</v>
      </c>
      <c r="AQ42" s="69">
        <v>0.71281195775186301</v>
      </c>
      <c r="AR42" s="69">
        <v>0.49196371173900799</v>
      </c>
      <c r="AS42" s="69">
        <v>3.63225845123527E-2</v>
      </c>
      <c r="AT42" s="69">
        <v>7.6461782887153398E-3</v>
      </c>
      <c r="AU42" s="69">
        <v>6.48672829996077E-2</v>
      </c>
      <c r="AV42" s="69">
        <v>2.37874389093451E-2</v>
      </c>
      <c r="AW42" s="69">
        <v>0.22816815952295799</v>
      </c>
      <c r="AX42" s="69">
        <v>0</v>
      </c>
      <c r="AY42" s="69">
        <v>4.2663989825323399E-2</v>
      </c>
      <c r="AZ42" s="69">
        <v>0.27616569693357301</v>
      </c>
      <c r="BA42" s="69">
        <v>6.0640171726779497E-2</v>
      </c>
      <c r="BB42" s="69">
        <v>8.9564604408592999E-3</v>
      </c>
      <c r="BC42" s="69">
        <v>0.18882497748279001</v>
      </c>
      <c r="BD42" s="69">
        <v>0.16522438084515001</v>
      </c>
      <c r="BE42" s="69">
        <v>0.54219434454303295</v>
      </c>
      <c r="BF42" s="69">
        <v>9.2843085906763999E-3</v>
      </c>
      <c r="BG42" s="69">
        <v>1.7487421383274099E-2</v>
      </c>
      <c r="BH42" s="69">
        <v>0.52512645273828296</v>
      </c>
      <c r="BI42" s="69">
        <v>7.1642734975865402E-3</v>
      </c>
      <c r="BJ42" s="69">
        <v>0.118501648795937</v>
      </c>
      <c r="BK42" s="69">
        <v>3.6337519046014198E-2</v>
      </c>
      <c r="BL42" s="69">
        <v>2.20728414659445E-3</v>
      </c>
      <c r="BM42" s="69">
        <v>9.4716211831980299E-2</v>
      </c>
      <c r="BN42" s="69">
        <v>0.24466559668246499</v>
      </c>
      <c r="BO42" s="69">
        <v>5.1922418748114197E-3</v>
      </c>
      <c r="BP42" s="69">
        <v>0.18240808150695201</v>
      </c>
      <c r="BQ42" s="70">
        <v>0</v>
      </c>
      <c r="BR42" s="71">
        <v>38.033112467345198</v>
      </c>
      <c r="BS42" s="72">
        <v>0</v>
      </c>
      <c r="BT42" s="73">
        <v>0</v>
      </c>
      <c r="BU42" s="73">
        <v>0</v>
      </c>
      <c r="BV42" s="73">
        <v>4.2728963805463103</v>
      </c>
      <c r="BW42" s="73">
        <v>19.673192818395201</v>
      </c>
      <c r="BX42" s="74">
        <v>0</v>
      </c>
      <c r="BY42" s="71">
        <v>23.9460891989415</v>
      </c>
      <c r="BZ42" s="75">
        <v>61.979201666286698</v>
      </c>
    </row>
    <row r="43" spans="1:78" ht="15" customHeight="1" x14ac:dyDescent="0.3">
      <c r="A43" s="33" t="s">
        <v>61</v>
      </c>
      <c r="B43" s="11" t="s">
        <v>129</v>
      </c>
      <c r="C43" s="68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</v>
      </c>
      <c r="AP43" s="69">
        <v>0</v>
      </c>
      <c r="AQ43" s="69">
        <v>0</v>
      </c>
      <c r="AR43" s="69">
        <v>0</v>
      </c>
      <c r="AS43" s="69">
        <v>0</v>
      </c>
      <c r="AT43" s="69">
        <v>0</v>
      </c>
      <c r="AU43" s="69">
        <v>0</v>
      </c>
      <c r="AV43" s="69">
        <v>0</v>
      </c>
      <c r="AW43" s="69">
        <v>0</v>
      </c>
      <c r="AX43" s="69">
        <v>0</v>
      </c>
      <c r="AY43" s="69">
        <v>0</v>
      </c>
      <c r="AZ43" s="69">
        <v>0</v>
      </c>
      <c r="BA43" s="69">
        <v>0</v>
      </c>
      <c r="BB43" s="69">
        <v>0</v>
      </c>
      <c r="BC43" s="69">
        <v>0</v>
      </c>
      <c r="BD43" s="69">
        <v>0</v>
      </c>
      <c r="BE43" s="69">
        <v>0</v>
      </c>
      <c r="BF43" s="69">
        <v>0</v>
      </c>
      <c r="BG43" s="69">
        <v>0</v>
      </c>
      <c r="BH43" s="69">
        <v>0</v>
      </c>
      <c r="BI43" s="69">
        <v>0</v>
      </c>
      <c r="BJ43" s="69">
        <v>0</v>
      </c>
      <c r="BK43" s="69">
        <v>0</v>
      </c>
      <c r="BL43" s="69">
        <v>0</v>
      </c>
      <c r="BM43" s="69">
        <v>0</v>
      </c>
      <c r="BN43" s="69">
        <v>0</v>
      </c>
      <c r="BO43" s="69">
        <v>0</v>
      </c>
      <c r="BP43" s="69">
        <v>0</v>
      </c>
      <c r="BQ43" s="70">
        <v>0</v>
      </c>
      <c r="BR43" s="71">
        <v>0</v>
      </c>
      <c r="BS43" s="72">
        <v>0</v>
      </c>
      <c r="BT43" s="73">
        <v>0</v>
      </c>
      <c r="BU43" s="73">
        <v>0</v>
      </c>
      <c r="BV43" s="73">
        <v>0</v>
      </c>
      <c r="BW43" s="73">
        <v>0</v>
      </c>
      <c r="BX43" s="74">
        <v>0</v>
      </c>
      <c r="BY43" s="71">
        <v>0</v>
      </c>
      <c r="BZ43" s="75">
        <v>0</v>
      </c>
    </row>
    <row r="44" spans="1:78" ht="15" customHeight="1" x14ac:dyDescent="0.3">
      <c r="A44" s="33" t="s">
        <v>62</v>
      </c>
      <c r="B44" s="11" t="s">
        <v>130</v>
      </c>
      <c r="C44" s="68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  <c r="AK44" s="69">
        <v>0</v>
      </c>
      <c r="AL44" s="69">
        <v>0</v>
      </c>
      <c r="AM44" s="69">
        <v>0</v>
      </c>
      <c r="AN44" s="69">
        <v>0</v>
      </c>
      <c r="AO44" s="69">
        <v>0</v>
      </c>
      <c r="AP44" s="69">
        <v>0</v>
      </c>
      <c r="AQ44" s="69">
        <v>0</v>
      </c>
      <c r="AR44" s="69">
        <v>0</v>
      </c>
      <c r="AS44" s="69">
        <v>0</v>
      </c>
      <c r="AT44" s="69">
        <v>0</v>
      </c>
      <c r="AU44" s="69">
        <v>0</v>
      </c>
      <c r="AV44" s="69">
        <v>0</v>
      </c>
      <c r="AW44" s="69">
        <v>0</v>
      </c>
      <c r="AX44" s="69">
        <v>0</v>
      </c>
      <c r="AY44" s="69">
        <v>0</v>
      </c>
      <c r="AZ44" s="69">
        <v>0</v>
      </c>
      <c r="BA44" s="69">
        <v>0</v>
      </c>
      <c r="BB44" s="69">
        <v>0</v>
      </c>
      <c r="BC44" s="69">
        <v>0</v>
      </c>
      <c r="BD44" s="69">
        <v>0</v>
      </c>
      <c r="BE44" s="69">
        <v>0</v>
      </c>
      <c r="BF44" s="69">
        <v>0</v>
      </c>
      <c r="BG44" s="69">
        <v>0</v>
      </c>
      <c r="BH44" s="69">
        <v>0</v>
      </c>
      <c r="BI44" s="69">
        <v>0</v>
      </c>
      <c r="BJ44" s="69">
        <v>0</v>
      </c>
      <c r="BK44" s="69">
        <v>0</v>
      </c>
      <c r="BL44" s="69">
        <v>0</v>
      </c>
      <c r="BM44" s="69">
        <v>0</v>
      </c>
      <c r="BN44" s="69">
        <v>0</v>
      </c>
      <c r="BO44" s="69">
        <v>0</v>
      </c>
      <c r="BP44" s="69">
        <v>0</v>
      </c>
      <c r="BQ44" s="70">
        <v>0</v>
      </c>
      <c r="BR44" s="71">
        <v>0</v>
      </c>
      <c r="BS44" s="72">
        <v>0</v>
      </c>
      <c r="BT44" s="73">
        <v>0</v>
      </c>
      <c r="BU44" s="73">
        <v>0</v>
      </c>
      <c r="BV44" s="73">
        <v>0</v>
      </c>
      <c r="BW44" s="73">
        <v>0</v>
      </c>
      <c r="BX44" s="74">
        <v>0</v>
      </c>
      <c r="BY44" s="71">
        <v>0</v>
      </c>
      <c r="BZ44" s="75">
        <v>0</v>
      </c>
    </row>
    <row r="45" spans="1:78" ht="15" customHeight="1" x14ac:dyDescent="0.3">
      <c r="A45" s="33" t="s">
        <v>63</v>
      </c>
      <c r="B45" s="11" t="s">
        <v>131</v>
      </c>
      <c r="C45" s="68">
        <v>0</v>
      </c>
      <c r="D45" s="69">
        <v>0</v>
      </c>
      <c r="E45" s="69">
        <v>0</v>
      </c>
      <c r="F45" s="69">
        <v>1.9392181197367599E-3</v>
      </c>
      <c r="G45" s="69">
        <v>2.380163164883E-2</v>
      </c>
      <c r="H45" s="69">
        <v>5.7875838518850801E-2</v>
      </c>
      <c r="I45" s="69">
        <v>8.5413913688868696E-3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5.1333683697132398E-2</v>
      </c>
      <c r="AI45" s="69">
        <v>0</v>
      </c>
      <c r="AJ45" s="69">
        <v>0</v>
      </c>
      <c r="AK45" s="69">
        <v>0</v>
      </c>
      <c r="AL45" s="69">
        <v>0</v>
      </c>
      <c r="AM45" s="69">
        <v>2.3290917830083E-2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69">
        <v>0</v>
      </c>
      <c r="AU45" s="69">
        <v>0</v>
      </c>
      <c r="AV45" s="69">
        <v>0</v>
      </c>
      <c r="AW45" s="69">
        <v>0</v>
      </c>
      <c r="AX45" s="69">
        <v>0</v>
      </c>
      <c r="AY45" s="69">
        <v>0</v>
      </c>
      <c r="AZ45" s="69">
        <v>0</v>
      </c>
      <c r="BA45" s="69">
        <v>0</v>
      </c>
      <c r="BB45" s="69">
        <v>0</v>
      </c>
      <c r="BC45" s="69">
        <v>0</v>
      </c>
      <c r="BD45" s="69">
        <v>0</v>
      </c>
      <c r="BE45" s="69">
        <v>0</v>
      </c>
      <c r="BF45" s="69">
        <v>0</v>
      </c>
      <c r="BG45" s="69">
        <v>0</v>
      </c>
      <c r="BH45" s="69">
        <v>0</v>
      </c>
      <c r="BI45" s="69">
        <v>0</v>
      </c>
      <c r="BJ45" s="69">
        <v>0</v>
      </c>
      <c r="BK45" s="69">
        <v>0</v>
      </c>
      <c r="BL45" s="69">
        <v>0</v>
      </c>
      <c r="BM45" s="69">
        <v>0</v>
      </c>
      <c r="BN45" s="69">
        <v>0</v>
      </c>
      <c r="BO45" s="69">
        <v>0</v>
      </c>
      <c r="BP45" s="69">
        <v>0</v>
      </c>
      <c r="BQ45" s="70">
        <v>0</v>
      </c>
      <c r="BR45" s="71">
        <v>0.16678268118351999</v>
      </c>
      <c r="BS45" s="72">
        <v>0</v>
      </c>
      <c r="BT45" s="73">
        <v>0</v>
      </c>
      <c r="BU45" s="73">
        <v>0</v>
      </c>
      <c r="BV45" s="73">
        <v>0</v>
      </c>
      <c r="BW45" s="73">
        <v>0.413737159719264</v>
      </c>
      <c r="BX45" s="74">
        <v>0</v>
      </c>
      <c r="BY45" s="71">
        <v>0.413737159719264</v>
      </c>
      <c r="BZ45" s="75">
        <v>0.58051984090278397</v>
      </c>
    </row>
    <row r="46" spans="1:78" ht="15" customHeight="1" x14ac:dyDescent="0.3">
      <c r="A46" s="33" t="s">
        <v>64</v>
      </c>
      <c r="B46" s="11" t="s">
        <v>132</v>
      </c>
      <c r="C46" s="68">
        <v>30.563175470769401</v>
      </c>
      <c r="D46" s="69">
        <v>49.185373297847597</v>
      </c>
      <c r="E46" s="69">
        <v>0.83813491768306503</v>
      </c>
      <c r="F46" s="69">
        <v>0.40338084833024301</v>
      </c>
      <c r="G46" s="69">
        <v>6.0132473988898498</v>
      </c>
      <c r="H46" s="69">
        <v>3.71891132116551</v>
      </c>
      <c r="I46" s="69">
        <v>0.37723404773558</v>
      </c>
      <c r="J46" s="69">
        <v>249.74657164610301</v>
      </c>
      <c r="K46" s="69">
        <v>0.208665081735432</v>
      </c>
      <c r="L46" s="69">
        <v>205.06402043786599</v>
      </c>
      <c r="M46" s="69">
        <v>27.5487773586975</v>
      </c>
      <c r="N46" s="69">
        <v>8.0201706719450705E-2</v>
      </c>
      <c r="O46" s="69">
        <v>0.371948210645555</v>
      </c>
      <c r="P46" s="69">
        <v>9.3165371748855907</v>
      </c>
      <c r="Q46" s="69">
        <v>1.4232708615966301</v>
      </c>
      <c r="R46" s="69">
        <v>1.74108634653244</v>
      </c>
      <c r="S46" s="69">
        <v>4.5632032596375902</v>
      </c>
      <c r="T46" s="69">
        <v>0.75239966565012595</v>
      </c>
      <c r="U46" s="69">
        <v>20.8690243566022</v>
      </c>
      <c r="V46" s="69">
        <v>11.367971341673799</v>
      </c>
      <c r="W46" s="69">
        <v>4.7413571524212701</v>
      </c>
      <c r="X46" s="69">
        <v>3.8799312019561301</v>
      </c>
      <c r="Y46" s="69">
        <v>5.4457066687810904</v>
      </c>
      <c r="Z46" s="69">
        <v>14.1099220134824</v>
      </c>
      <c r="AA46" s="69">
        <v>4.8537898677935001</v>
      </c>
      <c r="AB46" s="69">
        <v>11.943690263111201</v>
      </c>
      <c r="AC46" s="69">
        <v>2.40570098023335</v>
      </c>
      <c r="AD46" s="69">
        <v>1.07267413060505</v>
      </c>
      <c r="AE46" s="69">
        <v>4.0359040554257399</v>
      </c>
      <c r="AF46" s="69">
        <v>12.6926423060131</v>
      </c>
      <c r="AG46" s="69">
        <v>4.1068045269204303</v>
      </c>
      <c r="AH46" s="69">
        <v>11.728659196677301</v>
      </c>
      <c r="AI46" s="69">
        <v>9.0946798695129001</v>
      </c>
      <c r="AJ46" s="69">
        <v>3.8874390211968999</v>
      </c>
      <c r="AK46" s="69">
        <v>0.53083082786513502</v>
      </c>
      <c r="AL46" s="69">
        <v>4.9381955816305103</v>
      </c>
      <c r="AM46" s="69">
        <v>5.0161634771823396</v>
      </c>
      <c r="AN46" s="69">
        <v>1.82886680670533</v>
      </c>
      <c r="AO46" s="69">
        <v>2.67332503788051</v>
      </c>
      <c r="AP46" s="69">
        <v>39.135985582268397</v>
      </c>
      <c r="AQ46" s="69">
        <v>30.731451434878199</v>
      </c>
      <c r="AR46" s="69">
        <v>5.4091640589179004</v>
      </c>
      <c r="AS46" s="69">
        <v>0.18150226558323901</v>
      </c>
      <c r="AT46" s="69">
        <v>0.56391818176151698</v>
      </c>
      <c r="AU46" s="69">
        <v>0.85972441624941698</v>
      </c>
      <c r="AV46" s="69">
        <v>5.4756093181138699</v>
      </c>
      <c r="AW46" s="69">
        <v>152.55762136697001</v>
      </c>
      <c r="AX46" s="69">
        <v>0.22604723688867501</v>
      </c>
      <c r="AY46" s="69">
        <v>1.0880591562404001</v>
      </c>
      <c r="AZ46" s="69">
        <v>0.56706511801965498</v>
      </c>
      <c r="BA46" s="69">
        <v>5.3051265145710902</v>
      </c>
      <c r="BB46" s="69">
        <v>3.1189722119211001</v>
      </c>
      <c r="BC46" s="69">
        <v>1.12063637538772</v>
      </c>
      <c r="BD46" s="69">
        <v>1.5420730684870101</v>
      </c>
      <c r="BE46" s="69">
        <v>3.0872356319382899</v>
      </c>
      <c r="BF46" s="69">
        <v>2.2646188227635999</v>
      </c>
      <c r="BG46" s="69">
        <v>1.0295523123507799</v>
      </c>
      <c r="BH46" s="69">
        <v>3.6305591469943601</v>
      </c>
      <c r="BI46" s="69">
        <v>0.97932112822158601</v>
      </c>
      <c r="BJ46" s="69">
        <v>45.371951433015198</v>
      </c>
      <c r="BK46" s="69">
        <v>24.429851673722801</v>
      </c>
      <c r="BL46" s="69">
        <v>4.5897584716810496</v>
      </c>
      <c r="BM46" s="69">
        <v>114.421496398705</v>
      </c>
      <c r="BN46" s="69">
        <v>90.4068229373012</v>
      </c>
      <c r="BO46" s="69">
        <v>0.64704462523981898</v>
      </c>
      <c r="BP46" s="69">
        <v>13.203705251373499</v>
      </c>
      <c r="BQ46" s="70">
        <v>0</v>
      </c>
      <c r="BR46" s="71">
        <v>1285.0842918757301</v>
      </c>
      <c r="BS46" s="72">
        <v>5.2217606909112001E-2</v>
      </c>
      <c r="BT46" s="73">
        <v>6.2465892658601598</v>
      </c>
      <c r="BU46" s="73">
        <v>0</v>
      </c>
      <c r="BV46" s="73">
        <v>311.21249880429099</v>
      </c>
      <c r="BW46" s="73">
        <v>64.8035936984258</v>
      </c>
      <c r="BX46" s="74">
        <v>0</v>
      </c>
      <c r="BY46" s="71">
        <v>382.31489937548702</v>
      </c>
      <c r="BZ46" s="75">
        <v>1667.3991912512099</v>
      </c>
    </row>
    <row r="47" spans="1:78" ht="15" customHeight="1" x14ac:dyDescent="0.3">
      <c r="A47" s="33" t="s">
        <v>65</v>
      </c>
      <c r="B47" s="11" t="s">
        <v>133</v>
      </c>
      <c r="C47" s="68">
        <v>0.25799455847241398</v>
      </c>
      <c r="D47" s="69">
        <v>0.63364537490209905</v>
      </c>
      <c r="E47" s="69">
        <v>0.33647343594057</v>
      </c>
      <c r="F47" s="69">
        <v>1.34603228641281E-3</v>
      </c>
      <c r="G47" s="69">
        <v>0.109400357004136</v>
      </c>
      <c r="H47" s="69">
        <v>0</v>
      </c>
      <c r="I47" s="69">
        <v>5.19667968479467E-4</v>
      </c>
      <c r="J47" s="69">
        <v>0.59346043955215999</v>
      </c>
      <c r="K47" s="69">
        <v>6.22273758318317E-3</v>
      </c>
      <c r="L47" s="69">
        <v>0.105748481358118</v>
      </c>
      <c r="M47" s="69">
        <v>2.6536192919805399E-2</v>
      </c>
      <c r="N47" s="69">
        <v>0</v>
      </c>
      <c r="O47" s="69">
        <v>4.5263814785837797E-3</v>
      </c>
      <c r="P47" s="69">
        <v>3.3833734949609599E-4</v>
      </c>
      <c r="Q47" s="69">
        <v>1.40735834920623E-3</v>
      </c>
      <c r="R47" s="69">
        <v>0.77137633025126895</v>
      </c>
      <c r="S47" s="69">
        <v>1.92187303809356</v>
      </c>
      <c r="T47" s="69">
        <v>4.9545411712144998E-3</v>
      </c>
      <c r="U47" s="69">
        <v>1.4606569155149201</v>
      </c>
      <c r="V47" s="69">
        <v>6.0140211710064798E-2</v>
      </c>
      <c r="W47" s="69">
        <v>0.114041900011631</v>
      </c>
      <c r="X47" s="69">
        <v>1.9266780250467599E-2</v>
      </c>
      <c r="Y47" s="69">
        <v>0.129265759126728</v>
      </c>
      <c r="Z47" s="69">
        <v>5.9055404484344598E-2</v>
      </c>
      <c r="AA47" s="69">
        <v>0.19356241047532899</v>
      </c>
      <c r="AB47" s="69">
        <v>5.7224919963067999E-2</v>
      </c>
      <c r="AC47" s="69">
        <v>0.505360665644636</v>
      </c>
      <c r="AD47" s="69">
        <v>5.8638086082894204E-4</v>
      </c>
      <c r="AE47" s="69">
        <v>0.23247060251701701</v>
      </c>
      <c r="AF47" s="69">
        <v>7.2211049996096701E-3</v>
      </c>
      <c r="AG47" s="69">
        <v>3.2567990412926101E-2</v>
      </c>
      <c r="AH47" s="69">
        <v>7.5279275621767006E-2</v>
      </c>
      <c r="AI47" s="69">
        <v>4.3891050331172798E-2</v>
      </c>
      <c r="AJ47" s="69">
        <v>7.6878681773354704E-2</v>
      </c>
      <c r="AK47" s="69">
        <v>5.3324573883403101E-3</v>
      </c>
      <c r="AL47" s="69">
        <v>2.4544464515344099E-2</v>
      </c>
      <c r="AM47" s="69">
        <v>1.26257995910169E-2</v>
      </c>
      <c r="AN47" s="69">
        <v>3.9173462773699199E-3</v>
      </c>
      <c r="AO47" s="69">
        <v>9.5405227767834701E-3</v>
      </c>
      <c r="AP47" s="69">
        <v>0.35284096334361298</v>
      </c>
      <c r="AQ47" s="69">
        <v>0.17756130832641201</v>
      </c>
      <c r="AR47" s="69">
        <v>5.8604594895183298E-2</v>
      </c>
      <c r="AS47" s="69">
        <v>5.1657202510702895E-4</v>
      </c>
      <c r="AT47" s="69">
        <v>0</v>
      </c>
      <c r="AU47" s="69">
        <v>5.5283751417996903E-3</v>
      </c>
      <c r="AV47" s="69">
        <v>7.2320083514984101E-4</v>
      </c>
      <c r="AW47" s="69">
        <v>2.8688176301326302E-3</v>
      </c>
      <c r="AX47" s="69">
        <v>3.3946161649890498E-4</v>
      </c>
      <c r="AY47" s="69">
        <v>0</v>
      </c>
      <c r="AZ47" s="69">
        <v>0</v>
      </c>
      <c r="BA47" s="69">
        <v>0</v>
      </c>
      <c r="BB47" s="69">
        <v>9.78561326866338E-3</v>
      </c>
      <c r="BC47" s="69">
        <v>2.46171267602152E-3</v>
      </c>
      <c r="BD47" s="69">
        <v>1.33351261716361E-2</v>
      </c>
      <c r="BE47" s="69">
        <v>1.1092134066507799E-2</v>
      </c>
      <c r="BF47" s="69">
        <v>5.7782042232426599E-3</v>
      </c>
      <c r="BG47" s="69">
        <v>1.7439262329214601E-2</v>
      </c>
      <c r="BH47" s="69">
        <v>2.49880428383728E-2</v>
      </c>
      <c r="BI47" s="69">
        <v>4.5114925269600301E-3</v>
      </c>
      <c r="BJ47" s="69">
        <v>4.3241885803177199E-2</v>
      </c>
      <c r="BK47" s="69">
        <v>7.4298653746240999E-3</v>
      </c>
      <c r="BL47" s="69">
        <v>2.6566561291218601E-4</v>
      </c>
      <c r="BM47" s="69">
        <v>7.6431581051473298E-3</v>
      </c>
      <c r="BN47" s="69">
        <v>7.61584151914752E-3</v>
      </c>
      <c r="BO47" s="69">
        <v>1.8587030352310301E-3</v>
      </c>
      <c r="BP47" s="69">
        <v>3.2281188242733398E-2</v>
      </c>
      <c r="BQ47" s="70">
        <v>0</v>
      </c>
      <c r="BR47" s="71">
        <v>8.6879650985349208</v>
      </c>
      <c r="BS47" s="72">
        <v>0</v>
      </c>
      <c r="BT47" s="73">
        <v>0</v>
      </c>
      <c r="BU47" s="73">
        <v>0</v>
      </c>
      <c r="BV47" s="73">
        <v>1.0045096814924901</v>
      </c>
      <c r="BW47" s="73">
        <v>0</v>
      </c>
      <c r="BX47" s="74">
        <v>0</v>
      </c>
      <c r="BY47" s="71">
        <v>1.0045096814924901</v>
      </c>
      <c r="BZ47" s="75">
        <v>9.6924747800274105</v>
      </c>
    </row>
    <row r="48" spans="1:78" ht="15" customHeight="1" x14ac:dyDescent="0.3">
      <c r="A48" s="33" t="s">
        <v>66</v>
      </c>
      <c r="B48" s="11" t="s">
        <v>134</v>
      </c>
      <c r="C48" s="68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69">
        <v>0</v>
      </c>
      <c r="AU48" s="69">
        <v>0</v>
      </c>
      <c r="AV48" s="69">
        <v>0</v>
      </c>
      <c r="AW48" s="69">
        <v>0</v>
      </c>
      <c r="AX48" s="69">
        <v>0</v>
      </c>
      <c r="AY48" s="69">
        <v>0</v>
      </c>
      <c r="AZ48" s="69">
        <v>0</v>
      </c>
      <c r="BA48" s="69">
        <v>0</v>
      </c>
      <c r="BB48" s="69">
        <v>0</v>
      </c>
      <c r="BC48" s="69">
        <v>0</v>
      </c>
      <c r="BD48" s="69">
        <v>0</v>
      </c>
      <c r="BE48" s="69">
        <v>0</v>
      </c>
      <c r="BF48" s="69">
        <v>0</v>
      </c>
      <c r="BG48" s="69">
        <v>0</v>
      </c>
      <c r="BH48" s="69">
        <v>0</v>
      </c>
      <c r="BI48" s="69">
        <v>0</v>
      </c>
      <c r="BJ48" s="69">
        <v>0</v>
      </c>
      <c r="BK48" s="69">
        <v>0</v>
      </c>
      <c r="BL48" s="69">
        <v>0</v>
      </c>
      <c r="BM48" s="69">
        <v>0</v>
      </c>
      <c r="BN48" s="69">
        <v>0</v>
      </c>
      <c r="BO48" s="69">
        <v>0</v>
      </c>
      <c r="BP48" s="69">
        <v>0</v>
      </c>
      <c r="BQ48" s="70">
        <v>0</v>
      </c>
      <c r="BR48" s="71">
        <v>0</v>
      </c>
      <c r="BS48" s="72">
        <v>0</v>
      </c>
      <c r="BT48" s="73">
        <v>0</v>
      </c>
      <c r="BU48" s="73">
        <v>0</v>
      </c>
      <c r="BV48" s="73">
        <v>0</v>
      </c>
      <c r="BW48" s="73">
        <v>0</v>
      </c>
      <c r="BX48" s="74">
        <v>0</v>
      </c>
      <c r="BY48" s="71">
        <v>0</v>
      </c>
      <c r="BZ48" s="75">
        <v>0</v>
      </c>
    </row>
    <row r="49" spans="1:78" ht="15" customHeight="1" x14ac:dyDescent="0.3">
      <c r="A49" s="33" t="s">
        <v>67</v>
      </c>
      <c r="B49" s="11" t="s">
        <v>135</v>
      </c>
      <c r="C49" s="68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69">
        <v>0</v>
      </c>
      <c r="AU49" s="69">
        <v>0</v>
      </c>
      <c r="AV49" s="69">
        <v>0</v>
      </c>
      <c r="AW49" s="69">
        <v>0</v>
      </c>
      <c r="AX49" s="69">
        <v>0</v>
      </c>
      <c r="AY49" s="69">
        <v>0</v>
      </c>
      <c r="AZ49" s="69">
        <v>0</v>
      </c>
      <c r="BA49" s="69">
        <v>0</v>
      </c>
      <c r="BB49" s="69">
        <v>0</v>
      </c>
      <c r="BC49" s="69">
        <v>0</v>
      </c>
      <c r="BD49" s="69">
        <v>0</v>
      </c>
      <c r="BE49" s="69">
        <v>0</v>
      </c>
      <c r="BF49" s="69">
        <v>0</v>
      </c>
      <c r="BG49" s="69">
        <v>0</v>
      </c>
      <c r="BH49" s="69">
        <v>0</v>
      </c>
      <c r="BI49" s="69">
        <v>0</v>
      </c>
      <c r="BJ49" s="69">
        <v>0</v>
      </c>
      <c r="BK49" s="69">
        <v>0</v>
      </c>
      <c r="BL49" s="69">
        <v>0</v>
      </c>
      <c r="BM49" s="69">
        <v>0</v>
      </c>
      <c r="BN49" s="69">
        <v>0</v>
      </c>
      <c r="BO49" s="69">
        <v>0</v>
      </c>
      <c r="BP49" s="69">
        <v>0</v>
      </c>
      <c r="BQ49" s="70">
        <v>0</v>
      </c>
      <c r="BR49" s="71">
        <v>0</v>
      </c>
      <c r="BS49" s="72">
        <v>0</v>
      </c>
      <c r="BT49" s="73">
        <v>0</v>
      </c>
      <c r="BU49" s="73">
        <v>0</v>
      </c>
      <c r="BV49" s="73">
        <v>0</v>
      </c>
      <c r="BW49" s="73">
        <v>0</v>
      </c>
      <c r="BX49" s="74">
        <v>0</v>
      </c>
      <c r="BY49" s="71">
        <v>0</v>
      </c>
      <c r="BZ49" s="75">
        <v>0</v>
      </c>
    </row>
    <row r="50" spans="1:78" ht="15" customHeight="1" x14ac:dyDescent="0.3">
      <c r="A50" s="33" t="s">
        <v>68</v>
      </c>
      <c r="B50" s="11" t="s">
        <v>136</v>
      </c>
      <c r="C50" s="68">
        <v>0</v>
      </c>
      <c r="D50" s="69">
        <v>0</v>
      </c>
      <c r="E50" s="69">
        <v>0</v>
      </c>
      <c r="F50" s="69">
        <v>4.8525221472418199E-4</v>
      </c>
      <c r="G50" s="69">
        <v>7.5710798930676296E-2</v>
      </c>
      <c r="H50" s="69">
        <v>8.5525505711025795E-2</v>
      </c>
      <c r="I50" s="69">
        <v>7.2919194896825497E-3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1.11281567769988E-3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5.0028711144111402E-3</v>
      </c>
      <c r="AH50" s="69">
        <v>0.285352370629056</v>
      </c>
      <c r="AI50" s="69">
        <v>1.7809134954127299E-2</v>
      </c>
      <c r="AJ50" s="69">
        <v>0</v>
      </c>
      <c r="AK50" s="69">
        <v>3.9596080075413103E-3</v>
      </c>
      <c r="AL50" s="69">
        <v>0</v>
      </c>
      <c r="AM50" s="69">
        <v>0.111528900217502</v>
      </c>
      <c r="AN50" s="69">
        <v>0</v>
      </c>
      <c r="AO50" s="69">
        <v>5.4248465249186098E-4</v>
      </c>
      <c r="AP50" s="69">
        <v>3.97141156124294E-2</v>
      </c>
      <c r="AQ50" s="69">
        <v>7.4916305766614903E-3</v>
      </c>
      <c r="AR50" s="69">
        <v>0</v>
      </c>
      <c r="AS50" s="69">
        <v>2.4193877914702902E-3</v>
      </c>
      <c r="AT50" s="69">
        <v>0</v>
      </c>
      <c r="AU50" s="69">
        <v>2.69214710273346E-3</v>
      </c>
      <c r="AV50" s="69">
        <v>0</v>
      </c>
      <c r="AW50" s="69">
        <v>0</v>
      </c>
      <c r="AX50" s="69">
        <v>0</v>
      </c>
      <c r="AY50" s="69">
        <v>0</v>
      </c>
      <c r="AZ50" s="69">
        <v>5.9687531283410299E-4</v>
      </c>
      <c r="BA50" s="69">
        <v>0</v>
      </c>
      <c r="BB50" s="69">
        <v>0</v>
      </c>
      <c r="BC50" s="69">
        <v>0</v>
      </c>
      <c r="BD50" s="69">
        <v>0</v>
      </c>
      <c r="BE50" s="69">
        <v>0</v>
      </c>
      <c r="BF50" s="69">
        <v>0</v>
      </c>
      <c r="BG50" s="69">
        <v>0</v>
      </c>
      <c r="BH50" s="69">
        <v>1.7730574470354601E-2</v>
      </c>
      <c r="BI50" s="69">
        <v>0</v>
      </c>
      <c r="BJ50" s="69">
        <v>5.9073453375205805E-4</v>
      </c>
      <c r="BK50" s="69">
        <v>0</v>
      </c>
      <c r="BL50" s="69">
        <v>0</v>
      </c>
      <c r="BM50" s="69">
        <v>1.76762601291382E-3</v>
      </c>
      <c r="BN50" s="69">
        <v>0</v>
      </c>
      <c r="BO50" s="69">
        <v>0</v>
      </c>
      <c r="BP50" s="69">
        <v>0</v>
      </c>
      <c r="BQ50" s="70">
        <v>0</v>
      </c>
      <c r="BR50" s="71">
        <v>0.66732475301208705</v>
      </c>
      <c r="BS50" s="72">
        <v>0</v>
      </c>
      <c r="BT50" s="73">
        <v>0</v>
      </c>
      <c r="BU50" s="73">
        <v>0</v>
      </c>
      <c r="BV50" s="73">
        <v>3.8967005315720497E-2</v>
      </c>
      <c r="BW50" s="73">
        <v>0.47983423398604103</v>
      </c>
      <c r="BX50" s="74">
        <v>0</v>
      </c>
      <c r="BY50" s="71">
        <v>0.51880123930176103</v>
      </c>
      <c r="BZ50" s="75">
        <v>1.1861259923138501</v>
      </c>
    </row>
    <row r="51" spans="1:78" ht="15" customHeight="1" x14ac:dyDescent="0.3">
      <c r="A51" s="33" t="s">
        <v>69</v>
      </c>
      <c r="B51" s="11" t="s">
        <v>137</v>
      </c>
      <c r="C51" s="68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69">
        <v>0</v>
      </c>
      <c r="AT51" s="69">
        <v>0</v>
      </c>
      <c r="AU51" s="69">
        <v>0</v>
      </c>
      <c r="AV51" s="69">
        <v>0</v>
      </c>
      <c r="AW51" s="69">
        <v>0</v>
      </c>
      <c r="AX51" s="69">
        <v>0</v>
      </c>
      <c r="AY51" s="69">
        <v>0</v>
      </c>
      <c r="AZ51" s="69">
        <v>0</v>
      </c>
      <c r="BA51" s="69">
        <v>0</v>
      </c>
      <c r="BB51" s="69">
        <v>0</v>
      </c>
      <c r="BC51" s="69">
        <v>0</v>
      </c>
      <c r="BD51" s="69">
        <v>0</v>
      </c>
      <c r="BE51" s="69">
        <v>0</v>
      </c>
      <c r="BF51" s="69">
        <v>0</v>
      </c>
      <c r="BG51" s="69">
        <v>0</v>
      </c>
      <c r="BH51" s="69">
        <v>0</v>
      </c>
      <c r="BI51" s="69">
        <v>0</v>
      </c>
      <c r="BJ51" s="69">
        <v>0</v>
      </c>
      <c r="BK51" s="69">
        <v>0</v>
      </c>
      <c r="BL51" s="69">
        <v>0</v>
      </c>
      <c r="BM51" s="69">
        <v>0</v>
      </c>
      <c r="BN51" s="69">
        <v>0</v>
      </c>
      <c r="BO51" s="69">
        <v>0</v>
      </c>
      <c r="BP51" s="69">
        <v>0</v>
      </c>
      <c r="BQ51" s="70">
        <v>0</v>
      </c>
      <c r="BR51" s="71">
        <v>0</v>
      </c>
      <c r="BS51" s="72">
        <v>0</v>
      </c>
      <c r="BT51" s="73">
        <v>0</v>
      </c>
      <c r="BU51" s="73">
        <v>0</v>
      </c>
      <c r="BV51" s="73">
        <v>0</v>
      </c>
      <c r="BW51" s="73">
        <v>0</v>
      </c>
      <c r="BX51" s="74">
        <v>0</v>
      </c>
      <c r="BY51" s="71">
        <v>0</v>
      </c>
      <c r="BZ51" s="75">
        <v>0</v>
      </c>
    </row>
    <row r="52" spans="1:78" ht="15" customHeight="1" x14ac:dyDescent="0.3">
      <c r="A52" s="33" t="s">
        <v>70</v>
      </c>
      <c r="B52" s="11" t="s">
        <v>138</v>
      </c>
      <c r="C52" s="68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v>0</v>
      </c>
      <c r="P52" s="69">
        <v>0</v>
      </c>
      <c r="Q52" s="69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69">
        <v>0</v>
      </c>
      <c r="AU52" s="69">
        <v>0</v>
      </c>
      <c r="AV52" s="69">
        <v>0</v>
      </c>
      <c r="AW52" s="69">
        <v>0</v>
      </c>
      <c r="AX52" s="69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69">
        <v>0</v>
      </c>
      <c r="BK52" s="69">
        <v>0</v>
      </c>
      <c r="BL52" s="69">
        <v>0</v>
      </c>
      <c r="BM52" s="69">
        <v>0</v>
      </c>
      <c r="BN52" s="69">
        <v>0</v>
      </c>
      <c r="BO52" s="69">
        <v>0</v>
      </c>
      <c r="BP52" s="69">
        <v>0</v>
      </c>
      <c r="BQ52" s="70">
        <v>0</v>
      </c>
      <c r="BR52" s="71">
        <v>0</v>
      </c>
      <c r="BS52" s="72">
        <v>0</v>
      </c>
      <c r="BT52" s="73">
        <v>0</v>
      </c>
      <c r="BU52" s="73">
        <v>0</v>
      </c>
      <c r="BV52" s="73">
        <v>0</v>
      </c>
      <c r="BW52" s="73">
        <v>0</v>
      </c>
      <c r="BX52" s="74">
        <v>0</v>
      </c>
      <c r="BY52" s="71">
        <v>0</v>
      </c>
      <c r="BZ52" s="75">
        <v>0</v>
      </c>
    </row>
    <row r="53" spans="1:78" ht="15" customHeight="1" x14ac:dyDescent="0.3">
      <c r="A53" s="33" t="s">
        <v>71</v>
      </c>
      <c r="B53" s="11" t="s">
        <v>139</v>
      </c>
      <c r="C53" s="68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69">
        <v>2.9744104491518299E-2</v>
      </c>
      <c r="M53" s="69">
        <v>0.12822722404388301</v>
      </c>
      <c r="N53" s="69">
        <v>0</v>
      </c>
      <c r="O53" s="69">
        <v>0</v>
      </c>
      <c r="P53" s="69">
        <v>0</v>
      </c>
      <c r="Q53" s="69">
        <v>0</v>
      </c>
      <c r="R53" s="69">
        <v>0</v>
      </c>
      <c r="S53" s="69">
        <v>7.9212742588057203E-2</v>
      </c>
      <c r="T53" s="69">
        <v>0.42085695728353301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69">
        <v>0</v>
      </c>
      <c r="AD53" s="69">
        <v>0</v>
      </c>
      <c r="AE53" s="69">
        <v>0</v>
      </c>
      <c r="AF53" s="69">
        <v>4.6120793454215998E-2</v>
      </c>
      <c r="AG53" s="69">
        <v>0</v>
      </c>
      <c r="AH53" s="69">
        <v>0</v>
      </c>
      <c r="AI53" s="69">
        <v>0</v>
      </c>
      <c r="AJ53" s="69">
        <v>0</v>
      </c>
      <c r="AK53" s="69">
        <v>0</v>
      </c>
      <c r="AL53" s="69">
        <v>0</v>
      </c>
      <c r="AM53" s="69">
        <v>0</v>
      </c>
      <c r="AN53" s="69">
        <v>0</v>
      </c>
      <c r="AO53" s="69">
        <v>0</v>
      </c>
      <c r="AP53" s="69">
        <v>0</v>
      </c>
      <c r="AQ53" s="69">
        <v>3.2680151260094599</v>
      </c>
      <c r="AR53" s="69">
        <v>0</v>
      </c>
      <c r="AS53" s="69">
        <v>0</v>
      </c>
      <c r="AT53" s="69">
        <v>1.5911925841313301E-2</v>
      </c>
      <c r="AU53" s="69">
        <v>0</v>
      </c>
      <c r="AV53" s="69">
        <v>0</v>
      </c>
      <c r="AW53" s="69">
        <v>2.5933318854845702E-2</v>
      </c>
      <c r="AX53" s="69">
        <v>0.40338501578580299</v>
      </c>
      <c r="AY53" s="69">
        <v>0.11900937599596099</v>
      </c>
      <c r="AZ53" s="69">
        <v>0.228692585589615</v>
      </c>
      <c r="BA53" s="69">
        <v>0.57409605393123997</v>
      </c>
      <c r="BB53" s="69">
        <v>2.4590227526781598</v>
      </c>
      <c r="BC53" s="69">
        <v>0.13789368173608299</v>
      </c>
      <c r="BD53" s="69">
        <v>0.22747157839592599</v>
      </c>
      <c r="BE53" s="69">
        <v>0.106740013272155</v>
      </c>
      <c r="BF53" s="69">
        <v>15.006508118595599</v>
      </c>
      <c r="BG53" s="69">
        <v>3.0543239278339799E-2</v>
      </c>
      <c r="BH53" s="69">
        <v>0.60682874556446997</v>
      </c>
      <c r="BI53" s="69">
        <v>0</v>
      </c>
      <c r="BJ53" s="69">
        <v>3.23792894634254</v>
      </c>
      <c r="BK53" s="69">
        <v>6.2292179954054498</v>
      </c>
      <c r="BL53" s="69">
        <v>2.8429601730382901</v>
      </c>
      <c r="BM53" s="69">
        <v>5.7965682675944902E-2</v>
      </c>
      <c r="BN53" s="69">
        <v>0</v>
      </c>
      <c r="BO53" s="69">
        <v>0.104541053846279</v>
      </c>
      <c r="BP53" s="69">
        <v>0.133438077012558</v>
      </c>
      <c r="BQ53" s="70">
        <v>0</v>
      </c>
      <c r="BR53" s="71">
        <v>36.520265281711197</v>
      </c>
      <c r="BS53" s="72">
        <v>0</v>
      </c>
      <c r="BT53" s="73">
        <v>0</v>
      </c>
      <c r="BU53" s="73">
        <v>0</v>
      </c>
      <c r="BV53" s="73">
        <v>47.133659921276298</v>
      </c>
      <c r="BW53" s="73">
        <v>0</v>
      </c>
      <c r="BX53" s="74">
        <v>0</v>
      </c>
      <c r="BY53" s="71">
        <v>47.133659921276298</v>
      </c>
      <c r="BZ53" s="75">
        <v>83.653925202987494</v>
      </c>
    </row>
    <row r="54" spans="1:78" ht="15" customHeight="1" x14ac:dyDescent="0.3">
      <c r="A54" s="33" t="s">
        <v>72</v>
      </c>
      <c r="B54" s="11" t="s">
        <v>140</v>
      </c>
      <c r="C54" s="68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  <c r="AE54" s="69">
        <v>0</v>
      </c>
      <c r="AF54" s="69">
        <v>0</v>
      </c>
      <c r="AG54" s="69">
        <v>0</v>
      </c>
      <c r="AH54" s="69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69">
        <v>0</v>
      </c>
      <c r="AU54" s="69">
        <v>0</v>
      </c>
      <c r="AV54" s="69">
        <v>0</v>
      </c>
      <c r="AW54" s="69">
        <v>0</v>
      </c>
      <c r="AX54" s="69">
        <v>0</v>
      </c>
      <c r="AY54" s="69">
        <v>0</v>
      </c>
      <c r="AZ54" s="69">
        <v>0</v>
      </c>
      <c r="BA54" s="69">
        <v>0</v>
      </c>
      <c r="BB54" s="69">
        <v>0</v>
      </c>
      <c r="BC54" s="69">
        <v>0</v>
      </c>
      <c r="BD54" s="69">
        <v>0</v>
      </c>
      <c r="BE54" s="69">
        <v>0</v>
      </c>
      <c r="BF54" s="69">
        <v>0</v>
      </c>
      <c r="BG54" s="69">
        <v>0</v>
      </c>
      <c r="BH54" s="69">
        <v>0</v>
      </c>
      <c r="BI54" s="69">
        <v>0</v>
      </c>
      <c r="BJ54" s="69">
        <v>0</v>
      </c>
      <c r="BK54" s="69">
        <v>0</v>
      </c>
      <c r="BL54" s="69">
        <v>0</v>
      </c>
      <c r="BM54" s="69">
        <v>0</v>
      </c>
      <c r="BN54" s="69">
        <v>0</v>
      </c>
      <c r="BO54" s="69">
        <v>0</v>
      </c>
      <c r="BP54" s="69">
        <v>0</v>
      </c>
      <c r="BQ54" s="70">
        <v>0</v>
      </c>
      <c r="BR54" s="71">
        <v>0</v>
      </c>
      <c r="BS54" s="72">
        <v>0</v>
      </c>
      <c r="BT54" s="73">
        <v>0</v>
      </c>
      <c r="BU54" s="73">
        <v>0</v>
      </c>
      <c r="BV54" s="73">
        <v>0</v>
      </c>
      <c r="BW54" s="73">
        <v>0</v>
      </c>
      <c r="BX54" s="74">
        <v>0</v>
      </c>
      <c r="BY54" s="71">
        <v>0</v>
      </c>
      <c r="BZ54" s="75">
        <v>0</v>
      </c>
    </row>
    <row r="55" spans="1:78" ht="15" customHeight="1" x14ac:dyDescent="0.3">
      <c r="A55" s="33" t="s">
        <v>73</v>
      </c>
      <c r="B55" s="11" t="s">
        <v>141</v>
      </c>
      <c r="C55" s="68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69">
        <v>0</v>
      </c>
      <c r="AU55" s="69">
        <v>0</v>
      </c>
      <c r="AV55" s="69">
        <v>0</v>
      </c>
      <c r="AW55" s="69">
        <v>0</v>
      </c>
      <c r="AX55" s="69">
        <v>0</v>
      </c>
      <c r="AY55" s="69">
        <v>0</v>
      </c>
      <c r="AZ55" s="69">
        <v>0</v>
      </c>
      <c r="BA55" s="69">
        <v>0</v>
      </c>
      <c r="BB55" s="69">
        <v>0</v>
      </c>
      <c r="BC55" s="69">
        <v>0</v>
      </c>
      <c r="BD55" s="69">
        <v>0</v>
      </c>
      <c r="BE55" s="69">
        <v>0</v>
      </c>
      <c r="BF55" s="69">
        <v>0</v>
      </c>
      <c r="BG55" s="69">
        <v>0</v>
      </c>
      <c r="BH55" s="69">
        <v>0</v>
      </c>
      <c r="BI55" s="69">
        <v>0</v>
      </c>
      <c r="BJ55" s="69">
        <v>0</v>
      </c>
      <c r="BK55" s="69">
        <v>0</v>
      </c>
      <c r="BL55" s="69">
        <v>0</v>
      </c>
      <c r="BM55" s="69">
        <v>0</v>
      </c>
      <c r="BN55" s="69">
        <v>0</v>
      </c>
      <c r="BO55" s="69">
        <v>0</v>
      </c>
      <c r="BP55" s="69">
        <v>0</v>
      </c>
      <c r="BQ55" s="70">
        <v>0</v>
      </c>
      <c r="BR55" s="71">
        <v>0</v>
      </c>
      <c r="BS55" s="72">
        <v>0</v>
      </c>
      <c r="BT55" s="73">
        <v>0</v>
      </c>
      <c r="BU55" s="73">
        <v>0</v>
      </c>
      <c r="BV55" s="73">
        <v>0</v>
      </c>
      <c r="BW55" s="73">
        <v>0</v>
      </c>
      <c r="BX55" s="74">
        <v>0</v>
      </c>
      <c r="BY55" s="71">
        <v>0</v>
      </c>
      <c r="BZ55" s="75">
        <v>0</v>
      </c>
    </row>
    <row r="56" spans="1:78" ht="15" customHeight="1" x14ac:dyDescent="0.3">
      <c r="A56" s="33" t="s">
        <v>74</v>
      </c>
      <c r="B56" s="11" t="s">
        <v>142</v>
      </c>
      <c r="C56" s="68">
        <v>0</v>
      </c>
      <c r="D56" s="69">
        <v>0</v>
      </c>
      <c r="E56" s="69">
        <v>0</v>
      </c>
      <c r="F56" s="69">
        <v>6.1759372783077801E-4</v>
      </c>
      <c r="G56" s="69">
        <v>0.10437485015845099</v>
      </c>
      <c r="H56" s="69">
        <v>0.108850643632215</v>
      </c>
      <c r="I56" s="69">
        <v>9.2806248050505205E-3</v>
      </c>
      <c r="J56" s="69">
        <v>0</v>
      </c>
      <c r="K56" s="69">
        <v>0</v>
      </c>
      <c r="L56" s="69">
        <v>0</v>
      </c>
      <c r="M56" s="69">
        <v>0</v>
      </c>
      <c r="N56" s="69">
        <v>0</v>
      </c>
      <c r="O56" s="69">
        <v>0</v>
      </c>
      <c r="P56" s="69">
        <v>0</v>
      </c>
      <c r="Q56" s="69">
        <v>0</v>
      </c>
      <c r="R56" s="69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1.4163108625271201E-3</v>
      </c>
      <c r="AB56" s="69">
        <v>0</v>
      </c>
      <c r="AC56" s="69">
        <v>0</v>
      </c>
      <c r="AD56" s="69">
        <v>0</v>
      </c>
      <c r="AE56" s="69">
        <v>0</v>
      </c>
      <c r="AF56" s="69">
        <v>0.34141231810941203</v>
      </c>
      <c r="AG56" s="69">
        <v>6.3672905092505396E-3</v>
      </c>
      <c r="AH56" s="69">
        <v>0.36317574443697997</v>
      </c>
      <c r="AI56" s="69">
        <v>2.26661717597984E-2</v>
      </c>
      <c r="AJ56" s="69">
        <v>0</v>
      </c>
      <c r="AK56" s="69">
        <v>5.03950110050712E-3</v>
      </c>
      <c r="AL56" s="69">
        <v>0</v>
      </c>
      <c r="AM56" s="69">
        <v>0.15428964716723201</v>
      </c>
      <c r="AN56" s="69">
        <v>0</v>
      </c>
      <c r="AO56" s="69">
        <v>6.9043501226236797E-4</v>
      </c>
      <c r="AP56" s="69">
        <v>5.0545238052182903E-2</v>
      </c>
      <c r="AQ56" s="69">
        <v>3.1090601698225799E-2</v>
      </c>
      <c r="AR56" s="69">
        <v>0</v>
      </c>
      <c r="AS56" s="69">
        <v>3.0792208255076398E-3</v>
      </c>
      <c r="AT56" s="69">
        <v>0</v>
      </c>
      <c r="AU56" s="69">
        <v>3.42636903984258E-3</v>
      </c>
      <c r="AV56" s="69">
        <v>0</v>
      </c>
      <c r="AW56" s="69">
        <v>0</v>
      </c>
      <c r="AX56" s="69">
        <v>0</v>
      </c>
      <c r="AY56" s="69">
        <v>3.0014042206709099E-2</v>
      </c>
      <c r="AZ56" s="69">
        <v>7.5965948906158603E-4</v>
      </c>
      <c r="BA56" s="69">
        <v>0.398908122214296</v>
      </c>
      <c r="BB56" s="69">
        <v>3.16744239821787E-2</v>
      </c>
      <c r="BC56" s="69">
        <v>0</v>
      </c>
      <c r="BD56" s="69">
        <v>4.6317614453952001E-2</v>
      </c>
      <c r="BE56" s="69">
        <v>4.9666519764712501E-2</v>
      </c>
      <c r="BF56" s="69">
        <v>3.0581316286393399E-2</v>
      </c>
      <c r="BG56" s="69">
        <v>6.9395143838339498E-3</v>
      </c>
      <c r="BH56" s="69">
        <v>7.2812724414261495E-2</v>
      </c>
      <c r="BI56" s="69">
        <v>0</v>
      </c>
      <c r="BJ56" s="69">
        <v>2.32040562212277E-2</v>
      </c>
      <c r="BK56" s="69">
        <v>7.09686919657702E-2</v>
      </c>
      <c r="BL56" s="69">
        <v>1.986555731935E-2</v>
      </c>
      <c r="BM56" s="69">
        <v>2.5981914189338599E-2</v>
      </c>
      <c r="BN56" s="69">
        <v>1.0426951673730599E-2</v>
      </c>
      <c r="BO56" s="69">
        <v>0</v>
      </c>
      <c r="BP56" s="69">
        <v>5.2407617078705303E-2</v>
      </c>
      <c r="BQ56" s="70">
        <v>0</v>
      </c>
      <c r="BR56" s="71">
        <v>2.0768512865408</v>
      </c>
      <c r="BS56" s="72">
        <v>0</v>
      </c>
      <c r="BT56" s="73">
        <v>0</v>
      </c>
      <c r="BU56" s="73">
        <v>0</v>
      </c>
      <c r="BV56" s="73">
        <v>1.97113666623476</v>
      </c>
      <c r="BW56" s="73">
        <v>1.90838143755095</v>
      </c>
      <c r="BX56" s="74">
        <v>0</v>
      </c>
      <c r="BY56" s="71">
        <v>3.8795181037857098</v>
      </c>
      <c r="BZ56" s="75">
        <v>5.9563693903264996</v>
      </c>
    </row>
    <row r="57" spans="1:78" ht="15" customHeight="1" x14ac:dyDescent="0.3">
      <c r="A57" s="33" t="s">
        <v>75</v>
      </c>
      <c r="B57" s="11" t="s">
        <v>143</v>
      </c>
      <c r="C57" s="68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9">
        <v>0</v>
      </c>
      <c r="O57" s="69">
        <v>0</v>
      </c>
      <c r="P57" s="69">
        <v>0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69">
        <v>0</v>
      </c>
      <c r="AU57" s="69">
        <v>0</v>
      </c>
      <c r="AV57" s="69">
        <v>0</v>
      </c>
      <c r="AW57" s="69">
        <v>0</v>
      </c>
      <c r="AX57" s="69">
        <v>0</v>
      </c>
      <c r="AY57" s="69">
        <v>0</v>
      </c>
      <c r="AZ57" s="69">
        <v>0</v>
      </c>
      <c r="BA57" s="69">
        <v>0</v>
      </c>
      <c r="BB57" s="69">
        <v>0</v>
      </c>
      <c r="BC57" s="69">
        <v>0</v>
      </c>
      <c r="BD57" s="69">
        <v>0</v>
      </c>
      <c r="BE57" s="69">
        <v>0</v>
      </c>
      <c r="BF57" s="69">
        <v>0</v>
      </c>
      <c r="BG57" s="69">
        <v>0</v>
      </c>
      <c r="BH57" s="69">
        <v>0</v>
      </c>
      <c r="BI57" s="69">
        <v>0</v>
      </c>
      <c r="BJ57" s="69">
        <v>0</v>
      </c>
      <c r="BK57" s="69">
        <v>0</v>
      </c>
      <c r="BL57" s="69">
        <v>0</v>
      </c>
      <c r="BM57" s="69">
        <v>0</v>
      </c>
      <c r="BN57" s="69">
        <v>0</v>
      </c>
      <c r="BO57" s="69">
        <v>0</v>
      </c>
      <c r="BP57" s="69">
        <v>0</v>
      </c>
      <c r="BQ57" s="70">
        <v>0</v>
      </c>
      <c r="BR57" s="71">
        <v>0</v>
      </c>
      <c r="BS57" s="72">
        <v>0</v>
      </c>
      <c r="BT57" s="73">
        <v>0</v>
      </c>
      <c r="BU57" s="73">
        <v>0</v>
      </c>
      <c r="BV57" s="73">
        <v>0</v>
      </c>
      <c r="BW57" s="73">
        <v>0</v>
      </c>
      <c r="BX57" s="74">
        <v>0</v>
      </c>
      <c r="BY57" s="71">
        <v>0</v>
      </c>
      <c r="BZ57" s="75">
        <v>0</v>
      </c>
    </row>
    <row r="58" spans="1:78" ht="15" customHeight="1" x14ac:dyDescent="0.3">
      <c r="A58" s="33" t="s">
        <v>76</v>
      </c>
      <c r="B58" s="11" t="s">
        <v>144</v>
      </c>
      <c r="C58" s="68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69">
        <v>0</v>
      </c>
      <c r="AU58" s="69">
        <v>0</v>
      </c>
      <c r="AV58" s="69">
        <v>0</v>
      </c>
      <c r="AW58" s="69">
        <v>0</v>
      </c>
      <c r="AX58" s="69">
        <v>0</v>
      </c>
      <c r="AY58" s="69">
        <v>0</v>
      </c>
      <c r="AZ58" s="69">
        <v>0</v>
      </c>
      <c r="BA58" s="69">
        <v>0</v>
      </c>
      <c r="BB58" s="69">
        <v>0</v>
      </c>
      <c r="BC58" s="69">
        <v>0</v>
      </c>
      <c r="BD58" s="69">
        <v>0</v>
      </c>
      <c r="BE58" s="69">
        <v>0</v>
      </c>
      <c r="BF58" s="69">
        <v>0</v>
      </c>
      <c r="BG58" s="69">
        <v>0</v>
      </c>
      <c r="BH58" s="69">
        <v>0</v>
      </c>
      <c r="BI58" s="69">
        <v>0</v>
      </c>
      <c r="BJ58" s="69">
        <v>0</v>
      </c>
      <c r="BK58" s="69">
        <v>0</v>
      </c>
      <c r="BL58" s="69">
        <v>0</v>
      </c>
      <c r="BM58" s="69">
        <v>0</v>
      </c>
      <c r="BN58" s="69">
        <v>0</v>
      </c>
      <c r="BO58" s="69">
        <v>0</v>
      </c>
      <c r="BP58" s="69">
        <v>0</v>
      </c>
      <c r="BQ58" s="70">
        <v>0</v>
      </c>
      <c r="BR58" s="71">
        <v>0</v>
      </c>
      <c r="BS58" s="72">
        <v>0</v>
      </c>
      <c r="BT58" s="73">
        <v>0</v>
      </c>
      <c r="BU58" s="73">
        <v>0</v>
      </c>
      <c r="BV58" s="73">
        <v>0</v>
      </c>
      <c r="BW58" s="73">
        <v>0</v>
      </c>
      <c r="BX58" s="74">
        <v>0</v>
      </c>
      <c r="BY58" s="71">
        <v>0</v>
      </c>
      <c r="BZ58" s="75">
        <v>0</v>
      </c>
    </row>
    <row r="59" spans="1:78" ht="15" customHeight="1" x14ac:dyDescent="0.3">
      <c r="A59" s="33" t="s">
        <v>77</v>
      </c>
      <c r="B59" s="11" t="s">
        <v>145</v>
      </c>
      <c r="C59" s="68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69">
        <v>0</v>
      </c>
      <c r="AU59" s="69">
        <v>0</v>
      </c>
      <c r="AV59" s="69">
        <v>0</v>
      </c>
      <c r="AW59" s="69">
        <v>0</v>
      </c>
      <c r="AX59" s="69">
        <v>0</v>
      </c>
      <c r="AY59" s="69">
        <v>0</v>
      </c>
      <c r="AZ59" s="69">
        <v>0</v>
      </c>
      <c r="BA59" s="69">
        <v>0</v>
      </c>
      <c r="BB59" s="69">
        <v>0</v>
      </c>
      <c r="BC59" s="69">
        <v>0</v>
      </c>
      <c r="BD59" s="69">
        <v>0</v>
      </c>
      <c r="BE59" s="69">
        <v>0</v>
      </c>
      <c r="BF59" s="69">
        <v>0</v>
      </c>
      <c r="BG59" s="69">
        <v>0</v>
      </c>
      <c r="BH59" s="69">
        <v>0</v>
      </c>
      <c r="BI59" s="69">
        <v>0</v>
      </c>
      <c r="BJ59" s="69">
        <v>0</v>
      </c>
      <c r="BK59" s="69">
        <v>0</v>
      </c>
      <c r="BL59" s="69">
        <v>0</v>
      </c>
      <c r="BM59" s="69">
        <v>0</v>
      </c>
      <c r="BN59" s="69">
        <v>0</v>
      </c>
      <c r="BO59" s="69">
        <v>0</v>
      </c>
      <c r="BP59" s="69">
        <v>0</v>
      </c>
      <c r="BQ59" s="70">
        <v>0</v>
      </c>
      <c r="BR59" s="71">
        <v>0</v>
      </c>
      <c r="BS59" s="72">
        <v>0</v>
      </c>
      <c r="BT59" s="73">
        <v>0</v>
      </c>
      <c r="BU59" s="73">
        <v>0</v>
      </c>
      <c r="BV59" s="73">
        <v>0</v>
      </c>
      <c r="BW59" s="73">
        <v>0</v>
      </c>
      <c r="BX59" s="74">
        <v>0</v>
      </c>
      <c r="BY59" s="71">
        <v>0</v>
      </c>
      <c r="BZ59" s="75">
        <v>0</v>
      </c>
    </row>
    <row r="60" spans="1:78" ht="15" customHeight="1" x14ac:dyDescent="0.3">
      <c r="A60" s="33" t="s">
        <v>78</v>
      </c>
      <c r="B60" s="11" t="s">
        <v>146</v>
      </c>
      <c r="C60" s="68">
        <v>1.0709110265545101E-2</v>
      </c>
      <c r="D60" s="69">
        <v>2.1639276058789299E-2</v>
      </c>
      <c r="E60" s="69">
        <v>0</v>
      </c>
      <c r="F60" s="69">
        <v>5.49213567342799E-3</v>
      </c>
      <c r="G60" s="69">
        <v>0.344337746154458</v>
      </c>
      <c r="H60" s="69">
        <v>0.433445870090646</v>
      </c>
      <c r="I60" s="69">
        <v>4.3491304524380402E-2</v>
      </c>
      <c r="J60" s="69">
        <v>0.146013904023747</v>
      </c>
      <c r="K60" s="69">
        <v>6.7482713727962098E-3</v>
      </c>
      <c r="L60" s="69">
        <v>0.176960455072563</v>
      </c>
      <c r="M60" s="69">
        <v>0.18943341103166</v>
      </c>
      <c r="N60" s="69">
        <v>0</v>
      </c>
      <c r="O60" s="69">
        <v>2.1005032290058599E-3</v>
      </c>
      <c r="P60" s="69">
        <v>2.4939477567218599E-3</v>
      </c>
      <c r="Q60" s="69">
        <v>2.3565070033220599E-3</v>
      </c>
      <c r="R60" s="69">
        <v>5.1358611966381203E-2</v>
      </c>
      <c r="S60" s="69">
        <v>1.5799048349982001E-2</v>
      </c>
      <c r="T60" s="69">
        <v>8.2959759145917206E-3</v>
      </c>
      <c r="U60" s="69">
        <v>1.46570203241342E-2</v>
      </c>
      <c r="V60" s="69">
        <v>1.2815622165596101E-3</v>
      </c>
      <c r="W60" s="69">
        <v>4.6750661875745003E-2</v>
      </c>
      <c r="X60" s="69">
        <v>3.6129536970505999E-2</v>
      </c>
      <c r="Y60" s="69">
        <v>4.5419657402391199E-2</v>
      </c>
      <c r="Z60" s="69">
        <v>7.2654763463103197E-3</v>
      </c>
      <c r="AA60" s="69">
        <v>0.187977602649744</v>
      </c>
      <c r="AB60" s="69">
        <v>3.5444669948022901E-2</v>
      </c>
      <c r="AC60" s="69">
        <v>3.99259286467177E-2</v>
      </c>
      <c r="AD60" s="69">
        <v>1.7880938928461699E-2</v>
      </c>
      <c r="AE60" s="69">
        <v>0.39672033274499102</v>
      </c>
      <c r="AF60" s="69">
        <v>4.8716600763391002E-2</v>
      </c>
      <c r="AG60" s="69">
        <v>0.16063797030863999</v>
      </c>
      <c r="AH60" s="69">
        <v>1.44947735669295</v>
      </c>
      <c r="AI60" s="69">
        <v>0.25259842193745902</v>
      </c>
      <c r="AJ60" s="69">
        <v>0.10877523436986999</v>
      </c>
      <c r="AK60" s="69">
        <v>5.5558977288696999E-2</v>
      </c>
      <c r="AL60" s="69">
        <v>7.4487029742395794E-2</v>
      </c>
      <c r="AM60" s="69">
        <v>0.59827602920553602</v>
      </c>
      <c r="AN60" s="69">
        <v>8.0921164462107703E-2</v>
      </c>
      <c r="AO60" s="69">
        <v>4.1754844509556598E-2</v>
      </c>
      <c r="AP60" s="69">
        <v>1.16087325637522</v>
      </c>
      <c r="AQ60" s="69">
        <v>0.17288464853612501</v>
      </c>
      <c r="AR60" s="69">
        <v>4.02582144611522E-3</v>
      </c>
      <c r="AS60" s="69">
        <v>1.0117439855239401E-2</v>
      </c>
      <c r="AT60" s="69">
        <v>0</v>
      </c>
      <c r="AU60" s="69">
        <v>1.20344013076619E-2</v>
      </c>
      <c r="AV60" s="69">
        <v>1.29971760988022E-2</v>
      </c>
      <c r="AW60" s="69">
        <v>0.17558346136528699</v>
      </c>
      <c r="AX60" s="69">
        <v>0</v>
      </c>
      <c r="AY60" s="69">
        <v>0</v>
      </c>
      <c r="AZ60" s="69">
        <v>2.4960240354880698E-3</v>
      </c>
      <c r="BA60" s="69">
        <v>0</v>
      </c>
      <c r="BB60" s="69">
        <v>0</v>
      </c>
      <c r="BC60" s="69">
        <v>9.9863375120571897E-3</v>
      </c>
      <c r="BD60" s="69">
        <v>3.72125363878808E-3</v>
      </c>
      <c r="BE60" s="69">
        <v>0</v>
      </c>
      <c r="BF60" s="69">
        <v>0</v>
      </c>
      <c r="BG60" s="69">
        <v>0</v>
      </c>
      <c r="BH60" s="69">
        <v>8.4692074942680995E-2</v>
      </c>
      <c r="BI60" s="69">
        <v>4.7435907415660002E-3</v>
      </c>
      <c r="BJ60" s="69">
        <v>2.6233652595686899E-2</v>
      </c>
      <c r="BK60" s="69">
        <v>2.7926080931447101E-3</v>
      </c>
      <c r="BL60" s="69">
        <v>0</v>
      </c>
      <c r="BM60" s="69">
        <v>1.6440826852716701E-2</v>
      </c>
      <c r="BN60" s="69">
        <v>3.44097016937773E-3</v>
      </c>
      <c r="BO60" s="69">
        <v>0</v>
      </c>
      <c r="BP60" s="69">
        <v>2.1886805355817401E-3</v>
      </c>
      <c r="BQ60" s="70">
        <v>0</v>
      </c>
      <c r="BR60" s="71">
        <v>6.8665853199237503</v>
      </c>
      <c r="BS60" s="72">
        <v>0</v>
      </c>
      <c r="BT60" s="73">
        <v>0</v>
      </c>
      <c r="BU60" s="73">
        <v>0</v>
      </c>
      <c r="BV60" s="73">
        <v>0.316963857114888</v>
      </c>
      <c r="BW60" s="73">
        <v>2.1990608182792899</v>
      </c>
      <c r="BX60" s="74">
        <v>0</v>
      </c>
      <c r="BY60" s="71">
        <v>2.51602467539418</v>
      </c>
      <c r="BZ60" s="75">
        <v>9.3826099953179192</v>
      </c>
    </row>
    <row r="61" spans="1:78" ht="15" customHeight="1" x14ac:dyDescent="0.3">
      <c r="A61" s="33" t="s">
        <v>79</v>
      </c>
      <c r="B61" s="11" t="s">
        <v>147</v>
      </c>
      <c r="C61" s="68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  <c r="AJ61" s="69">
        <v>0</v>
      </c>
      <c r="AK61" s="69">
        <v>0</v>
      </c>
      <c r="AL61" s="69">
        <v>0</v>
      </c>
      <c r="AM61" s="69">
        <v>0</v>
      </c>
      <c r="AN61" s="69">
        <v>0</v>
      </c>
      <c r="AO61" s="69">
        <v>0</v>
      </c>
      <c r="AP61" s="69">
        <v>0</v>
      </c>
      <c r="AQ61" s="69">
        <v>0</v>
      </c>
      <c r="AR61" s="69">
        <v>0</v>
      </c>
      <c r="AS61" s="69">
        <v>0</v>
      </c>
      <c r="AT61" s="69">
        <v>0</v>
      </c>
      <c r="AU61" s="69">
        <v>0</v>
      </c>
      <c r="AV61" s="69">
        <v>0</v>
      </c>
      <c r="AW61" s="69">
        <v>0</v>
      </c>
      <c r="AX61" s="69">
        <v>0</v>
      </c>
      <c r="AY61" s="69">
        <v>0</v>
      </c>
      <c r="AZ61" s="69">
        <v>0</v>
      </c>
      <c r="BA61" s="69">
        <v>0</v>
      </c>
      <c r="BB61" s="69">
        <v>0</v>
      </c>
      <c r="BC61" s="69">
        <v>0</v>
      </c>
      <c r="BD61" s="69">
        <v>0</v>
      </c>
      <c r="BE61" s="69">
        <v>0</v>
      </c>
      <c r="BF61" s="69">
        <v>0</v>
      </c>
      <c r="BG61" s="69">
        <v>0</v>
      </c>
      <c r="BH61" s="69">
        <v>0</v>
      </c>
      <c r="BI61" s="69">
        <v>0</v>
      </c>
      <c r="BJ61" s="69">
        <v>0</v>
      </c>
      <c r="BK61" s="69">
        <v>0</v>
      </c>
      <c r="BL61" s="69">
        <v>0</v>
      </c>
      <c r="BM61" s="69">
        <v>0</v>
      </c>
      <c r="BN61" s="69">
        <v>0</v>
      </c>
      <c r="BO61" s="69">
        <v>0</v>
      </c>
      <c r="BP61" s="69">
        <v>0</v>
      </c>
      <c r="BQ61" s="70">
        <v>0</v>
      </c>
      <c r="BR61" s="71">
        <v>0</v>
      </c>
      <c r="BS61" s="72">
        <v>0</v>
      </c>
      <c r="BT61" s="73">
        <v>0</v>
      </c>
      <c r="BU61" s="73">
        <v>0</v>
      </c>
      <c r="BV61" s="73">
        <v>0</v>
      </c>
      <c r="BW61" s="73">
        <v>0</v>
      </c>
      <c r="BX61" s="74">
        <v>0</v>
      </c>
      <c r="BY61" s="71">
        <v>0</v>
      </c>
      <c r="BZ61" s="75">
        <v>0</v>
      </c>
    </row>
    <row r="62" spans="1:78" ht="15" customHeight="1" x14ac:dyDescent="0.3">
      <c r="A62" s="33" t="s">
        <v>80</v>
      </c>
      <c r="B62" s="11" t="s">
        <v>148</v>
      </c>
      <c r="C62" s="68">
        <v>5.2306235259659897E-2</v>
      </c>
      <c r="D62" s="69">
        <v>6.0459195465086197E-4</v>
      </c>
      <c r="E62" s="69">
        <v>0</v>
      </c>
      <c r="F62" s="69">
        <v>6.7790143233049599E-3</v>
      </c>
      <c r="G62" s="69">
        <v>2.1221998894226001E-2</v>
      </c>
      <c r="H62" s="69">
        <v>2.2795114375664199E-3</v>
      </c>
      <c r="I62" s="69">
        <v>3.9091197058861802E-4</v>
      </c>
      <c r="J62" s="69">
        <v>3.21612054539611E-3</v>
      </c>
      <c r="K62" s="69">
        <v>1.18410932324193E-2</v>
      </c>
      <c r="L62" s="69">
        <v>2.1697741867972499E-2</v>
      </c>
      <c r="M62" s="69">
        <v>4.5970611517374103E-3</v>
      </c>
      <c r="N62" s="69">
        <v>0</v>
      </c>
      <c r="O62" s="69">
        <v>0.49607678562706198</v>
      </c>
      <c r="P62" s="69">
        <v>6.19915791168658E-2</v>
      </c>
      <c r="Q62" s="69">
        <v>9.2498037476507006E-2</v>
      </c>
      <c r="R62" s="69">
        <v>1.4011897458112901E-3</v>
      </c>
      <c r="S62" s="69">
        <v>2.31730690311754E-2</v>
      </c>
      <c r="T62" s="69">
        <v>0</v>
      </c>
      <c r="U62" s="69">
        <v>4.1748038445152798E-4</v>
      </c>
      <c r="V62" s="69">
        <v>0</v>
      </c>
      <c r="W62" s="69">
        <v>7.4557004305127205E-4</v>
      </c>
      <c r="X62" s="69">
        <v>8.6747441568925702E-4</v>
      </c>
      <c r="Y62" s="69">
        <v>8.3606104855643896E-4</v>
      </c>
      <c r="Z62" s="69">
        <v>6.2881984516460906E-5</v>
      </c>
      <c r="AA62" s="69">
        <v>6.2357737748705601E-2</v>
      </c>
      <c r="AB62" s="69">
        <v>2.6191197003118302E-4</v>
      </c>
      <c r="AC62" s="69">
        <v>1.10508485747857E-3</v>
      </c>
      <c r="AD62" s="69">
        <v>5.3777259935223099E-4</v>
      </c>
      <c r="AE62" s="69">
        <v>1.16677327395563E-2</v>
      </c>
      <c r="AF62" s="69">
        <v>1.1150504580750599E-3</v>
      </c>
      <c r="AG62" s="69">
        <v>3.5921104150773201E-3</v>
      </c>
      <c r="AH62" s="69">
        <v>7.3502138081899503E-3</v>
      </c>
      <c r="AI62" s="69">
        <v>0.105710607665415</v>
      </c>
      <c r="AJ62" s="69">
        <v>2.4213321659221098E-3</v>
      </c>
      <c r="AK62" s="69">
        <v>1.3982427830554599E-2</v>
      </c>
      <c r="AL62" s="69">
        <v>4.4094855746386899E-2</v>
      </c>
      <c r="AM62" s="69">
        <v>3.6737803541008001E-3</v>
      </c>
      <c r="AN62" s="69">
        <v>2.2844925735197598E-3</v>
      </c>
      <c r="AO62" s="69">
        <v>7.32846637842565E-4</v>
      </c>
      <c r="AP62" s="69">
        <v>8.3187523926728499E-2</v>
      </c>
      <c r="AQ62" s="69">
        <v>2.5162392121114999E-2</v>
      </c>
      <c r="AR62" s="69">
        <v>5.6433604299117399E-3</v>
      </c>
      <c r="AS62" s="69">
        <v>0</v>
      </c>
      <c r="AT62" s="69">
        <v>0</v>
      </c>
      <c r="AU62" s="69">
        <v>0</v>
      </c>
      <c r="AV62" s="69">
        <v>0.32551339489147502</v>
      </c>
      <c r="AW62" s="69">
        <v>0.215752203357754</v>
      </c>
      <c r="AX62" s="69">
        <v>0</v>
      </c>
      <c r="AY62" s="69">
        <v>0</v>
      </c>
      <c r="AZ62" s="69">
        <v>0</v>
      </c>
      <c r="BA62" s="69">
        <v>0</v>
      </c>
      <c r="BB62" s="69">
        <v>0</v>
      </c>
      <c r="BC62" s="69">
        <v>2.4177897960482499E-4</v>
      </c>
      <c r="BD62" s="69">
        <v>0</v>
      </c>
      <c r="BE62" s="69">
        <v>0</v>
      </c>
      <c r="BF62" s="69">
        <v>0</v>
      </c>
      <c r="BG62" s="69">
        <v>0</v>
      </c>
      <c r="BH62" s="69">
        <v>1.37305731954831E-2</v>
      </c>
      <c r="BI62" s="69">
        <v>1.4266438320499299E-4</v>
      </c>
      <c r="BJ62" s="69">
        <v>2.6193407866160701E-2</v>
      </c>
      <c r="BK62" s="69">
        <v>4.8244107630269803E-2</v>
      </c>
      <c r="BL62" s="69">
        <v>0</v>
      </c>
      <c r="BM62" s="69">
        <v>3.1973760400517998E-2</v>
      </c>
      <c r="BN62" s="69">
        <v>9.4920623183447905E-3</v>
      </c>
      <c r="BO62" s="69">
        <v>0</v>
      </c>
      <c r="BP62" s="69">
        <v>0.71851664729565801</v>
      </c>
      <c r="BQ62" s="70">
        <v>0</v>
      </c>
      <c r="BR62" s="71">
        <v>2.5676862438776502</v>
      </c>
      <c r="BS62" s="72">
        <v>0</v>
      </c>
      <c r="BT62" s="73">
        <v>0</v>
      </c>
      <c r="BU62" s="73">
        <v>0</v>
      </c>
      <c r="BV62" s="73">
        <v>0.36681630704187301</v>
      </c>
      <c r="BW62" s="73">
        <v>0.56777275875084399</v>
      </c>
      <c r="BX62" s="74">
        <v>0</v>
      </c>
      <c r="BY62" s="71">
        <v>0.93458906579271706</v>
      </c>
      <c r="BZ62" s="75">
        <v>3.50227530967036</v>
      </c>
    </row>
    <row r="63" spans="1:78" ht="15" customHeight="1" x14ac:dyDescent="0.3">
      <c r="A63" s="33" t="s">
        <v>81</v>
      </c>
      <c r="B63" s="11" t="s">
        <v>149</v>
      </c>
      <c r="C63" s="68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0</v>
      </c>
      <c r="R63" s="69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69">
        <v>0</v>
      </c>
      <c r="AE63" s="69">
        <v>0</v>
      </c>
      <c r="AF63" s="69">
        <v>0</v>
      </c>
      <c r="AG63" s="69">
        <v>0</v>
      </c>
      <c r="AH63" s="69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69">
        <v>0</v>
      </c>
      <c r="AO63" s="69">
        <v>0</v>
      </c>
      <c r="AP63" s="69">
        <v>0</v>
      </c>
      <c r="AQ63" s="69">
        <v>0</v>
      </c>
      <c r="AR63" s="69">
        <v>0</v>
      </c>
      <c r="AS63" s="69">
        <v>0</v>
      </c>
      <c r="AT63" s="69">
        <v>0</v>
      </c>
      <c r="AU63" s="69">
        <v>0</v>
      </c>
      <c r="AV63" s="69">
        <v>0</v>
      </c>
      <c r="AW63" s="69">
        <v>0</v>
      </c>
      <c r="AX63" s="69">
        <v>0</v>
      </c>
      <c r="AY63" s="69">
        <v>0</v>
      </c>
      <c r="AZ63" s="69">
        <v>0</v>
      </c>
      <c r="BA63" s="69">
        <v>0</v>
      </c>
      <c r="BB63" s="69">
        <v>0</v>
      </c>
      <c r="BC63" s="69">
        <v>0</v>
      </c>
      <c r="BD63" s="69">
        <v>0</v>
      </c>
      <c r="BE63" s="69">
        <v>0</v>
      </c>
      <c r="BF63" s="69">
        <v>0</v>
      </c>
      <c r="BG63" s="69">
        <v>0</v>
      </c>
      <c r="BH63" s="69">
        <v>0</v>
      </c>
      <c r="BI63" s="69">
        <v>0</v>
      </c>
      <c r="BJ63" s="69">
        <v>0</v>
      </c>
      <c r="BK63" s="69">
        <v>0</v>
      </c>
      <c r="BL63" s="69">
        <v>0</v>
      </c>
      <c r="BM63" s="69">
        <v>0</v>
      </c>
      <c r="BN63" s="69">
        <v>0</v>
      </c>
      <c r="BO63" s="69">
        <v>0</v>
      </c>
      <c r="BP63" s="69">
        <v>0</v>
      </c>
      <c r="BQ63" s="70">
        <v>0</v>
      </c>
      <c r="BR63" s="71">
        <v>0</v>
      </c>
      <c r="BS63" s="72">
        <v>0</v>
      </c>
      <c r="BT63" s="73">
        <v>0</v>
      </c>
      <c r="BU63" s="73">
        <v>0</v>
      </c>
      <c r="BV63" s="73">
        <v>0</v>
      </c>
      <c r="BW63" s="73">
        <v>0</v>
      </c>
      <c r="BX63" s="74">
        <v>0</v>
      </c>
      <c r="BY63" s="71">
        <v>0</v>
      </c>
      <c r="BZ63" s="75">
        <v>0</v>
      </c>
    </row>
    <row r="64" spans="1:78" ht="15" customHeight="1" x14ac:dyDescent="0.3">
      <c r="A64" s="33" t="s">
        <v>82</v>
      </c>
      <c r="B64" s="11" t="s">
        <v>150</v>
      </c>
      <c r="C64" s="68">
        <v>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69">
        <v>0</v>
      </c>
      <c r="N64" s="69">
        <v>0</v>
      </c>
      <c r="O64" s="69">
        <v>0</v>
      </c>
      <c r="P64" s="69">
        <v>0</v>
      </c>
      <c r="Q64" s="69">
        <v>0</v>
      </c>
      <c r="R64" s="69">
        <v>0</v>
      </c>
      <c r="S64" s="69">
        <v>0</v>
      </c>
      <c r="T64" s="69">
        <v>0</v>
      </c>
      <c r="U64" s="69">
        <v>0</v>
      </c>
      <c r="V64" s="69">
        <v>0</v>
      </c>
      <c r="W64" s="69">
        <v>0</v>
      </c>
      <c r="X64" s="69">
        <v>0</v>
      </c>
      <c r="Y64" s="69">
        <v>0</v>
      </c>
      <c r="Z64" s="69">
        <v>0</v>
      </c>
      <c r="AA64" s="69">
        <v>0</v>
      </c>
      <c r="AB64" s="69">
        <v>0</v>
      </c>
      <c r="AC64" s="69">
        <v>0</v>
      </c>
      <c r="AD64" s="69">
        <v>0</v>
      </c>
      <c r="AE64" s="69">
        <v>0</v>
      </c>
      <c r="AF64" s="69">
        <v>0</v>
      </c>
      <c r="AG64" s="69">
        <v>0</v>
      </c>
      <c r="AH64" s="69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69">
        <v>0</v>
      </c>
      <c r="AO64" s="69">
        <v>0</v>
      </c>
      <c r="AP64" s="69">
        <v>0</v>
      </c>
      <c r="AQ64" s="69">
        <v>0</v>
      </c>
      <c r="AR64" s="69">
        <v>0</v>
      </c>
      <c r="AS64" s="69">
        <v>0</v>
      </c>
      <c r="AT64" s="69">
        <v>0</v>
      </c>
      <c r="AU64" s="69">
        <v>0</v>
      </c>
      <c r="AV64" s="69">
        <v>0</v>
      </c>
      <c r="AW64" s="69">
        <v>0</v>
      </c>
      <c r="AX64" s="69">
        <v>0</v>
      </c>
      <c r="AY64" s="69">
        <v>0</v>
      </c>
      <c r="AZ64" s="69">
        <v>0</v>
      </c>
      <c r="BA64" s="69">
        <v>0</v>
      </c>
      <c r="BB64" s="69">
        <v>0</v>
      </c>
      <c r="BC64" s="69">
        <v>0</v>
      </c>
      <c r="BD64" s="69">
        <v>0</v>
      </c>
      <c r="BE64" s="69">
        <v>0</v>
      </c>
      <c r="BF64" s="69">
        <v>0</v>
      </c>
      <c r="BG64" s="69">
        <v>0</v>
      </c>
      <c r="BH64" s="69">
        <v>0</v>
      </c>
      <c r="BI64" s="69">
        <v>0</v>
      </c>
      <c r="BJ64" s="69">
        <v>0</v>
      </c>
      <c r="BK64" s="69">
        <v>0</v>
      </c>
      <c r="BL64" s="69">
        <v>0</v>
      </c>
      <c r="BM64" s="69">
        <v>0</v>
      </c>
      <c r="BN64" s="69">
        <v>0</v>
      </c>
      <c r="BO64" s="69">
        <v>0</v>
      </c>
      <c r="BP64" s="69">
        <v>0</v>
      </c>
      <c r="BQ64" s="70">
        <v>0</v>
      </c>
      <c r="BR64" s="71">
        <v>0</v>
      </c>
      <c r="BS64" s="72">
        <v>0</v>
      </c>
      <c r="BT64" s="73">
        <v>0</v>
      </c>
      <c r="BU64" s="73">
        <v>0</v>
      </c>
      <c r="BV64" s="73">
        <v>0</v>
      </c>
      <c r="BW64" s="73">
        <v>0</v>
      </c>
      <c r="BX64" s="74">
        <v>0</v>
      </c>
      <c r="BY64" s="71">
        <v>0</v>
      </c>
      <c r="BZ64" s="75">
        <v>0</v>
      </c>
    </row>
    <row r="65" spans="1:80" ht="15" customHeight="1" x14ac:dyDescent="0.3">
      <c r="A65" s="33" t="s">
        <v>83</v>
      </c>
      <c r="B65" s="11" t="s">
        <v>151</v>
      </c>
      <c r="C65" s="68">
        <v>5.2525525649479299</v>
      </c>
      <c r="D65" s="69">
        <v>1.83000022398795</v>
      </c>
      <c r="E65" s="69">
        <v>4.32893310386918E-2</v>
      </c>
      <c r="F65" s="69">
        <v>0.1424707042493</v>
      </c>
      <c r="G65" s="69">
        <v>1.4805953569971499</v>
      </c>
      <c r="H65" s="69">
        <v>0.51570676755816802</v>
      </c>
      <c r="I65" s="69">
        <v>9.5000985922123402E-2</v>
      </c>
      <c r="J65" s="69">
        <v>0.288449001830619</v>
      </c>
      <c r="K65" s="69">
        <v>9.6447716879263498E-2</v>
      </c>
      <c r="L65" s="69">
        <v>8.2237474390389806</v>
      </c>
      <c r="M65" s="69">
        <v>0.28854516933767699</v>
      </c>
      <c r="N65" s="69">
        <v>7.7406027896759794E-2</v>
      </c>
      <c r="O65" s="69">
        <v>0.122038191239388</v>
      </c>
      <c r="P65" s="69">
        <v>1.83323172643436E-3</v>
      </c>
      <c r="Q65" s="69">
        <v>9.21137706750602E-2</v>
      </c>
      <c r="R65" s="69">
        <v>7.1217596894117802E-2</v>
      </c>
      <c r="S65" s="69">
        <v>2.8675038942024398</v>
      </c>
      <c r="T65" s="69">
        <v>6.2495350697322899E-3</v>
      </c>
      <c r="U65" s="69">
        <v>2.6529294788604298E-2</v>
      </c>
      <c r="V65" s="69">
        <v>0.145388715095739</v>
      </c>
      <c r="W65" s="69">
        <v>20.169843479875698</v>
      </c>
      <c r="X65" s="69">
        <v>2.5371053792851801</v>
      </c>
      <c r="Y65" s="69">
        <v>0.64976931896012302</v>
      </c>
      <c r="Z65" s="69">
        <v>0.64020152371194305</v>
      </c>
      <c r="AA65" s="69">
        <v>0.39591069825087799</v>
      </c>
      <c r="AB65" s="69">
        <v>1.8281388307409101</v>
      </c>
      <c r="AC65" s="69">
        <v>0.60601632283933304</v>
      </c>
      <c r="AD65" s="69">
        <v>0.61935577633573102</v>
      </c>
      <c r="AE65" s="69">
        <v>0.66823164101028798</v>
      </c>
      <c r="AF65" s="69">
        <v>3.5263470736623899E-2</v>
      </c>
      <c r="AG65" s="69">
        <v>0.28261273422767802</v>
      </c>
      <c r="AH65" s="69">
        <v>1.6529841791909501</v>
      </c>
      <c r="AI65" s="69">
        <v>0.24120856845439601</v>
      </c>
      <c r="AJ65" s="69">
        <v>7.8827516473071693E-2</v>
      </c>
      <c r="AK65" s="69">
        <v>0.10929221917509301</v>
      </c>
      <c r="AL65" s="69">
        <v>0.16049581003772101</v>
      </c>
      <c r="AM65" s="69">
        <v>0.81572867093986801</v>
      </c>
      <c r="AN65" s="69">
        <v>0.164195638327474</v>
      </c>
      <c r="AO65" s="69">
        <v>0.76162014688237401</v>
      </c>
      <c r="AP65" s="69">
        <v>1.53479531107397</v>
      </c>
      <c r="AQ65" s="69">
        <v>0.83558206845690797</v>
      </c>
      <c r="AR65" s="69">
        <v>3.8290707739366599E-3</v>
      </c>
      <c r="AS65" s="69">
        <v>1.2008961219479799E-2</v>
      </c>
      <c r="AT65" s="69">
        <v>0</v>
      </c>
      <c r="AU65" s="69">
        <v>1.49369611708948E-2</v>
      </c>
      <c r="AV65" s="69">
        <v>4.5974322887523601E-2</v>
      </c>
      <c r="AW65" s="69">
        <v>0.70724861745235201</v>
      </c>
      <c r="AX65" s="69">
        <v>0</v>
      </c>
      <c r="AY65" s="69">
        <v>0</v>
      </c>
      <c r="AZ65" s="69">
        <v>2.9626720073401801E-3</v>
      </c>
      <c r="BA65" s="69">
        <v>0</v>
      </c>
      <c r="BB65" s="69">
        <v>6.3791937637989599E-2</v>
      </c>
      <c r="BC65" s="69">
        <v>3.05494991406614E-2</v>
      </c>
      <c r="BD65" s="69">
        <v>0</v>
      </c>
      <c r="BE65" s="69">
        <v>0</v>
      </c>
      <c r="BF65" s="69">
        <v>0.452061041566931</v>
      </c>
      <c r="BG65" s="69">
        <v>0</v>
      </c>
      <c r="BH65" s="69">
        <v>0.1130971323407</v>
      </c>
      <c r="BI65" s="69">
        <v>4.5117611188578901E-3</v>
      </c>
      <c r="BJ65" s="69">
        <v>0.57574840383450798</v>
      </c>
      <c r="BK65" s="69">
        <v>0.381129351006253</v>
      </c>
      <c r="BL65" s="69">
        <v>0.176916073667545</v>
      </c>
      <c r="BM65" s="69">
        <v>3.0960467015739299</v>
      </c>
      <c r="BN65" s="69">
        <v>3.0608940799573499</v>
      </c>
      <c r="BO65" s="69">
        <v>0</v>
      </c>
      <c r="BP65" s="69">
        <v>0.46410552721845999</v>
      </c>
      <c r="BQ65" s="70">
        <v>0</v>
      </c>
      <c r="BR65" s="71">
        <v>65.660076938937095</v>
      </c>
      <c r="BS65" s="72">
        <v>0</v>
      </c>
      <c r="BT65" s="73">
        <v>0.22133296718204901</v>
      </c>
      <c r="BU65" s="73">
        <v>0</v>
      </c>
      <c r="BV65" s="73">
        <v>6.4781718531963604</v>
      </c>
      <c r="BW65" s="73">
        <v>2.57971473551313</v>
      </c>
      <c r="BX65" s="74">
        <v>0</v>
      </c>
      <c r="BY65" s="71">
        <v>9.2792195558915402</v>
      </c>
      <c r="BZ65" s="75">
        <v>74.939296494828696</v>
      </c>
    </row>
    <row r="66" spans="1:80" ht="15" customHeight="1" x14ac:dyDescent="0.3">
      <c r="A66" s="33" t="s">
        <v>84</v>
      </c>
      <c r="B66" s="11" t="s">
        <v>152</v>
      </c>
      <c r="C66" s="68">
        <v>7.8181868805798898E-3</v>
      </c>
      <c r="D66" s="69">
        <v>1.36569038687578E-3</v>
      </c>
      <c r="E66" s="69">
        <v>6.4076739011081498E-5</v>
      </c>
      <c r="F66" s="69">
        <v>9.5287691931030306E-5</v>
      </c>
      <c r="G66" s="69">
        <v>1.96577144718783E-3</v>
      </c>
      <c r="H66" s="69">
        <v>0</v>
      </c>
      <c r="I66" s="69">
        <v>8.2341264578236398E-5</v>
      </c>
      <c r="J66" s="69">
        <v>0</v>
      </c>
      <c r="K66" s="69">
        <v>1.84254188670659E-4</v>
      </c>
      <c r="L66" s="69">
        <v>7.8734522946766498E-4</v>
      </c>
      <c r="M66" s="69">
        <v>1.2350236346143E-4</v>
      </c>
      <c r="N66" s="69">
        <v>0</v>
      </c>
      <c r="O66" s="69">
        <v>2.31855862738802E-4</v>
      </c>
      <c r="P66" s="69">
        <v>0</v>
      </c>
      <c r="Q66" s="69">
        <v>1.77838987100213E-4</v>
      </c>
      <c r="R66" s="69">
        <v>0</v>
      </c>
      <c r="S66" s="69">
        <v>5.6632643364027697E-3</v>
      </c>
      <c r="T66" s="69">
        <v>0</v>
      </c>
      <c r="U66" s="69">
        <v>0</v>
      </c>
      <c r="V66" s="69">
        <v>0</v>
      </c>
      <c r="W66" s="69">
        <v>3.98397759554956E-2</v>
      </c>
      <c r="X66" s="69">
        <v>4.6915009145956296E-3</v>
      </c>
      <c r="Y66" s="69">
        <v>1.18100478973531E-3</v>
      </c>
      <c r="Z66" s="69">
        <v>3.0661496585098098E-4</v>
      </c>
      <c r="AA66" s="69">
        <v>6.8720635829384305E-4</v>
      </c>
      <c r="AB66" s="69">
        <v>2.30663225022084E-3</v>
      </c>
      <c r="AC66" s="69">
        <v>1.0458569231333299E-3</v>
      </c>
      <c r="AD66" s="69">
        <v>1.1776716587375499E-3</v>
      </c>
      <c r="AE66" s="69">
        <v>5.8517623751900096E-4</v>
      </c>
      <c r="AF66" s="69">
        <v>0</v>
      </c>
      <c r="AG66" s="69">
        <v>2.7743947465488998E-4</v>
      </c>
      <c r="AH66" s="69">
        <v>0</v>
      </c>
      <c r="AI66" s="69">
        <v>0</v>
      </c>
      <c r="AJ66" s="69">
        <v>0</v>
      </c>
      <c r="AK66" s="69">
        <v>1.06637936494633E-4</v>
      </c>
      <c r="AL66" s="69">
        <v>2.0419567814464399E-4</v>
      </c>
      <c r="AM66" s="69">
        <v>2.7558957153385097E-4</v>
      </c>
      <c r="AN66" s="69">
        <v>1.8328616748819601E-4</v>
      </c>
      <c r="AO66" s="69">
        <v>1.3356962832244499E-3</v>
      </c>
      <c r="AP66" s="69">
        <v>0</v>
      </c>
      <c r="AQ66" s="69">
        <v>5.6375139977167901E-4</v>
      </c>
      <c r="AR66" s="69">
        <v>0</v>
      </c>
      <c r="AS66" s="69">
        <v>0</v>
      </c>
      <c r="AT66" s="69">
        <v>0</v>
      </c>
      <c r="AU66" s="69">
        <v>0</v>
      </c>
      <c r="AV66" s="69">
        <v>0</v>
      </c>
      <c r="AW66" s="69">
        <v>0</v>
      </c>
      <c r="AX66" s="69">
        <v>0</v>
      </c>
      <c r="AY66" s="69">
        <v>0</v>
      </c>
      <c r="AZ66" s="69">
        <v>0</v>
      </c>
      <c r="BA66" s="69">
        <v>0</v>
      </c>
      <c r="BB66" s="69">
        <v>0</v>
      </c>
      <c r="BC66" s="69">
        <v>0</v>
      </c>
      <c r="BD66" s="69">
        <v>0</v>
      </c>
      <c r="BE66" s="69">
        <v>0</v>
      </c>
      <c r="BF66" s="69">
        <v>0</v>
      </c>
      <c r="BG66" s="69">
        <v>0</v>
      </c>
      <c r="BH66" s="69">
        <v>0</v>
      </c>
      <c r="BI66" s="69">
        <v>0</v>
      </c>
      <c r="BJ66" s="69">
        <v>0</v>
      </c>
      <c r="BK66" s="69">
        <v>0</v>
      </c>
      <c r="BL66" s="69">
        <v>0</v>
      </c>
      <c r="BM66" s="69">
        <v>5.3416842340022505E-4</v>
      </c>
      <c r="BN66" s="69">
        <v>9.0949513195074305E-4</v>
      </c>
      <c r="BO66" s="69">
        <v>0</v>
      </c>
      <c r="BP66" s="69">
        <v>5.20946630656339E-4</v>
      </c>
      <c r="BQ66" s="70">
        <v>0</v>
      </c>
      <c r="BR66" s="71">
        <v>7.52920621289071E-2</v>
      </c>
      <c r="BS66" s="72">
        <v>0</v>
      </c>
      <c r="BT66" s="73">
        <v>0</v>
      </c>
      <c r="BU66" s="73">
        <v>0</v>
      </c>
      <c r="BV66" s="73">
        <v>0</v>
      </c>
      <c r="BW66" s="73">
        <v>0</v>
      </c>
      <c r="BX66" s="74">
        <v>0</v>
      </c>
      <c r="BY66" s="71">
        <v>0</v>
      </c>
      <c r="BZ66" s="75">
        <v>7.52920621289071E-2</v>
      </c>
    </row>
    <row r="67" spans="1:80" ht="15" customHeight="1" x14ac:dyDescent="0.3">
      <c r="A67" s="33" t="s">
        <v>85</v>
      </c>
      <c r="B67" s="11" t="s">
        <v>153</v>
      </c>
      <c r="C67" s="68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69">
        <v>0</v>
      </c>
      <c r="AU67" s="69">
        <v>0</v>
      </c>
      <c r="AV67" s="69">
        <v>0</v>
      </c>
      <c r="AW67" s="69">
        <v>0</v>
      </c>
      <c r="AX67" s="69">
        <v>0</v>
      </c>
      <c r="AY67" s="69">
        <v>0</v>
      </c>
      <c r="AZ67" s="69">
        <v>0</v>
      </c>
      <c r="BA67" s="69">
        <v>0</v>
      </c>
      <c r="BB67" s="69">
        <v>0</v>
      </c>
      <c r="BC67" s="69">
        <v>0</v>
      </c>
      <c r="BD67" s="69">
        <v>0</v>
      </c>
      <c r="BE67" s="69">
        <v>0</v>
      </c>
      <c r="BF67" s="69">
        <v>0</v>
      </c>
      <c r="BG67" s="69">
        <v>0</v>
      </c>
      <c r="BH67" s="69">
        <v>0</v>
      </c>
      <c r="BI67" s="69">
        <v>0</v>
      </c>
      <c r="BJ67" s="69">
        <v>0</v>
      </c>
      <c r="BK67" s="69">
        <v>0</v>
      </c>
      <c r="BL67" s="69">
        <v>0</v>
      </c>
      <c r="BM67" s="69">
        <v>0</v>
      </c>
      <c r="BN67" s="69">
        <v>0</v>
      </c>
      <c r="BO67" s="69">
        <v>0</v>
      </c>
      <c r="BP67" s="69">
        <v>0</v>
      </c>
      <c r="BQ67" s="70">
        <v>0</v>
      </c>
      <c r="BR67" s="71">
        <v>0</v>
      </c>
      <c r="BS67" s="72">
        <v>0</v>
      </c>
      <c r="BT67" s="73">
        <v>0</v>
      </c>
      <c r="BU67" s="73">
        <v>0</v>
      </c>
      <c r="BV67" s="73">
        <v>0</v>
      </c>
      <c r="BW67" s="73">
        <v>0</v>
      </c>
      <c r="BX67" s="74">
        <v>0</v>
      </c>
      <c r="BY67" s="71">
        <v>0</v>
      </c>
      <c r="BZ67" s="75">
        <v>0</v>
      </c>
    </row>
    <row r="68" spans="1:80" ht="15" customHeight="1" x14ac:dyDescent="0.3">
      <c r="A68" s="33" t="s">
        <v>86</v>
      </c>
      <c r="B68" s="11" t="s">
        <v>154</v>
      </c>
      <c r="C68" s="68">
        <v>0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69">
        <v>0</v>
      </c>
      <c r="O68" s="69">
        <v>0</v>
      </c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69">
        <v>0</v>
      </c>
      <c r="AU68" s="69">
        <v>0</v>
      </c>
      <c r="AV68" s="69">
        <v>0</v>
      </c>
      <c r="AW68" s="69">
        <v>0</v>
      </c>
      <c r="AX68" s="69">
        <v>0</v>
      </c>
      <c r="AY68" s="69">
        <v>0</v>
      </c>
      <c r="AZ68" s="69">
        <v>0</v>
      </c>
      <c r="BA68" s="69">
        <v>0</v>
      </c>
      <c r="BB68" s="69">
        <v>0</v>
      </c>
      <c r="BC68" s="69">
        <v>0</v>
      </c>
      <c r="BD68" s="69">
        <v>0</v>
      </c>
      <c r="BE68" s="69">
        <v>0</v>
      </c>
      <c r="BF68" s="69">
        <v>0</v>
      </c>
      <c r="BG68" s="69">
        <v>0</v>
      </c>
      <c r="BH68" s="69">
        <v>0</v>
      </c>
      <c r="BI68" s="69">
        <v>0</v>
      </c>
      <c r="BJ68" s="69">
        <v>0</v>
      </c>
      <c r="BK68" s="69">
        <v>0</v>
      </c>
      <c r="BL68" s="69">
        <v>0</v>
      </c>
      <c r="BM68" s="69">
        <v>0</v>
      </c>
      <c r="BN68" s="69">
        <v>0</v>
      </c>
      <c r="BO68" s="69">
        <v>0</v>
      </c>
      <c r="BP68" s="69">
        <v>0</v>
      </c>
      <c r="BQ68" s="70">
        <v>0</v>
      </c>
      <c r="BR68" s="71">
        <v>0</v>
      </c>
      <c r="BS68" s="72">
        <v>0</v>
      </c>
      <c r="BT68" s="73">
        <v>0</v>
      </c>
      <c r="BU68" s="73">
        <v>0</v>
      </c>
      <c r="BV68" s="73">
        <v>0</v>
      </c>
      <c r="BW68" s="73">
        <v>0</v>
      </c>
      <c r="BX68" s="74">
        <v>0</v>
      </c>
      <c r="BY68" s="71">
        <v>0</v>
      </c>
      <c r="BZ68" s="75">
        <v>0</v>
      </c>
    </row>
    <row r="69" spans="1:80" ht="15" customHeight="1" x14ac:dyDescent="0.3">
      <c r="A69" s="33" t="s">
        <v>87</v>
      </c>
      <c r="B69" s="11" t="s">
        <v>155</v>
      </c>
      <c r="C69" s="68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69">
        <v>0</v>
      </c>
      <c r="AU69" s="69">
        <v>0</v>
      </c>
      <c r="AV69" s="69">
        <v>0</v>
      </c>
      <c r="AW69" s="69">
        <v>0</v>
      </c>
      <c r="AX69" s="69">
        <v>0</v>
      </c>
      <c r="AY69" s="69">
        <v>0</v>
      </c>
      <c r="AZ69" s="69">
        <v>0</v>
      </c>
      <c r="BA69" s="69">
        <v>0</v>
      </c>
      <c r="BB69" s="69">
        <v>0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69">
        <v>0</v>
      </c>
      <c r="BJ69" s="69">
        <v>0</v>
      </c>
      <c r="BK69" s="69">
        <v>0</v>
      </c>
      <c r="BL69" s="69">
        <v>0</v>
      </c>
      <c r="BM69" s="69">
        <v>0</v>
      </c>
      <c r="BN69" s="69">
        <v>0</v>
      </c>
      <c r="BO69" s="69">
        <v>0</v>
      </c>
      <c r="BP69" s="69">
        <v>0</v>
      </c>
      <c r="BQ69" s="70">
        <v>0</v>
      </c>
      <c r="BR69" s="71">
        <v>0</v>
      </c>
      <c r="BS69" s="72">
        <v>0</v>
      </c>
      <c r="BT69" s="73">
        <v>0</v>
      </c>
      <c r="BU69" s="73">
        <v>0</v>
      </c>
      <c r="BV69" s="73">
        <v>0</v>
      </c>
      <c r="BW69" s="73">
        <v>0</v>
      </c>
      <c r="BX69" s="74">
        <v>0</v>
      </c>
      <c r="BY69" s="71">
        <v>0</v>
      </c>
      <c r="BZ69" s="75">
        <v>0</v>
      </c>
    </row>
    <row r="70" spans="1:80" ht="15" customHeight="1" x14ac:dyDescent="0.3">
      <c r="A70" s="33" t="s">
        <v>88</v>
      </c>
      <c r="B70" s="11" t="s">
        <v>156</v>
      </c>
      <c r="C70" s="68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69">
        <v>0</v>
      </c>
      <c r="AU70" s="69">
        <v>0</v>
      </c>
      <c r="AV70" s="69">
        <v>0</v>
      </c>
      <c r="AW70" s="69">
        <v>0</v>
      </c>
      <c r="AX70" s="69">
        <v>0</v>
      </c>
      <c r="AY70" s="69">
        <v>0</v>
      </c>
      <c r="AZ70" s="69">
        <v>0</v>
      </c>
      <c r="BA70" s="69">
        <v>0</v>
      </c>
      <c r="BB70" s="69">
        <v>0</v>
      </c>
      <c r="BC70" s="69">
        <v>0</v>
      </c>
      <c r="BD70" s="69">
        <v>0</v>
      </c>
      <c r="BE70" s="69">
        <v>0</v>
      </c>
      <c r="BF70" s="69">
        <v>0</v>
      </c>
      <c r="BG70" s="69">
        <v>0</v>
      </c>
      <c r="BH70" s="69">
        <v>0</v>
      </c>
      <c r="BI70" s="69">
        <v>0</v>
      </c>
      <c r="BJ70" s="69">
        <v>0</v>
      </c>
      <c r="BK70" s="69">
        <v>0</v>
      </c>
      <c r="BL70" s="69">
        <v>0</v>
      </c>
      <c r="BM70" s="69">
        <v>0</v>
      </c>
      <c r="BN70" s="69">
        <v>0</v>
      </c>
      <c r="BO70" s="69">
        <v>0</v>
      </c>
      <c r="BP70" s="69">
        <v>0</v>
      </c>
      <c r="BQ70" s="70">
        <v>0</v>
      </c>
      <c r="BR70" s="71">
        <v>0</v>
      </c>
      <c r="BS70" s="72">
        <v>0</v>
      </c>
      <c r="BT70" s="73">
        <v>0</v>
      </c>
      <c r="BU70" s="73">
        <v>0</v>
      </c>
      <c r="BV70" s="73">
        <v>0</v>
      </c>
      <c r="BW70" s="73">
        <v>0</v>
      </c>
      <c r="BX70" s="74">
        <v>0</v>
      </c>
      <c r="BY70" s="71">
        <v>0</v>
      </c>
      <c r="BZ70" s="75">
        <v>0</v>
      </c>
    </row>
    <row r="71" spans="1:80" ht="15" customHeight="1" x14ac:dyDescent="0.3">
      <c r="A71" s="33" t="s">
        <v>89</v>
      </c>
      <c r="B71" s="11" t="s">
        <v>157</v>
      </c>
      <c r="C71" s="68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69">
        <v>0</v>
      </c>
      <c r="AE71" s="69">
        <v>0</v>
      </c>
      <c r="AF71" s="69">
        <v>0</v>
      </c>
      <c r="AG71" s="69">
        <v>0</v>
      </c>
      <c r="AH71" s="69">
        <v>0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</v>
      </c>
      <c r="AP71" s="69">
        <v>0</v>
      </c>
      <c r="AQ71" s="69">
        <v>0</v>
      </c>
      <c r="AR71" s="69">
        <v>0</v>
      </c>
      <c r="AS71" s="69">
        <v>0</v>
      </c>
      <c r="AT71" s="69">
        <v>0</v>
      </c>
      <c r="AU71" s="69">
        <v>0</v>
      </c>
      <c r="AV71" s="69">
        <v>0</v>
      </c>
      <c r="AW71" s="69">
        <v>0</v>
      </c>
      <c r="AX71" s="69">
        <v>0</v>
      </c>
      <c r="AY71" s="69">
        <v>0</v>
      </c>
      <c r="AZ71" s="69">
        <v>0</v>
      </c>
      <c r="BA71" s="69">
        <v>0</v>
      </c>
      <c r="BB71" s="69">
        <v>0</v>
      </c>
      <c r="BC71" s="69">
        <v>0</v>
      </c>
      <c r="BD71" s="69">
        <v>0</v>
      </c>
      <c r="BE71" s="69">
        <v>0</v>
      </c>
      <c r="BF71" s="69">
        <v>0</v>
      </c>
      <c r="BG71" s="69">
        <v>0</v>
      </c>
      <c r="BH71" s="69">
        <v>0</v>
      </c>
      <c r="BI71" s="69">
        <v>0</v>
      </c>
      <c r="BJ71" s="69">
        <v>0</v>
      </c>
      <c r="BK71" s="69">
        <v>0</v>
      </c>
      <c r="BL71" s="69">
        <v>0</v>
      </c>
      <c r="BM71" s="69">
        <v>0</v>
      </c>
      <c r="BN71" s="69">
        <v>0</v>
      </c>
      <c r="BO71" s="69">
        <v>0</v>
      </c>
      <c r="BP71" s="69">
        <v>0</v>
      </c>
      <c r="BQ71" s="70">
        <v>0</v>
      </c>
      <c r="BR71" s="71">
        <v>0</v>
      </c>
      <c r="BS71" s="72">
        <v>0</v>
      </c>
      <c r="BT71" s="73">
        <v>0</v>
      </c>
      <c r="BU71" s="73">
        <v>0</v>
      </c>
      <c r="BV71" s="73">
        <v>0</v>
      </c>
      <c r="BW71" s="73">
        <v>0</v>
      </c>
      <c r="BX71" s="74">
        <v>0</v>
      </c>
      <c r="BY71" s="71">
        <v>0</v>
      </c>
      <c r="BZ71" s="75">
        <v>0</v>
      </c>
    </row>
    <row r="72" spans="1:80" ht="15" customHeight="1" x14ac:dyDescent="0.3">
      <c r="A72" s="34" t="s">
        <v>90</v>
      </c>
      <c r="B72" s="35" t="s">
        <v>158</v>
      </c>
      <c r="C72" s="76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77">
        <v>0</v>
      </c>
      <c r="AX72" s="77">
        <v>0</v>
      </c>
      <c r="AY72" s="77">
        <v>0</v>
      </c>
      <c r="AZ72" s="77">
        <v>0</v>
      </c>
      <c r="BA72" s="77">
        <v>0</v>
      </c>
      <c r="BB72" s="77">
        <v>0</v>
      </c>
      <c r="BC72" s="77">
        <v>0</v>
      </c>
      <c r="BD72" s="77">
        <v>0</v>
      </c>
      <c r="BE72" s="77">
        <v>0</v>
      </c>
      <c r="BF72" s="77">
        <v>0</v>
      </c>
      <c r="BG72" s="77">
        <v>0</v>
      </c>
      <c r="BH72" s="77">
        <v>0</v>
      </c>
      <c r="BI72" s="77">
        <v>0</v>
      </c>
      <c r="BJ72" s="77">
        <v>0</v>
      </c>
      <c r="BK72" s="77">
        <v>0</v>
      </c>
      <c r="BL72" s="77">
        <v>0</v>
      </c>
      <c r="BM72" s="77">
        <v>0</v>
      </c>
      <c r="BN72" s="77">
        <v>0</v>
      </c>
      <c r="BO72" s="77">
        <v>0</v>
      </c>
      <c r="BP72" s="77">
        <v>0</v>
      </c>
      <c r="BQ72" s="78">
        <v>0</v>
      </c>
      <c r="BR72" s="79">
        <v>0</v>
      </c>
      <c r="BS72" s="80">
        <v>0</v>
      </c>
      <c r="BT72" s="81">
        <v>0</v>
      </c>
      <c r="BU72" s="81">
        <v>0</v>
      </c>
      <c r="BV72" s="81">
        <v>0</v>
      </c>
      <c r="BW72" s="81">
        <v>0</v>
      </c>
      <c r="BX72" s="82">
        <v>0</v>
      </c>
      <c r="BY72" s="79">
        <v>0</v>
      </c>
      <c r="BZ72" s="83">
        <v>0</v>
      </c>
      <c r="CA72" s="84"/>
      <c r="CB72" s="84"/>
    </row>
    <row r="73" spans="1:80" ht="15" customHeight="1" x14ac:dyDescent="0.3">
      <c r="A73" s="42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6"/>
      <c r="BS73" s="86"/>
      <c r="BT73" s="86"/>
      <c r="BU73" s="86"/>
      <c r="BV73" s="86"/>
      <c r="BW73" s="86"/>
      <c r="BX73" s="86"/>
      <c r="BY73" s="86"/>
      <c r="BZ73" s="86"/>
    </row>
    <row r="74" spans="1:80" ht="15" customHeight="1" x14ac:dyDescent="0.3">
      <c r="A74" s="94" t="s">
        <v>159</v>
      </c>
      <c r="B74" s="95"/>
      <c r="C74" s="87">
        <v>3097.4602046502901</v>
      </c>
      <c r="D74" s="47">
        <v>2835.4785561604199</v>
      </c>
      <c r="E74" s="47">
        <v>175.464569567263</v>
      </c>
      <c r="F74" s="47">
        <v>163.05550810363101</v>
      </c>
      <c r="G74" s="47">
        <v>1041.0359886297899</v>
      </c>
      <c r="H74" s="47">
        <v>1051.03068081632</v>
      </c>
      <c r="I74" s="47">
        <v>280.86622274553503</v>
      </c>
      <c r="J74" s="47">
        <v>6060.9692110074702</v>
      </c>
      <c r="K74" s="47">
        <v>2086.23598052119</v>
      </c>
      <c r="L74" s="47">
        <v>12841.2642267928</v>
      </c>
      <c r="M74" s="47">
        <v>1666.7597617997301</v>
      </c>
      <c r="N74" s="47">
        <v>66.669065192574294</v>
      </c>
      <c r="O74" s="47">
        <v>789.62675884539897</v>
      </c>
      <c r="P74" s="47">
        <v>929.17348976875201</v>
      </c>
      <c r="Q74" s="47">
        <v>616.48749619650005</v>
      </c>
      <c r="R74" s="47">
        <v>532.93003299467102</v>
      </c>
      <c r="S74" s="47">
        <v>1880.5339167791201</v>
      </c>
      <c r="T74" s="47">
        <v>121.87049130568001</v>
      </c>
      <c r="U74" s="47">
        <v>2933.74783179624</v>
      </c>
      <c r="V74" s="47">
        <v>2079.45365437994</v>
      </c>
      <c r="W74" s="47">
        <v>2699.34920741211</v>
      </c>
      <c r="X74" s="47">
        <v>923.36063056591001</v>
      </c>
      <c r="Y74" s="47">
        <v>780.66295572209106</v>
      </c>
      <c r="Z74" s="47">
        <v>294.67710090212</v>
      </c>
      <c r="AA74" s="47">
        <v>1430.94057849513</v>
      </c>
      <c r="AB74" s="47">
        <v>2017.5153680978799</v>
      </c>
      <c r="AC74" s="47">
        <v>5565.7558991921096</v>
      </c>
      <c r="AD74" s="47">
        <v>1977.09975930623</v>
      </c>
      <c r="AE74" s="47">
        <v>1803.2098433018</v>
      </c>
      <c r="AF74" s="47">
        <v>1308.5452182768699</v>
      </c>
      <c r="AG74" s="47">
        <v>1031.63932710886</v>
      </c>
      <c r="AH74" s="47">
        <v>1746.2869489196401</v>
      </c>
      <c r="AI74" s="47">
        <v>1538.4566972397399</v>
      </c>
      <c r="AJ74" s="47">
        <v>985.74293201545197</v>
      </c>
      <c r="AK74" s="47">
        <v>269.57178422203799</v>
      </c>
      <c r="AL74" s="47">
        <v>740.95774045745804</v>
      </c>
      <c r="AM74" s="47">
        <v>706.28254525695002</v>
      </c>
      <c r="AN74" s="47">
        <v>817.26843191772002</v>
      </c>
      <c r="AO74" s="47">
        <v>307.49847630810598</v>
      </c>
      <c r="AP74" s="47">
        <v>5027.8754655660596</v>
      </c>
      <c r="AQ74" s="47">
        <v>3620.0957157972098</v>
      </c>
      <c r="AR74" s="47">
        <v>2313.5067698764901</v>
      </c>
      <c r="AS74" s="47">
        <v>107.605265066615</v>
      </c>
      <c r="AT74" s="47">
        <v>219.735806088072</v>
      </c>
      <c r="AU74" s="47">
        <v>152.29228283150201</v>
      </c>
      <c r="AV74" s="47">
        <v>263.59872203257498</v>
      </c>
      <c r="AW74" s="47">
        <v>4358.8309811383297</v>
      </c>
      <c r="AX74" s="47">
        <v>46.016300495629402</v>
      </c>
      <c r="AY74" s="47">
        <v>74.566763920580897</v>
      </c>
      <c r="AZ74" s="47">
        <v>74.7367210231222</v>
      </c>
      <c r="BA74" s="47">
        <v>216.14620417810201</v>
      </c>
      <c r="BB74" s="47">
        <v>280.77430995788302</v>
      </c>
      <c r="BC74" s="47">
        <v>180.419145684152</v>
      </c>
      <c r="BD74" s="47">
        <v>217.433868458901</v>
      </c>
      <c r="BE74" s="47">
        <v>184.967132395535</v>
      </c>
      <c r="BF74" s="47">
        <v>256.903173442114</v>
      </c>
      <c r="BG74" s="47">
        <v>156.049923660818</v>
      </c>
      <c r="BH74" s="47">
        <v>491.077200084146</v>
      </c>
      <c r="BI74" s="47">
        <v>80.805392517821403</v>
      </c>
      <c r="BJ74" s="47">
        <v>1214.5696001044901</v>
      </c>
      <c r="BK74" s="47">
        <v>591.49611256333799</v>
      </c>
      <c r="BL74" s="47">
        <v>93.506556609935004</v>
      </c>
      <c r="BM74" s="47">
        <v>1306.83043726043</v>
      </c>
      <c r="BN74" s="47">
        <v>1202.5315189640401</v>
      </c>
      <c r="BO74" s="47">
        <v>57.362796664778202</v>
      </c>
      <c r="BP74" s="47">
        <v>842.34528114638294</v>
      </c>
      <c r="BQ74" s="88">
        <v>0</v>
      </c>
      <c r="BR74" s="89">
        <v>91827.014540300603</v>
      </c>
      <c r="BS74" s="90">
        <v>10.7898492848238</v>
      </c>
      <c r="BT74" s="91">
        <v>56.3738021362837</v>
      </c>
      <c r="BU74" s="91">
        <v>0</v>
      </c>
      <c r="BV74" s="91">
        <v>14055.729164120101</v>
      </c>
      <c r="BW74" s="91">
        <v>6753.0926441581496</v>
      </c>
      <c r="BX74" s="92">
        <v>0</v>
      </c>
      <c r="BY74" s="89">
        <v>20875.985459699401</v>
      </c>
      <c r="BZ74" s="93">
        <v>112703</v>
      </c>
    </row>
    <row r="75" spans="1:80" ht="15" customHeight="1" x14ac:dyDescent="0.3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</row>
    <row r="76" spans="1:80" ht="15" customHeight="1" x14ac:dyDescent="0.2">
      <c r="A76" s="53" t="s">
        <v>171</v>
      </c>
    </row>
    <row r="77" spans="1:80" ht="15" customHeight="1" x14ac:dyDescent="0.2"/>
  </sheetData>
  <mergeCells count="12">
    <mergeCell ref="A3:A5"/>
    <mergeCell ref="B3:B5"/>
    <mergeCell ref="BS3:BY3"/>
    <mergeCell ref="BZ3:BZ5"/>
    <mergeCell ref="BR4:BR5"/>
    <mergeCell ref="BS4:BS5"/>
    <mergeCell ref="BT4:BT5"/>
    <mergeCell ref="BU4:BU5"/>
    <mergeCell ref="BV4:BV5"/>
    <mergeCell ref="BW4:BW5"/>
    <mergeCell ref="BX4:BX5"/>
    <mergeCell ref="BY4:BY5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BQ102"/>
  <sheetViews>
    <sheetView showGridLines="0" zoomScale="90" zoomScaleNormal="90" workbookViewId="0">
      <selection activeCell="E34" sqref="E34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69" width="20.7109375" customWidth="1"/>
  </cols>
  <sheetData>
    <row r="1" spans="1:69" ht="15" customHeight="1" x14ac:dyDescent="0.3">
      <c r="A1" s="12" t="s">
        <v>202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69" ht="15" customHeight="1" x14ac:dyDescent="0.3">
      <c r="A2" s="12" t="s">
        <v>188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</row>
    <row r="3" spans="1:69" ht="15" customHeight="1" x14ac:dyDescent="0.2">
      <c r="A3" s="126" t="s">
        <v>189</v>
      </c>
      <c r="B3" s="126" t="s">
        <v>190</v>
      </c>
      <c r="C3" s="14" t="s">
        <v>191</v>
      </c>
      <c r="D3" s="15"/>
      <c r="E3" s="15"/>
      <c r="F3" s="15"/>
      <c r="G3" s="15"/>
      <c r="H3" s="15"/>
      <c r="I3" s="15"/>
      <c r="J3" s="15"/>
      <c r="K3" s="15"/>
      <c r="L3" s="16" t="str">
        <f>C3</f>
        <v>Atividades</v>
      </c>
      <c r="M3" s="15"/>
      <c r="N3" s="15"/>
      <c r="O3" s="15"/>
      <c r="P3" s="15"/>
      <c r="Q3" s="15"/>
      <c r="R3" s="15"/>
      <c r="S3" s="15"/>
      <c r="T3" s="15"/>
      <c r="U3" s="16" t="str">
        <f>L3</f>
        <v>Atividades</v>
      </c>
      <c r="V3" s="15"/>
      <c r="W3" s="15"/>
      <c r="X3" s="15"/>
      <c r="Y3" s="15"/>
      <c r="Z3" s="15"/>
      <c r="AA3" s="15"/>
      <c r="AB3" s="15"/>
      <c r="AC3" s="15"/>
      <c r="AD3" s="16" t="str">
        <f>U3</f>
        <v>Atividades</v>
      </c>
      <c r="AE3" s="15"/>
      <c r="AF3" s="15"/>
      <c r="AG3" s="15"/>
      <c r="AH3" s="15"/>
      <c r="AI3" s="15"/>
      <c r="AJ3" s="15"/>
      <c r="AK3" s="15"/>
      <c r="AL3" s="15"/>
      <c r="AM3" s="16" t="str">
        <f>AD3</f>
        <v>Atividades</v>
      </c>
      <c r="AN3" s="15"/>
      <c r="AO3" s="15"/>
      <c r="AP3" s="15"/>
      <c r="AQ3" s="15"/>
      <c r="AR3" s="15"/>
      <c r="AS3" s="15"/>
      <c r="AT3" s="15"/>
      <c r="AU3" s="15"/>
      <c r="AV3" s="16" t="str">
        <f>AM3</f>
        <v>Atividades</v>
      </c>
      <c r="AW3" s="15"/>
      <c r="AX3" s="15"/>
      <c r="AY3" s="15"/>
      <c r="AZ3" s="15"/>
      <c r="BA3" s="15"/>
      <c r="BB3" s="15"/>
      <c r="BC3" s="15"/>
      <c r="BD3" s="15"/>
      <c r="BE3" s="16" t="str">
        <f>AV3</f>
        <v>Atividades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59" t="str">
        <f>BE3</f>
        <v>Atividades</v>
      </c>
    </row>
    <row r="4" spans="1:69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</row>
    <row r="5" spans="1:69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</row>
    <row r="6" spans="1:69" ht="15" customHeight="1" x14ac:dyDescent="0.3">
      <c r="A6" s="19" t="s">
        <v>24</v>
      </c>
      <c r="B6" s="11" t="s">
        <v>92</v>
      </c>
      <c r="C6" s="96">
        <v>2.2080253316574899E-2</v>
      </c>
      <c r="D6" s="97">
        <v>4.4026108747732003E-2</v>
      </c>
      <c r="E6" s="97">
        <v>4.0142242602392202E-3</v>
      </c>
      <c r="F6" s="97">
        <v>8.1267872849958306E-5</v>
      </c>
      <c r="G6" s="97">
        <v>2.4762067644380898E-5</v>
      </c>
      <c r="H6" s="97">
        <v>6.7474061665457799E-5</v>
      </c>
      <c r="I6" s="97">
        <v>8.4626388885821494E-5</v>
      </c>
      <c r="J6" s="97">
        <v>2.7802700451121098E-2</v>
      </c>
      <c r="K6" s="97">
        <v>0.42630858849118097</v>
      </c>
      <c r="L6" s="97">
        <v>0.28107318606197201</v>
      </c>
      <c r="M6" s="97">
        <v>3.1577296513038401E-2</v>
      </c>
      <c r="N6" s="97">
        <v>0.39434711267704597</v>
      </c>
      <c r="O6" s="97">
        <v>0.14668921509314101</v>
      </c>
      <c r="P6" s="97">
        <v>1.0247144055534001E-2</v>
      </c>
      <c r="Q6" s="97">
        <v>1.61640213684809E-4</v>
      </c>
      <c r="R6" s="97">
        <v>2.2678828850171101E-3</v>
      </c>
      <c r="S6" s="97">
        <v>1.67453624340544E-3</v>
      </c>
      <c r="T6" s="97">
        <v>1.36497404329019E-5</v>
      </c>
      <c r="U6" s="97">
        <v>2.5431308181060601E-5</v>
      </c>
      <c r="V6" s="97">
        <v>0.34914015413584898</v>
      </c>
      <c r="W6" s="97">
        <v>5.3651916091602403E-5</v>
      </c>
      <c r="X6" s="97">
        <v>1.64122560873495E-4</v>
      </c>
      <c r="Y6" s="97">
        <v>6.2469969168262504E-5</v>
      </c>
      <c r="Z6" s="97">
        <v>2.8216043463453501E-4</v>
      </c>
      <c r="AA6" s="97">
        <v>1.92493719910814E-4</v>
      </c>
      <c r="AB6" s="97">
        <v>1.69767841457665E-4</v>
      </c>
      <c r="AC6" s="97">
        <v>2.0031746396028801E-4</v>
      </c>
      <c r="AD6" s="97">
        <v>3.2709788585602503E-4</v>
      </c>
      <c r="AE6" s="97">
        <v>3.2947829833914097E-5</v>
      </c>
      <c r="AF6" s="97">
        <v>2.9062590153404099E-6</v>
      </c>
      <c r="AG6" s="97">
        <v>3.6738451633550799E-6</v>
      </c>
      <c r="AH6" s="97">
        <v>6.0207242702093399E-6</v>
      </c>
      <c r="AI6" s="97">
        <v>3.0115978298910301E-6</v>
      </c>
      <c r="AJ6" s="97">
        <v>4.1729774339081602E-6</v>
      </c>
      <c r="AK6" s="97">
        <v>1.23656524053571E-5</v>
      </c>
      <c r="AL6" s="97">
        <v>1.55880829417945E-4</v>
      </c>
      <c r="AM6" s="97">
        <v>1.16621917913024E-6</v>
      </c>
      <c r="AN6" s="97">
        <v>2.1097607951146098E-6</v>
      </c>
      <c r="AO6" s="97">
        <v>7.2060921404541896E-4</v>
      </c>
      <c r="AP6" s="97">
        <v>5.8943697985455604E-4</v>
      </c>
      <c r="AQ6" s="97">
        <v>1.19870730399974E-2</v>
      </c>
      <c r="AR6" s="97">
        <v>4.1119584717471097E-6</v>
      </c>
      <c r="AS6" s="97">
        <v>3.27007240250675E-6</v>
      </c>
      <c r="AT6" s="97">
        <v>9.7101002615846505E-6</v>
      </c>
      <c r="AU6" s="97">
        <v>1.05299299067202E-4</v>
      </c>
      <c r="AV6" s="97">
        <v>1.3755437625580701E-2</v>
      </c>
      <c r="AW6" s="97">
        <v>2.0143199244423999E-2</v>
      </c>
      <c r="AX6" s="97">
        <v>1.2159623915352899E-5</v>
      </c>
      <c r="AY6" s="97">
        <v>2.0378029359214801E-5</v>
      </c>
      <c r="AZ6" s="97">
        <v>2.5015107130537003E-4</v>
      </c>
      <c r="BA6" s="97">
        <v>2.0017795581317099E-5</v>
      </c>
      <c r="BB6" s="97">
        <v>2.27457769686363E-5</v>
      </c>
      <c r="BC6" s="97">
        <v>2.5676983812049299E-5</v>
      </c>
      <c r="BD6" s="97">
        <v>4.78904282955432E-5</v>
      </c>
      <c r="BE6" s="97">
        <v>1.9325807045762199E-4</v>
      </c>
      <c r="BF6" s="97">
        <v>1.42981884510598E-5</v>
      </c>
      <c r="BG6" s="97">
        <v>1.87301823467494E-5</v>
      </c>
      <c r="BH6" s="97">
        <v>6.7559537018493205E-4</v>
      </c>
      <c r="BI6" s="97">
        <v>1.03019824906618E-5</v>
      </c>
      <c r="BJ6" s="97">
        <v>1.3087088545990699E-3</v>
      </c>
      <c r="BK6" s="97">
        <v>1.2792715140746999E-3</v>
      </c>
      <c r="BL6" s="97">
        <v>6.1568361095130496E-4</v>
      </c>
      <c r="BM6" s="97">
        <v>2.4157323654998499E-3</v>
      </c>
      <c r="BN6" s="97">
        <v>7.3054118620456199E-4</v>
      </c>
      <c r="BO6" s="97">
        <v>1.3162199630656501E-4</v>
      </c>
      <c r="BP6" s="97">
        <v>2.2737795636235099E-3</v>
      </c>
      <c r="BQ6" s="98">
        <v>0</v>
      </c>
    </row>
    <row r="7" spans="1:69" ht="15" customHeight="1" x14ac:dyDescent="0.3">
      <c r="A7" s="19" t="s">
        <v>25</v>
      </c>
      <c r="B7" s="11" t="s">
        <v>93</v>
      </c>
      <c r="C7" s="99">
        <v>2.4370730072774799E-3</v>
      </c>
      <c r="D7" s="100">
        <v>3.9732298035931299E-2</v>
      </c>
      <c r="E7" s="100">
        <v>5.1479699470540798E-3</v>
      </c>
      <c r="F7" s="100">
        <v>2.05197907991855E-4</v>
      </c>
      <c r="G7" s="100">
        <v>6.1034758236906197E-5</v>
      </c>
      <c r="H7" s="100">
        <v>1.21102267956383E-4</v>
      </c>
      <c r="I7" s="100">
        <v>1.5478440999102601E-4</v>
      </c>
      <c r="J7" s="100">
        <v>0.324239211544046</v>
      </c>
      <c r="K7" s="100">
        <v>2.4024687420579499E-3</v>
      </c>
      <c r="L7" s="100">
        <v>1.6211529935940501E-2</v>
      </c>
      <c r="M7" s="100">
        <v>7.8617482100347099E-4</v>
      </c>
      <c r="N7" s="100">
        <v>1.8319537919335899E-2</v>
      </c>
      <c r="O7" s="100">
        <v>5.8087642631326503E-3</v>
      </c>
      <c r="P7" s="100">
        <v>4.7814770212104901E-3</v>
      </c>
      <c r="Q7" s="100">
        <v>1.7492996530293699E-4</v>
      </c>
      <c r="R7" s="100">
        <v>4.5496087843897E-3</v>
      </c>
      <c r="S7" s="100">
        <v>2.9724089816226002E-3</v>
      </c>
      <c r="T7" s="100">
        <v>2.34234243019958E-5</v>
      </c>
      <c r="U7" s="100">
        <v>1.9421505270445501E-6</v>
      </c>
      <c r="V7" s="100">
        <v>4.03189211992878E-3</v>
      </c>
      <c r="W7" s="100">
        <v>1.49137871317742E-4</v>
      </c>
      <c r="X7" s="100">
        <v>7.9727174226762497E-5</v>
      </c>
      <c r="Y7" s="100">
        <v>1.5980541194209399E-4</v>
      </c>
      <c r="Z7" s="100">
        <v>1.3875166309781399E-4</v>
      </c>
      <c r="AA7" s="100">
        <v>2.91147859402407E-4</v>
      </c>
      <c r="AB7" s="100">
        <v>7.7420405772831899E-4</v>
      </c>
      <c r="AC7" s="100">
        <v>4.2665195982337199E-4</v>
      </c>
      <c r="AD7" s="100">
        <v>6.2939811690345304E-4</v>
      </c>
      <c r="AE7" s="100">
        <v>2.6460305180458701E-5</v>
      </c>
      <c r="AF7" s="100">
        <v>5.9023133958877403E-6</v>
      </c>
      <c r="AG7" s="100">
        <v>1.1033583369908399E-5</v>
      </c>
      <c r="AH7" s="100">
        <v>1.1732579197413599E-5</v>
      </c>
      <c r="AI7" s="100">
        <v>5.51648508605029E-6</v>
      </c>
      <c r="AJ7" s="100">
        <v>9.1743131100228799E-6</v>
      </c>
      <c r="AK7" s="100">
        <v>1.8635300686192999E-5</v>
      </c>
      <c r="AL7" s="100">
        <v>9.2827630490319496E-5</v>
      </c>
      <c r="AM7" s="100">
        <v>2.7548060069250602E-6</v>
      </c>
      <c r="AN7" s="100">
        <v>2.7708377291410299E-6</v>
      </c>
      <c r="AO7" s="100">
        <v>1.12495814492635E-4</v>
      </c>
      <c r="AP7" s="100">
        <v>1.1616423863194099E-3</v>
      </c>
      <c r="AQ7" s="100">
        <v>4.3035488340237499E-4</v>
      </c>
      <c r="AR7" s="100">
        <v>4.0877728575827699E-6</v>
      </c>
      <c r="AS7" s="100">
        <v>2.7165395036581099E-6</v>
      </c>
      <c r="AT7" s="100">
        <v>9.8556646085458804E-6</v>
      </c>
      <c r="AU7" s="100">
        <v>1.7488585439364899E-4</v>
      </c>
      <c r="AV7" s="100">
        <v>1.6336205091926102E-2</v>
      </c>
      <c r="AW7" s="100">
        <v>9.0107508311341195E-3</v>
      </c>
      <c r="AX7" s="100">
        <v>1.8695948015002901E-5</v>
      </c>
      <c r="AY7" s="100">
        <v>3.1484563172778403E-5</v>
      </c>
      <c r="AZ7" s="100">
        <v>4.4637879805088502E-4</v>
      </c>
      <c r="BA7" s="100">
        <v>3.2682285172457598E-5</v>
      </c>
      <c r="BB7" s="100">
        <v>3.5204490035016299E-5</v>
      </c>
      <c r="BC7" s="100">
        <v>4.7273917504992398E-5</v>
      </c>
      <c r="BD7" s="100">
        <v>3.7170179963915601E-5</v>
      </c>
      <c r="BE7" s="100">
        <v>2.50495439298483E-4</v>
      </c>
      <c r="BF7" s="100">
        <v>6.5537589352952406E-5</v>
      </c>
      <c r="BG7" s="100">
        <v>2.5521770960210601E-5</v>
      </c>
      <c r="BH7" s="100">
        <v>1.27248211574784E-4</v>
      </c>
      <c r="BI7" s="100">
        <v>1.25992778708548E-5</v>
      </c>
      <c r="BJ7" s="100">
        <v>4.3146668822485301E-4</v>
      </c>
      <c r="BK7" s="100">
        <v>3.7665272367688301E-4</v>
      </c>
      <c r="BL7" s="100">
        <v>1.96441057603018E-4</v>
      </c>
      <c r="BM7" s="100">
        <v>6.7228824514014998E-4</v>
      </c>
      <c r="BN7" s="100">
        <v>3.4944390746241501E-4</v>
      </c>
      <c r="BO7" s="100">
        <v>1.18644072832392E-4</v>
      </c>
      <c r="BP7" s="100">
        <v>3.2182773322588502E-4</v>
      </c>
      <c r="BQ7" s="101">
        <v>0</v>
      </c>
    </row>
    <row r="8" spans="1:69" ht="15" customHeight="1" x14ac:dyDescent="0.3">
      <c r="A8" s="19" t="s">
        <v>26</v>
      </c>
      <c r="B8" s="11" t="s">
        <v>94</v>
      </c>
      <c r="C8" s="99">
        <v>2.1952584371073801E-3</v>
      </c>
      <c r="D8" s="100">
        <v>6.2447215010709703E-3</v>
      </c>
      <c r="E8" s="100">
        <v>4.6112668483202897E-2</v>
      </c>
      <c r="F8" s="100">
        <v>8.0492855276697095E-5</v>
      </c>
      <c r="G8" s="100">
        <v>4.7800084925664303E-6</v>
      </c>
      <c r="H8" s="100">
        <v>9.2069285932032207E-6</v>
      </c>
      <c r="I8" s="100">
        <v>1.1434981472427899E-5</v>
      </c>
      <c r="J8" s="100">
        <v>5.8687984679066498E-3</v>
      </c>
      <c r="K8" s="100">
        <v>1.3663212616909801E-5</v>
      </c>
      <c r="L8" s="100">
        <v>6.6145487145377905E-4</v>
      </c>
      <c r="M8" s="100">
        <v>1.5759559115041899E-4</v>
      </c>
      <c r="N8" s="100">
        <v>9.6207807663993702E-4</v>
      </c>
      <c r="O8" s="100">
        <v>3.2212111629172498E-4</v>
      </c>
      <c r="P8" s="100">
        <v>8.2200259236690903E-5</v>
      </c>
      <c r="Q8" s="100">
        <v>8.9490918802853596E-5</v>
      </c>
      <c r="R8" s="100">
        <v>5.3594027441931903E-2</v>
      </c>
      <c r="S8" s="100">
        <v>3.4170112090573003E-2</v>
      </c>
      <c r="T8" s="100">
        <v>1.8468161422752001E-6</v>
      </c>
      <c r="U8" s="100">
        <v>1.6168813221237799E-7</v>
      </c>
      <c r="V8" s="100">
        <v>1.2324074859430801E-4</v>
      </c>
      <c r="W8" s="100">
        <v>9.4593410916613896E-4</v>
      </c>
      <c r="X8" s="100">
        <v>2.6048433086599401E-5</v>
      </c>
      <c r="Y8" s="100">
        <v>2.06978961680846E-6</v>
      </c>
      <c r="Z8" s="100">
        <v>2.1105706815845502E-6</v>
      </c>
      <c r="AA8" s="100">
        <v>3.0672022298887098E-3</v>
      </c>
      <c r="AB8" s="100">
        <v>8.1556473692938098E-4</v>
      </c>
      <c r="AC8" s="100">
        <v>4.6757841455331902E-3</v>
      </c>
      <c r="AD8" s="100">
        <v>4.6414168035940502E-5</v>
      </c>
      <c r="AE8" s="100">
        <v>3.02146529340162E-5</v>
      </c>
      <c r="AF8" s="100">
        <v>6.3203299128860496E-7</v>
      </c>
      <c r="AG8" s="100">
        <v>1.05058955184865E-6</v>
      </c>
      <c r="AH8" s="100">
        <v>1.3106791367524801E-6</v>
      </c>
      <c r="AI8" s="100">
        <v>5.9069325079316302E-7</v>
      </c>
      <c r="AJ8" s="100">
        <v>8.8612521879269999E-7</v>
      </c>
      <c r="AK8" s="100">
        <v>1.6027643155913899E-6</v>
      </c>
      <c r="AL8" s="100">
        <v>1.8188346213724101E-5</v>
      </c>
      <c r="AM8" s="100">
        <v>3.28600913059657E-7</v>
      </c>
      <c r="AN8" s="100">
        <v>3.79389741036907E-7</v>
      </c>
      <c r="AO8" s="100">
        <v>7.7208359183443493E-6</v>
      </c>
      <c r="AP8" s="100">
        <v>1.3618127581329199E-3</v>
      </c>
      <c r="AQ8" s="100">
        <v>1.06002981258467E-4</v>
      </c>
      <c r="AR8" s="100">
        <v>4.4992866999762E-7</v>
      </c>
      <c r="AS8" s="100">
        <v>3.1279391721819199E-7</v>
      </c>
      <c r="AT8" s="100">
        <v>9.0552713806885703E-7</v>
      </c>
      <c r="AU8" s="100">
        <v>1.3563295177396599E-5</v>
      </c>
      <c r="AV8" s="100">
        <v>1.3543362969596301E-3</v>
      </c>
      <c r="AW8" s="100">
        <v>1.6466721368641401E-3</v>
      </c>
      <c r="AX8" s="100">
        <v>2.2201611043087502E-6</v>
      </c>
      <c r="AY8" s="100">
        <v>3.3135983281421298E-6</v>
      </c>
      <c r="AZ8" s="100">
        <v>3.2990538542554601E-5</v>
      </c>
      <c r="BA8" s="100">
        <v>3.1635787951753701E-6</v>
      </c>
      <c r="BB8" s="100">
        <v>2.9162143280777102E-6</v>
      </c>
      <c r="BC8" s="100">
        <v>3.5850553169243602E-6</v>
      </c>
      <c r="BD8" s="100">
        <v>3.3568174257222E-6</v>
      </c>
      <c r="BE8" s="100">
        <v>4.63790429869692E-5</v>
      </c>
      <c r="BF8" s="100">
        <v>1.6619004181746399E-6</v>
      </c>
      <c r="BG8" s="100">
        <v>2.5977794035135199E-6</v>
      </c>
      <c r="BH8" s="100">
        <v>8.8200811211090996E-6</v>
      </c>
      <c r="BI8" s="100">
        <v>1.2842587458423E-6</v>
      </c>
      <c r="BJ8" s="100">
        <v>1.1554123682672199E-4</v>
      </c>
      <c r="BK8" s="100">
        <v>1.7679289625000601E-4</v>
      </c>
      <c r="BL8" s="100">
        <v>4.6946716233805697E-5</v>
      </c>
      <c r="BM8" s="100">
        <v>3.3595145191933097E-4</v>
      </c>
      <c r="BN8" s="100">
        <v>4.0761665774799303E-5</v>
      </c>
      <c r="BO8" s="100">
        <v>1.13327771691358E-5</v>
      </c>
      <c r="BP8" s="100">
        <v>2.3434108284636499E-5</v>
      </c>
      <c r="BQ8" s="101">
        <v>0</v>
      </c>
    </row>
    <row r="9" spans="1:69" ht="15" customHeight="1" x14ac:dyDescent="0.3">
      <c r="A9" s="19" t="s">
        <v>27</v>
      </c>
      <c r="B9" s="11" t="s">
        <v>95</v>
      </c>
      <c r="C9" s="99">
        <v>1.94115503025044E-4</v>
      </c>
      <c r="D9" s="100">
        <v>3.0103576729333102E-3</v>
      </c>
      <c r="E9" s="100">
        <v>4.0346344331302101E-4</v>
      </c>
      <c r="F9" s="100">
        <v>1.3693411346407201E-2</v>
      </c>
      <c r="G9" s="100">
        <v>2.01710983849998E-3</v>
      </c>
      <c r="H9" s="100">
        <v>4.8506334689789901E-6</v>
      </c>
      <c r="I9" s="100">
        <v>1.8865273060679401E-4</v>
      </c>
      <c r="J9" s="100">
        <v>2.1167312161632501E-4</v>
      </c>
      <c r="K9" s="100">
        <v>2.1924685572214601E-4</v>
      </c>
      <c r="L9" s="100">
        <v>6.3610364824803799E-4</v>
      </c>
      <c r="M9" s="100">
        <v>2.4597905090050198E-4</v>
      </c>
      <c r="N9" s="100">
        <v>1.52200994002984E-6</v>
      </c>
      <c r="O9" s="100">
        <v>5.2985493424336002E-6</v>
      </c>
      <c r="P9" s="100">
        <v>2.5825999693773399E-6</v>
      </c>
      <c r="Q9" s="100">
        <v>6.5001786529873297E-6</v>
      </c>
      <c r="R9" s="100">
        <v>2.9955401899604201E-6</v>
      </c>
      <c r="S9" s="100">
        <v>1.01797304510377E-4</v>
      </c>
      <c r="T9" s="100">
        <v>4.9012331820225503E-5</v>
      </c>
      <c r="U9" s="100">
        <v>1.6759352507616501E-5</v>
      </c>
      <c r="V9" s="100">
        <v>5.5435594937786299E-3</v>
      </c>
      <c r="W9" s="100">
        <v>5.2822271154257701E-3</v>
      </c>
      <c r="X9" s="100">
        <v>9.6802485745186998E-4</v>
      </c>
      <c r="Y9" s="100">
        <v>8.9803197657148496E-5</v>
      </c>
      <c r="Z9" s="100">
        <v>1.4008766721174499E-5</v>
      </c>
      <c r="AA9" s="100">
        <v>3.3497614431978903E-5</v>
      </c>
      <c r="AB9" s="100">
        <v>5.36078850877428E-2</v>
      </c>
      <c r="AC9" s="100">
        <v>6.4272420204865904E-3</v>
      </c>
      <c r="AD9" s="100">
        <v>5.1574776083932296E-3</v>
      </c>
      <c r="AE9" s="100">
        <v>7.5800828492333195E-5</v>
      </c>
      <c r="AF9" s="100">
        <v>4.9387327715537997E-6</v>
      </c>
      <c r="AG9" s="100">
        <v>5.9348430597789496E-4</v>
      </c>
      <c r="AH9" s="100">
        <v>3.5872202285354901E-5</v>
      </c>
      <c r="AI9" s="100">
        <v>1.0212136826568601E-4</v>
      </c>
      <c r="AJ9" s="100">
        <v>3.9156800647843098E-4</v>
      </c>
      <c r="AK9" s="100">
        <v>8.5417593696794498E-5</v>
      </c>
      <c r="AL9" s="100">
        <v>4.2163197503119798E-4</v>
      </c>
      <c r="AM9" s="100">
        <v>4.2609359006359998E-5</v>
      </c>
      <c r="AN9" s="100">
        <v>7.9206239885040199E-4</v>
      </c>
      <c r="AO9" s="100">
        <v>5.8380745814200202E-3</v>
      </c>
      <c r="AP9" s="100">
        <v>1.0256115624563401E-2</v>
      </c>
      <c r="AQ9" s="100">
        <v>8.1412085792560203E-5</v>
      </c>
      <c r="AR9" s="100">
        <v>1.4169090052428701E-6</v>
      </c>
      <c r="AS9" s="100">
        <v>4.1341998912947699E-6</v>
      </c>
      <c r="AT9" s="100">
        <v>1.31934026549307E-6</v>
      </c>
      <c r="AU9" s="100">
        <v>4.5896521279201698E-5</v>
      </c>
      <c r="AV9" s="100">
        <v>9.2334602306499096E-5</v>
      </c>
      <c r="AW9" s="100">
        <v>4.9254787434678402E-5</v>
      </c>
      <c r="AX9" s="100">
        <v>5.6086579457192E-6</v>
      </c>
      <c r="AY9" s="100">
        <v>2.8689079231875202E-6</v>
      </c>
      <c r="AZ9" s="100">
        <v>3.2222082806728002E-6</v>
      </c>
      <c r="BA9" s="100">
        <v>3.3863258348273301E-6</v>
      </c>
      <c r="BB9" s="100">
        <v>1.6971738596329801E-6</v>
      </c>
      <c r="BC9" s="100">
        <v>3.4909349129709402E-4</v>
      </c>
      <c r="BD9" s="100">
        <v>4.8288562674946396E-6</v>
      </c>
      <c r="BE9" s="100">
        <v>1.6165263889714099E-5</v>
      </c>
      <c r="BF9" s="100">
        <v>3.40166619168237E-6</v>
      </c>
      <c r="BG9" s="100">
        <v>4.9466377433231503E-6</v>
      </c>
      <c r="BH9" s="100">
        <v>6.1696069557828796E-6</v>
      </c>
      <c r="BI9" s="100">
        <v>2.2612536587520599E-6</v>
      </c>
      <c r="BJ9" s="100">
        <v>9.7944671571392704E-5</v>
      </c>
      <c r="BK9" s="100">
        <v>5.3114143799896199E-5</v>
      </c>
      <c r="BL9" s="100">
        <v>9.6011298993899693E-6</v>
      </c>
      <c r="BM9" s="100">
        <v>5.1392436307145698E-5</v>
      </c>
      <c r="BN9" s="100">
        <v>1.16148760312338E-5</v>
      </c>
      <c r="BO9" s="100">
        <v>2.3249503024357499E-5</v>
      </c>
      <c r="BP9" s="100">
        <v>1.50598165920113E-5</v>
      </c>
      <c r="BQ9" s="101">
        <v>0</v>
      </c>
    </row>
    <row r="10" spans="1:69" ht="15" customHeight="1" x14ac:dyDescent="0.3">
      <c r="A10" s="19" t="s">
        <v>28</v>
      </c>
      <c r="B10" s="11" t="s">
        <v>96</v>
      </c>
      <c r="C10" s="99">
        <v>3.8351942242765798E-5</v>
      </c>
      <c r="D10" s="100">
        <v>6.7340380037714002E-5</v>
      </c>
      <c r="E10" s="100">
        <v>2.4172687175060302E-5</v>
      </c>
      <c r="F10" s="100">
        <v>1.46222011339651E-4</v>
      </c>
      <c r="G10" s="100">
        <v>2.3901102994510998E-2</v>
      </c>
      <c r="H10" s="100">
        <v>4.6494484066221201E-3</v>
      </c>
      <c r="I10" s="100">
        <v>2.1609298015319799E-3</v>
      </c>
      <c r="J10" s="100">
        <v>7.3073329694695694E-5</v>
      </c>
      <c r="K10" s="100">
        <v>1.3173987035159E-5</v>
      </c>
      <c r="L10" s="100">
        <v>6.1538305806516796E-4</v>
      </c>
      <c r="M10" s="100">
        <v>5.9336555014640998E-4</v>
      </c>
      <c r="N10" s="100">
        <v>1.3296315959196601E-5</v>
      </c>
      <c r="O10" s="100">
        <v>6.6117696178481301E-4</v>
      </c>
      <c r="P10" s="100">
        <v>1.46541706695292E-5</v>
      </c>
      <c r="Q10" s="100">
        <v>3.3936198906511299E-5</v>
      </c>
      <c r="R10" s="100">
        <v>4.6839456506943901E-4</v>
      </c>
      <c r="S10" s="100">
        <v>2.2958820594298798E-3</v>
      </c>
      <c r="T10" s="100">
        <v>2.7213745678744898E-5</v>
      </c>
      <c r="U10" s="100">
        <v>0.23983757832869501</v>
      </c>
      <c r="V10" s="100">
        <v>1.7018666754447198E-5</v>
      </c>
      <c r="W10" s="100">
        <v>2.66900102652872E-3</v>
      </c>
      <c r="X10" s="100">
        <v>3.6762169377676802E-4</v>
      </c>
      <c r="Y10" s="100">
        <v>2.2249307493574599E-4</v>
      </c>
      <c r="Z10" s="100">
        <v>1.696888339255E-4</v>
      </c>
      <c r="AA10" s="100">
        <v>3.2943602114482798E-4</v>
      </c>
      <c r="AB10" s="100">
        <v>2.3834905097476298E-3</v>
      </c>
      <c r="AC10" s="100">
        <v>7.7742795229003201E-4</v>
      </c>
      <c r="AD10" s="100">
        <v>1.2893651844273701E-3</v>
      </c>
      <c r="AE10" s="100">
        <v>9.4451859587270999E-4</v>
      </c>
      <c r="AF10" s="100">
        <v>6.2249802164337096E-6</v>
      </c>
      <c r="AG10" s="100">
        <v>1.6386169300706E-4</v>
      </c>
      <c r="AH10" s="100">
        <v>2.4912048597220998E-4</v>
      </c>
      <c r="AI10" s="100">
        <v>1.1710241969920701E-4</v>
      </c>
      <c r="AJ10" s="100">
        <v>4.5386424507524699E-4</v>
      </c>
      <c r="AK10" s="100">
        <v>3.0124683140939801E-5</v>
      </c>
      <c r="AL10" s="100">
        <v>2.35939516492177E-5</v>
      </c>
      <c r="AM10" s="100">
        <v>2.1325604650789399E-4</v>
      </c>
      <c r="AN10" s="100">
        <v>2.29014791223222E-2</v>
      </c>
      <c r="AO10" s="100">
        <v>1.45113006370351E-2</v>
      </c>
      <c r="AP10" s="100">
        <v>2.5206889919373999E-3</v>
      </c>
      <c r="AQ10" s="100">
        <v>1.2703092839198301E-4</v>
      </c>
      <c r="AR10" s="100">
        <v>2.9188679242470402E-4</v>
      </c>
      <c r="AS10" s="100">
        <v>7.3530628039953196E-5</v>
      </c>
      <c r="AT10" s="100">
        <v>8.9718052965582997E-6</v>
      </c>
      <c r="AU10" s="100">
        <v>7.6751948546644995E-4</v>
      </c>
      <c r="AV10" s="100">
        <v>1.00738435721402E-4</v>
      </c>
      <c r="AW10" s="100">
        <v>1.3430561972406499E-4</v>
      </c>
      <c r="AX10" s="100">
        <v>3.5114867768630698E-5</v>
      </c>
      <c r="AY10" s="100">
        <v>2.8871927457586501E-5</v>
      </c>
      <c r="AZ10" s="100">
        <v>1.0606235635832401E-3</v>
      </c>
      <c r="BA10" s="100">
        <v>3.03513681697456E-5</v>
      </c>
      <c r="BB10" s="100">
        <v>1.8253388633884402E-5</v>
      </c>
      <c r="BC10" s="100">
        <v>6.3646978460976098E-6</v>
      </c>
      <c r="BD10" s="100">
        <v>5.0071572822479102E-5</v>
      </c>
      <c r="BE10" s="100">
        <v>9.4454075499138203E-4</v>
      </c>
      <c r="BF10" s="100">
        <v>3.26810332212996E-5</v>
      </c>
      <c r="BG10" s="100">
        <v>7.8762299299408393E-5</v>
      </c>
      <c r="BH10" s="100">
        <v>4.8580163353738799E-5</v>
      </c>
      <c r="BI10" s="100">
        <v>2.0041932356374299E-5</v>
      </c>
      <c r="BJ10" s="100">
        <v>3.2784552216814102E-3</v>
      </c>
      <c r="BK10" s="100">
        <v>9.4484896505493796E-5</v>
      </c>
      <c r="BL10" s="100">
        <v>9.5153340092760298E-5</v>
      </c>
      <c r="BM10" s="100">
        <v>1.1851705795479101E-5</v>
      </c>
      <c r="BN10" s="100">
        <v>2.1258615018704799E-5</v>
      </c>
      <c r="BO10" s="100">
        <v>2.46411468627879E-4</v>
      </c>
      <c r="BP10" s="100">
        <v>1.9361721660377001E-4</v>
      </c>
      <c r="BQ10" s="101">
        <v>0</v>
      </c>
    </row>
    <row r="11" spans="1:69" ht="15" customHeight="1" x14ac:dyDescent="0.3">
      <c r="A11" s="19" t="s">
        <v>29</v>
      </c>
      <c r="B11" s="11" t="s">
        <v>97</v>
      </c>
      <c r="C11" s="99">
        <v>7.5327491159899004E-7</v>
      </c>
      <c r="D11" s="100">
        <v>4.1330299018470101E-6</v>
      </c>
      <c r="E11" s="100">
        <v>1.31833491865852E-6</v>
      </c>
      <c r="F11" s="100">
        <v>2.5568520487989199E-6</v>
      </c>
      <c r="G11" s="100">
        <v>3.2416239923897999E-5</v>
      </c>
      <c r="H11" s="100">
        <v>2.5385668379085499E-2</v>
      </c>
      <c r="I11" s="100">
        <v>3.1474028312324198E-3</v>
      </c>
      <c r="J11" s="100">
        <v>2.3353638513169601E-6</v>
      </c>
      <c r="K11" s="100">
        <v>1.0970766645741999E-6</v>
      </c>
      <c r="L11" s="100">
        <v>2.5463548500786502E-6</v>
      </c>
      <c r="M11" s="100">
        <v>3.3129412267220502E-6</v>
      </c>
      <c r="N11" s="100">
        <v>5.4112405601328501E-6</v>
      </c>
      <c r="O11" s="100">
        <v>2.5757347702405899E-6</v>
      </c>
      <c r="P11" s="100">
        <v>1.0689895706818801E-6</v>
      </c>
      <c r="Q11" s="100">
        <v>1.88059672588444E-6</v>
      </c>
      <c r="R11" s="100">
        <v>3.0948970394504298E-6</v>
      </c>
      <c r="S11" s="100">
        <v>5.80419077557813E-6</v>
      </c>
      <c r="T11" s="100">
        <v>2.8202998167320902E-5</v>
      </c>
      <c r="U11" s="100">
        <v>4.34918463940866E-7</v>
      </c>
      <c r="V11" s="100">
        <v>1.6611975606031499E-7</v>
      </c>
      <c r="W11" s="100">
        <v>1.50970727402224E-6</v>
      </c>
      <c r="X11" s="100">
        <v>3.8502331084575302E-6</v>
      </c>
      <c r="Y11" s="100">
        <v>3.8850104194071898E-6</v>
      </c>
      <c r="Z11" s="100">
        <v>9.9760583649486695E-6</v>
      </c>
      <c r="AA11" s="100">
        <v>2.3480817505950001E-6</v>
      </c>
      <c r="AB11" s="100">
        <v>2.5166854342343302E-3</v>
      </c>
      <c r="AC11" s="100">
        <v>0.174772097206152</v>
      </c>
      <c r="AD11" s="100">
        <v>7.7260517495700504E-4</v>
      </c>
      <c r="AE11" s="100">
        <v>2.92133018061407E-5</v>
      </c>
      <c r="AF11" s="100">
        <v>3.4539072808596798E-6</v>
      </c>
      <c r="AG11" s="100">
        <v>9.6563494353054102E-5</v>
      </c>
      <c r="AH11" s="100">
        <v>8.84032001028116E-5</v>
      </c>
      <c r="AI11" s="100">
        <v>1.61689046415793E-5</v>
      </c>
      <c r="AJ11" s="100">
        <v>4.2912978153179499E-5</v>
      </c>
      <c r="AK11" s="100">
        <v>3.81407430907107E-5</v>
      </c>
      <c r="AL11" s="100">
        <v>4.1293127603574001E-5</v>
      </c>
      <c r="AM11" s="100">
        <v>7.5791212177577801E-5</v>
      </c>
      <c r="AN11" s="100">
        <v>6.9116132284091296E-7</v>
      </c>
      <c r="AO11" s="100">
        <v>1.9061070947595701E-4</v>
      </c>
      <c r="AP11" s="100">
        <v>2.5261681916747397E-4</v>
      </c>
      <c r="AQ11" s="100">
        <v>2.6252933556613898E-6</v>
      </c>
      <c r="AR11" s="100">
        <v>2.7409772585584001E-6</v>
      </c>
      <c r="AS11" s="100">
        <v>5.8440733486590204E-6</v>
      </c>
      <c r="AT11" s="100">
        <v>1.2008923359349299E-7</v>
      </c>
      <c r="AU11" s="100">
        <v>5.2458410905930902E-5</v>
      </c>
      <c r="AV11" s="100">
        <v>1.07386731642778E-5</v>
      </c>
      <c r="AW11" s="100">
        <v>1.14628398470565E-5</v>
      </c>
      <c r="AX11" s="100">
        <v>9.0464671501161201E-7</v>
      </c>
      <c r="AY11" s="100">
        <v>4.6247366482174E-7</v>
      </c>
      <c r="AZ11" s="100">
        <v>1.34477580377461E-4</v>
      </c>
      <c r="BA11" s="100">
        <v>2.90261875874537E-6</v>
      </c>
      <c r="BB11" s="100">
        <v>7.1106018376015297E-6</v>
      </c>
      <c r="BC11" s="100">
        <v>1.08517699350584E-5</v>
      </c>
      <c r="BD11" s="100">
        <v>6.8314484348865196E-6</v>
      </c>
      <c r="BE11" s="100">
        <v>1.59767246919381E-4</v>
      </c>
      <c r="BF11" s="100">
        <v>8.2568369927218699E-7</v>
      </c>
      <c r="BG11" s="100">
        <v>2.68140355328859E-6</v>
      </c>
      <c r="BH11" s="100">
        <v>2.8300704577966398E-5</v>
      </c>
      <c r="BI11" s="100">
        <v>1.71272227615788E-6</v>
      </c>
      <c r="BJ11" s="100">
        <v>5.7890132290210697E-5</v>
      </c>
      <c r="BK11" s="100">
        <v>6.7714597718621196E-6</v>
      </c>
      <c r="BL11" s="100">
        <v>1.70749398263939E-6</v>
      </c>
      <c r="BM11" s="100">
        <v>6.5089797752519398E-5</v>
      </c>
      <c r="BN11" s="100">
        <v>4.2800284719864699E-7</v>
      </c>
      <c r="BO11" s="100">
        <v>2.1005622087905301E-5</v>
      </c>
      <c r="BP11" s="100">
        <v>3.0131767078611501E-6</v>
      </c>
      <c r="BQ11" s="101">
        <v>0</v>
      </c>
    </row>
    <row r="12" spans="1:69" ht="15" customHeight="1" x14ac:dyDescent="0.3">
      <c r="A12" s="19" t="s">
        <v>30</v>
      </c>
      <c r="B12" s="11" t="s">
        <v>98</v>
      </c>
      <c r="C12" s="99">
        <v>2.8154639371088301E-6</v>
      </c>
      <c r="D12" s="100">
        <v>3.3061898803421699E-6</v>
      </c>
      <c r="E12" s="100">
        <v>5.8580758290689705E-7</v>
      </c>
      <c r="F12" s="100">
        <v>1.36501731856276E-6</v>
      </c>
      <c r="G12" s="100">
        <v>2.0744391134589E-4</v>
      </c>
      <c r="H12" s="100">
        <v>1.6438643242601601E-4</v>
      </c>
      <c r="I12" s="100">
        <v>3.6423778489851302E-2</v>
      </c>
      <c r="J12" s="100">
        <v>1.2123324289552199E-5</v>
      </c>
      <c r="K12" s="100">
        <v>1.1362086909766599E-6</v>
      </c>
      <c r="L12" s="100">
        <v>2.0900392032441899E-5</v>
      </c>
      <c r="M12" s="100">
        <v>9.6413936090708803E-6</v>
      </c>
      <c r="N12" s="100">
        <v>5.5271163584112805E-7</v>
      </c>
      <c r="O12" s="100">
        <v>6.1776086035304105E-7</v>
      </c>
      <c r="P12" s="100">
        <v>4.1736737660686702E-7</v>
      </c>
      <c r="Q12" s="100">
        <v>8.7665237668644E-7</v>
      </c>
      <c r="R12" s="100">
        <v>3.69705994681352E-7</v>
      </c>
      <c r="S12" s="100">
        <v>3.8803146948243397E-5</v>
      </c>
      <c r="T12" s="100">
        <v>1.9771254415832E-4</v>
      </c>
      <c r="U12" s="100">
        <v>2.8076764998531399E-8</v>
      </c>
      <c r="V12" s="100">
        <v>1.4286370404044599E-7</v>
      </c>
      <c r="W12" s="100">
        <v>1.6700028061719299E-5</v>
      </c>
      <c r="X12" s="100">
        <v>3.03500260914114E-5</v>
      </c>
      <c r="Y12" s="100">
        <v>5.1302788698995796E-6</v>
      </c>
      <c r="Z12" s="100">
        <v>3.4499890899217702E-6</v>
      </c>
      <c r="AA12" s="100">
        <v>1.12433868491316E-5</v>
      </c>
      <c r="AB12" s="100">
        <v>5.3643920836346699E-4</v>
      </c>
      <c r="AC12" s="100">
        <v>1.0600730647944799E-2</v>
      </c>
      <c r="AD12" s="100">
        <v>5.09817618097426E-2</v>
      </c>
      <c r="AE12" s="100">
        <v>2.44127776439442E-4</v>
      </c>
      <c r="AF12" s="100">
        <v>1.7740953980486E-5</v>
      </c>
      <c r="AG12" s="100">
        <v>7.7859925883207095E-4</v>
      </c>
      <c r="AH12" s="100">
        <v>7.7305099306335595E-5</v>
      </c>
      <c r="AI12" s="100">
        <v>5.2129903851079398E-5</v>
      </c>
      <c r="AJ12" s="100">
        <v>4.3351418386931802E-4</v>
      </c>
      <c r="AK12" s="100">
        <v>2.6344969279775402E-4</v>
      </c>
      <c r="AL12" s="100">
        <v>3.5775758790660198E-4</v>
      </c>
      <c r="AM12" s="100">
        <v>5.5185889058927899E-5</v>
      </c>
      <c r="AN12" s="100">
        <v>6.8860001494513398E-7</v>
      </c>
      <c r="AO12" s="100">
        <v>1.6143409789087999E-5</v>
      </c>
      <c r="AP12" s="100">
        <v>4.9833627786648203E-5</v>
      </c>
      <c r="AQ12" s="100">
        <v>4.3400135985891597E-7</v>
      </c>
      <c r="AR12" s="100">
        <v>7.6955001972908898E-7</v>
      </c>
      <c r="AS12" s="100">
        <v>9.1976112136476898E-8</v>
      </c>
      <c r="AT12" s="100">
        <v>4.6278551892986198E-8</v>
      </c>
      <c r="AU12" s="100">
        <v>4.1814456761601799E-8</v>
      </c>
      <c r="AV12" s="100">
        <v>2.9670226703956601E-6</v>
      </c>
      <c r="AW12" s="100">
        <v>1.31165766355721E-6</v>
      </c>
      <c r="AX12" s="100">
        <v>3.0271672824909798E-7</v>
      </c>
      <c r="AY12" s="100">
        <v>8.3974465202166397E-8</v>
      </c>
      <c r="AZ12" s="100">
        <v>1.4198294109306399E-7</v>
      </c>
      <c r="BA12" s="100">
        <v>1.7621825664410201E-7</v>
      </c>
      <c r="BB12" s="100">
        <v>1.5996426554402099E-8</v>
      </c>
      <c r="BC12" s="100">
        <v>8.8459272170596303E-7</v>
      </c>
      <c r="BD12" s="100">
        <v>3.2029003624307499E-8</v>
      </c>
      <c r="BE12" s="100">
        <v>1.39549055705843E-5</v>
      </c>
      <c r="BF12" s="100">
        <v>1.50473941061837E-7</v>
      </c>
      <c r="BG12" s="100">
        <v>2.22559645482655E-7</v>
      </c>
      <c r="BH12" s="100">
        <v>2.1057822188862301E-7</v>
      </c>
      <c r="BI12" s="100">
        <v>4.2461369780963101E-8</v>
      </c>
      <c r="BJ12" s="100">
        <v>2.81639524655699E-7</v>
      </c>
      <c r="BK12" s="100">
        <v>2.54496463434953E-7</v>
      </c>
      <c r="BL12" s="100">
        <v>4.20198143664419E-8</v>
      </c>
      <c r="BM12" s="100">
        <v>7.2814145861012101E-7</v>
      </c>
      <c r="BN12" s="100">
        <v>5.4587253876894101E-7</v>
      </c>
      <c r="BO12" s="100">
        <v>5.7381510495857303E-8</v>
      </c>
      <c r="BP12" s="100">
        <v>4.5579749025705602E-7</v>
      </c>
      <c r="BQ12" s="101">
        <v>0</v>
      </c>
    </row>
    <row r="13" spans="1:69" ht="15" customHeight="1" x14ac:dyDescent="0.3">
      <c r="A13" s="19" t="s">
        <v>31</v>
      </c>
      <c r="B13" s="11" t="s">
        <v>99</v>
      </c>
      <c r="C13" s="99">
        <v>1.7709417446307399E-4</v>
      </c>
      <c r="D13" s="100">
        <v>1.3748019909797699E-2</v>
      </c>
      <c r="E13" s="100">
        <v>7.8626321711594701E-4</v>
      </c>
      <c r="F13" s="100">
        <v>4.43594359299692E-4</v>
      </c>
      <c r="G13" s="100">
        <v>6.4608657046622597E-5</v>
      </c>
      <c r="H13" s="100">
        <v>1.04281036874388E-4</v>
      </c>
      <c r="I13" s="100">
        <v>1.3000187456703601E-4</v>
      </c>
      <c r="J13" s="100">
        <v>9.9529916400639296E-2</v>
      </c>
      <c r="K13" s="100">
        <v>4.5289701439708298E-5</v>
      </c>
      <c r="L13" s="100">
        <v>1.04795378955998E-2</v>
      </c>
      <c r="M13" s="100">
        <v>7.9318166418325701E-4</v>
      </c>
      <c r="N13" s="100">
        <v>1.4111451128597901E-4</v>
      </c>
      <c r="O13" s="100">
        <v>1.96131496850742E-4</v>
      </c>
      <c r="P13" s="100">
        <v>1.9890659416308101E-4</v>
      </c>
      <c r="Q13" s="100">
        <v>4.2635938340986598E-2</v>
      </c>
      <c r="R13" s="100">
        <v>2.18564005182239E-4</v>
      </c>
      <c r="S13" s="100">
        <v>2.8417364873923999E-4</v>
      </c>
      <c r="T13" s="100">
        <v>2.03523789446414E-4</v>
      </c>
      <c r="U13" s="100">
        <v>1.80638140427529E-5</v>
      </c>
      <c r="V13" s="100">
        <v>1.5624592816297699E-2</v>
      </c>
      <c r="W13" s="100">
        <v>3.3990310555892799E-4</v>
      </c>
      <c r="X13" s="100">
        <v>7.5326460207394204E-4</v>
      </c>
      <c r="Y13" s="100">
        <v>6.3354709070565798E-2</v>
      </c>
      <c r="Z13" s="100">
        <v>2.4079908577653001E-4</v>
      </c>
      <c r="AA13" s="100">
        <v>2.28385770836241E-4</v>
      </c>
      <c r="AB13" s="100">
        <v>1.57787835160808E-4</v>
      </c>
      <c r="AC13" s="100">
        <v>1.41043252089263E-4</v>
      </c>
      <c r="AD13" s="100">
        <v>2.0427453829788601E-4</v>
      </c>
      <c r="AE13" s="100">
        <v>8.1395027573144302E-4</v>
      </c>
      <c r="AF13" s="100">
        <v>1.49391699688584E-4</v>
      </c>
      <c r="AG13" s="100">
        <v>2.41838709301663E-4</v>
      </c>
      <c r="AH13" s="100">
        <v>2.5021437549620402E-4</v>
      </c>
      <c r="AI13" s="100">
        <v>1.90830251300723E-4</v>
      </c>
      <c r="AJ13" s="100">
        <v>1.8105508787638199E-4</v>
      </c>
      <c r="AK13" s="100">
        <v>1.4622965318976199E-4</v>
      </c>
      <c r="AL13" s="100">
        <v>2.2735398506332899E-4</v>
      </c>
      <c r="AM13" s="100">
        <v>1.97393758720489E-4</v>
      </c>
      <c r="AN13" s="100">
        <v>2.6185776365499799E-5</v>
      </c>
      <c r="AO13" s="100">
        <v>7.4959208117281802E-5</v>
      </c>
      <c r="AP13" s="100">
        <v>1.3053509829846999E-4</v>
      </c>
      <c r="AQ13" s="100">
        <v>5.0406506554322595E-4</v>
      </c>
      <c r="AR13" s="100">
        <v>1.0037049762050299E-4</v>
      </c>
      <c r="AS13" s="100">
        <v>3.4017527451885299E-5</v>
      </c>
      <c r="AT13" s="100">
        <v>3.1960156771097303E-5</v>
      </c>
      <c r="AU13" s="100">
        <v>5.1620311746840199E-5</v>
      </c>
      <c r="AV13" s="100">
        <v>2.4287471526120898E-2</v>
      </c>
      <c r="AW13" s="100">
        <v>9.4603466186207394E-2</v>
      </c>
      <c r="AX13" s="100">
        <v>1.4809840140377699E-4</v>
      </c>
      <c r="AY13" s="100">
        <v>5.5149892279481702E-5</v>
      </c>
      <c r="AZ13" s="100">
        <v>5.5890237231110897E-5</v>
      </c>
      <c r="BA13" s="100">
        <v>3.9702647856604403E-5</v>
      </c>
      <c r="BB13" s="100">
        <v>1.83435242295097E-5</v>
      </c>
      <c r="BC13" s="100">
        <v>7.6017116387440004E-6</v>
      </c>
      <c r="BD13" s="100">
        <v>4.3608151186486297E-5</v>
      </c>
      <c r="BE13" s="100">
        <v>1.23701136708771E-4</v>
      </c>
      <c r="BF13" s="100">
        <v>1.01440160221448E-4</v>
      </c>
      <c r="BG13" s="100">
        <v>7.8403673368577302E-5</v>
      </c>
      <c r="BH13" s="100">
        <v>4.8690900252559399E-5</v>
      </c>
      <c r="BI13" s="100">
        <v>3.27480979873238E-5</v>
      </c>
      <c r="BJ13" s="100">
        <v>4.1329822874322901E-3</v>
      </c>
      <c r="BK13" s="100">
        <v>4.96220362829102E-3</v>
      </c>
      <c r="BL13" s="100">
        <v>2.6823348693753501E-3</v>
      </c>
      <c r="BM13" s="100">
        <v>9.7517414492093897E-3</v>
      </c>
      <c r="BN13" s="100">
        <v>3.0623927015807901E-3</v>
      </c>
      <c r="BO13" s="100">
        <v>3.1128709777212101E-4</v>
      </c>
      <c r="BP13" s="100">
        <v>1.7810894253695499E-3</v>
      </c>
      <c r="BQ13" s="101">
        <v>0</v>
      </c>
    </row>
    <row r="14" spans="1:69" ht="15" customHeight="1" x14ac:dyDescent="0.3">
      <c r="A14" s="19" t="s">
        <v>32</v>
      </c>
      <c r="B14" s="11" t="s">
        <v>100</v>
      </c>
      <c r="C14" s="99">
        <v>1.17957988536615E-4</v>
      </c>
      <c r="D14" s="100">
        <v>5.1609515833948003E-4</v>
      </c>
      <c r="E14" s="100">
        <v>9.9681435105751799E-5</v>
      </c>
      <c r="F14" s="100">
        <v>1.05494801553573E-4</v>
      </c>
      <c r="G14" s="100">
        <v>1.0926346196692199E-3</v>
      </c>
      <c r="H14" s="100">
        <v>1.0609949933366999E-4</v>
      </c>
      <c r="I14" s="100">
        <v>1.38505060950879E-4</v>
      </c>
      <c r="J14" s="100">
        <v>1.08869202196618E-3</v>
      </c>
      <c r="K14" s="100">
        <v>2.4195030333406101E-2</v>
      </c>
      <c r="L14" s="100">
        <v>1.05505506588699E-2</v>
      </c>
      <c r="M14" s="100">
        <v>1.15310781444908E-2</v>
      </c>
      <c r="N14" s="100">
        <v>3.1754199492584603E-5</v>
      </c>
      <c r="O14" s="100">
        <v>3.8034434917872301E-5</v>
      </c>
      <c r="P14" s="100">
        <v>4.3801819463747499E-5</v>
      </c>
      <c r="Q14" s="100">
        <v>3.7703394906892101E-5</v>
      </c>
      <c r="R14" s="100">
        <v>9.01752241626481E-4</v>
      </c>
      <c r="S14" s="100">
        <v>8.1559309100867904E-5</v>
      </c>
      <c r="T14" s="100">
        <v>3.4510559619468299E-5</v>
      </c>
      <c r="U14" s="100">
        <v>2.3529279439815899E-2</v>
      </c>
      <c r="V14" s="100">
        <v>1.97880937688782E-2</v>
      </c>
      <c r="W14" s="100">
        <v>6.2805513769500804E-4</v>
      </c>
      <c r="X14" s="100">
        <v>5.5053156151996302E-3</v>
      </c>
      <c r="Y14" s="100">
        <v>1.4852106702243399E-2</v>
      </c>
      <c r="Z14" s="100">
        <v>4.7332408057081899E-3</v>
      </c>
      <c r="AA14" s="100">
        <v>3.5976400663436303E-5</v>
      </c>
      <c r="AB14" s="100">
        <v>3.8264028002931603E-5</v>
      </c>
      <c r="AC14" s="100">
        <v>2.75609743672102E-5</v>
      </c>
      <c r="AD14" s="100">
        <v>4.3735499779741403E-5</v>
      </c>
      <c r="AE14" s="100">
        <v>1.60254188804029E-4</v>
      </c>
      <c r="AF14" s="100">
        <v>3.2204600003117698E-5</v>
      </c>
      <c r="AG14" s="100">
        <v>7.3181226527306207E-5</v>
      </c>
      <c r="AH14" s="100">
        <v>3.1920235265526999E-4</v>
      </c>
      <c r="AI14" s="100">
        <v>9.6043847915125105E-5</v>
      </c>
      <c r="AJ14" s="100">
        <v>4.5212872906549201E-5</v>
      </c>
      <c r="AK14" s="100">
        <v>5.6653410420808702E-5</v>
      </c>
      <c r="AL14" s="100">
        <v>6.1328090206631207E-5</v>
      </c>
      <c r="AM14" s="100">
        <v>2.93877787707291E-4</v>
      </c>
      <c r="AN14" s="100">
        <v>1.91658139034462E-5</v>
      </c>
      <c r="AO14" s="100">
        <v>3.5215265643341002E-4</v>
      </c>
      <c r="AP14" s="100">
        <v>3.9069005880054501E-4</v>
      </c>
      <c r="AQ14" s="100">
        <v>5.0876813759234804E-4</v>
      </c>
      <c r="AR14" s="100">
        <v>9.9998547332783103E-4</v>
      </c>
      <c r="AS14" s="100">
        <v>2.7871285722549298E-4</v>
      </c>
      <c r="AT14" s="100">
        <v>4.7014721607081101E-4</v>
      </c>
      <c r="AU14" s="100">
        <v>2.9613272983928298E-4</v>
      </c>
      <c r="AV14" s="100">
        <v>5.9809214549243303E-4</v>
      </c>
      <c r="AW14" s="100">
        <v>3.6655774057681098E-3</v>
      </c>
      <c r="AX14" s="100">
        <v>3.6068220532978798E-4</v>
      </c>
      <c r="AY14" s="100">
        <v>2.58545874699124E-4</v>
      </c>
      <c r="AZ14" s="100">
        <v>1.55104353068967E-4</v>
      </c>
      <c r="BA14" s="100">
        <v>1.81768149013459E-4</v>
      </c>
      <c r="BB14" s="100">
        <v>1.14156671185467E-4</v>
      </c>
      <c r="BC14" s="100">
        <v>3.1792556497798299E-5</v>
      </c>
      <c r="BD14" s="100">
        <v>3.2052987136696801E-4</v>
      </c>
      <c r="BE14" s="100">
        <v>1.3175894160694999E-3</v>
      </c>
      <c r="BF14" s="100">
        <v>2.78656286816161E-4</v>
      </c>
      <c r="BG14" s="100">
        <v>1.3975842234574801E-3</v>
      </c>
      <c r="BH14" s="100">
        <v>4.0854801888442501E-4</v>
      </c>
      <c r="BI14" s="100">
        <v>1.09707029588784E-3</v>
      </c>
      <c r="BJ14" s="100">
        <v>4.73953452615669E-4</v>
      </c>
      <c r="BK14" s="100">
        <v>2.8885427757997198E-4</v>
      </c>
      <c r="BL14" s="100">
        <v>1.3343927498400601E-4</v>
      </c>
      <c r="BM14" s="100">
        <v>4.5645688044715702E-4</v>
      </c>
      <c r="BN14" s="100">
        <v>2.1666365362822999E-4</v>
      </c>
      <c r="BO14" s="100">
        <v>6.3126198187305599E-4</v>
      </c>
      <c r="BP14" s="100">
        <v>6.3932971155811105E-4</v>
      </c>
      <c r="BQ14" s="101">
        <v>0</v>
      </c>
    </row>
    <row r="15" spans="1:69" ht="15" customHeight="1" x14ac:dyDescent="0.3">
      <c r="A15" s="19" t="s">
        <v>33</v>
      </c>
      <c r="B15" s="11" t="s">
        <v>101</v>
      </c>
      <c r="C15" s="99">
        <v>4.9506793578353702E-3</v>
      </c>
      <c r="D15" s="100">
        <v>9.2200760544223895E-2</v>
      </c>
      <c r="E15" s="100">
        <v>3.4088373864628402E-2</v>
      </c>
      <c r="F15" s="100">
        <v>7.9545887886940201E-3</v>
      </c>
      <c r="G15" s="100">
        <v>8.2814003648769795E-4</v>
      </c>
      <c r="H15" s="100">
        <v>6.1342589074175999E-4</v>
      </c>
      <c r="I15" s="100">
        <v>8.87232948948313E-4</v>
      </c>
      <c r="J15" s="100">
        <v>0.10171777204171201</v>
      </c>
      <c r="K15" s="100">
        <v>7.4323054733530099E-4</v>
      </c>
      <c r="L15" s="100">
        <v>0.104479095528256</v>
      </c>
      <c r="M15" s="100">
        <v>3.5405211903013503E-2</v>
      </c>
      <c r="N15" s="100">
        <v>5.6986634323465504E-4</v>
      </c>
      <c r="O15" s="100">
        <v>9.3524176068343601E-4</v>
      </c>
      <c r="P15" s="100">
        <v>8.3793445736832098E-4</v>
      </c>
      <c r="Q15" s="100">
        <v>1.20826726432291E-3</v>
      </c>
      <c r="R15" s="100">
        <v>2.01772371332041E-3</v>
      </c>
      <c r="S15" s="100">
        <v>1.0095948402140901E-2</v>
      </c>
      <c r="T15" s="100">
        <v>1.41336308983725E-3</v>
      </c>
      <c r="U15" s="100">
        <v>8.47001302876608E-3</v>
      </c>
      <c r="V15" s="100">
        <v>9.4113522209501393E-2</v>
      </c>
      <c r="W15" s="100">
        <v>3.0118303173839798E-3</v>
      </c>
      <c r="X15" s="100">
        <v>1.15560659071655E-2</v>
      </c>
      <c r="Y15" s="100">
        <v>2.60105897807098E-2</v>
      </c>
      <c r="Z15" s="100">
        <v>3.2957642098363402E-3</v>
      </c>
      <c r="AA15" s="100">
        <v>1.4323057375860101E-3</v>
      </c>
      <c r="AB15" s="100">
        <v>1.1647977900005799E-3</v>
      </c>
      <c r="AC15" s="100">
        <v>7.6921232659612896E-4</v>
      </c>
      <c r="AD15" s="100">
        <v>8.4882348809945404E-4</v>
      </c>
      <c r="AE15" s="100">
        <v>1.4206867283433199E-3</v>
      </c>
      <c r="AF15" s="100">
        <v>5.72783793846394E-4</v>
      </c>
      <c r="AG15" s="100">
        <v>1.0659711647835E-3</v>
      </c>
      <c r="AH15" s="100">
        <v>1.17639662404638E-3</v>
      </c>
      <c r="AI15" s="100">
        <v>8.2865874816204102E-4</v>
      </c>
      <c r="AJ15" s="100">
        <v>9.0930792058771005E-4</v>
      </c>
      <c r="AK15" s="100">
        <v>6.4512630597081595E-4</v>
      </c>
      <c r="AL15" s="100">
        <v>1.19807704332813E-3</v>
      </c>
      <c r="AM15" s="100">
        <v>9.8572692682911598E-4</v>
      </c>
      <c r="AN15" s="100">
        <v>1.0842193949812099E-4</v>
      </c>
      <c r="AO15" s="100">
        <v>6.1601929539135502E-4</v>
      </c>
      <c r="AP15" s="100">
        <v>7.9013580948036899E-4</v>
      </c>
      <c r="AQ15" s="100">
        <v>4.0721551029136698E-3</v>
      </c>
      <c r="AR15" s="100">
        <v>7.3494461225134203E-4</v>
      </c>
      <c r="AS15" s="100">
        <v>2.3696808539645599E-4</v>
      </c>
      <c r="AT15" s="100">
        <v>1.03704114719385E-3</v>
      </c>
      <c r="AU15" s="100">
        <v>4.11726291998589E-4</v>
      </c>
      <c r="AV15" s="100">
        <v>1.0811592920260399E-2</v>
      </c>
      <c r="AW15" s="100">
        <v>5.5150758030305599E-2</v>
      </c>
      <c r="AX15" s="100">
        <v>6.9217204510072503E-4</v>
      </c>
      <c r="AY15" s="100">
        <v>2.9700300493862698E-4</v>
      </c>
      <c r="AZ15" s="100">
        <v>3.1236113995525901E-4</v>
      </c>
      <c r="BA15" s="100">
        <v>2.0225714971077699E-4</v>
      </c>
      <c r="BB15" s="100">
        <v>3.0523624758522301E-4</v>
      </c>
      <c r="BC15" s="100">
        <v>6.2127383511574694E-5</v>
      </c>
      <c r="BD15" s="100">
        <v>3.79347095188998E-4</v>
      </c>
      <c r="BE15" s="100">
        <v>8.60655728308638E-4</v>
      </c>
      <c r="BF15" s="100">
        <v>9.3931086487152201E-4</v>
      </c>
      <c r="BG15" s="100">
        <v>8.1809293838427499E-4</v>
      </c>
      <c r="BH15" s="100">
        <v>3.5130416976281501E-4</v>
      </c>
      <c r="BI15" s="100">
        <v>5.0999879618757399E-4</v>
      </c>
      <c r="BJ15" s="100">
        <v>2.6879143774412402E-3</v>
      </c>
      <c r="BK15" s="100">
        <v>4.1307471828918897E-3</v>
      </c>
      <c r="BL15" s="100">
        <v>1.7131272746300501E-3</v>
      </c>
      <c r="BM15" s="100">
        <v>1.2024406065325901E-2</v>
      </c>
      <c r="BN15" s="100">
        <v>2.4705688102057899E-3</v>
      </c>
      <c r="BO15" s="100">
        <v>1.6896534016681E-3</v>
      </c>
      <c r="BP15" s="100">
        <v>6.2019829100161197E-3</v>
      </c>
      <c r="BQ15" s="101">
        <v>0</v>
      </c>
    </row>
    <row r="16" spans="1:69" ht="15" customHeight="1" x14ac:dyDescent="0.3">
      <c r="A16" s="19" t="s">
        <v>34</v>
      </c>
      <c r="B16" s="11" t="s">
        <v>102</v>
      </c>
      <c r="C16" s="99">
        <v>1.11200964985026E-4</v>
      </c>
      <c r="D16" s="100">
        <v>1.5292796926805801E-4</v>
      </c>
      <c r="E16" s="100">
        <v>5.7801530518595299E-5</v>
      </c>
      <c r="F16" s="100">
        <v>6.8150532618446702E-4</v>
      </c>
      <c r="G16" s="100">
        <v>9.7723891467103803E-5</v>
      </c>
      <c r="H16" s="100">
        <v>1.52573075588508E-4</v>
      </c>
      <c r="I16" s="100">
        <v>1.98433330728752E-4</v>
      </c>
      <c r="J16" s="100">
        <v>1.34271714020653E-3</v>
      </c>
      <c r="K16" s="100">
        <v>7.2300658197006903E-5</v>
      </c>
      <c r="L16" s="100">
        <v>3.5604099638293998E-4</v>
      </c>
      <c r="M16" s="100">
        <v>0.102212940064017</v>
      </c>
      <c r="N16" s="100">
        <v>1.69798246547885E-4</v>
      </c>
      <c r="O16" s="100">
        <v>2.2706648324521099E-4</v>
      </c>
      <c r="P16" s="100">
        <v>2.4654819941507102E-4</v>
      </c>
      <c r="Q16" s="100">
        <v>2.261248168897E-4</v>
      </c>
      <c r="R16" s="100">
        <v>3.0908647930280201E-4</v>
      </c>
      <c r="S16" s="100">
        <v>2.6201528906850198E-4</v>
      </c>
      <c r="T16" s="100">
        <v>2.75653429921721E-4</v>
      </c>
      <c r="U16" s="100">
        <v>9.1532511263064495E-5</v>
      </c>
      <c r="V16" s="100">
        <v>1.2658013053331199E-4</v>
      </c>
      <c r="W16" s="100">
        <v>1.5862415558639899E-4</v>
      </c>
      <c r="X16" s="100">
        <v>4.1925807803029202E-4</v>
      </c>
      <c r="Y16" s="100">
        <v>4.1066205158314699E-4</v>
      </c>
      <c r="Z16" s="100">
        <v>2.3964540797547201E-4</v>
      </c>
      <c r="AA16" s="100">
        <v>2.5940436219565701E-4</v>
      </c>
      <c r="AB16" s="100">
        <v>2.0476820718175599E-4</v>
      </c>
      <c r="AC16" s="100">
        <v>1.92987317593223E-4</v>
      </c>
      <c r="AD16" s="100">
        <v>2.32438004847568E-4</v>
      </c>
      <c r="AE16" s="100">
        <v>3.6715525425423602E-4</v>
      </c>
      <c r="AF16" s="100">
        <v>1.97229641589163E-4</v>
      </c>
      <c r="AG16" s="100">
        <v>3.34545557966287E-4</v>
      </c>
      <c r="AH16" s="100">
        <v>4.21320374527132E-4</v>
      </c>
      <c r="AI16" s="100">
        <v>2.68026204429706E-4</v>
      </c>
      <c r="AJ16" s="100">
        <v>2.55694171131633E-4</v>
      </c>
      <c r="AK16" s="100">
        <v>2.46573860274957E-4</v>
      </c>
      <c r="AL16" s="100">
        <v>2.7649955871127498E-4</v>
      </c>
      <c r="AM16" s="100">
        <v>3.5254743300469301E-4</v>
      </c>
      <c r="AN16" s="100">
        <v>4.60278646983593E-5</v>
      </c>
      <c r="AO16" s="100">
        <v>1.17826618126412E-4</v>
      </c>
      <c r="AP16" s="100">
        <v>2.33728008702902E-4</v>
      </c>
      <c r="AQ16" s="100">
        <v>2.5890799417308002E-4</v>
      </c>
      <c r="AR16" s="100">
        <v>1.4126020256458499E-4</v>
      </c>
      <c r="AS16" s="100">
        <v>5.8253054409972797E-5</v>
      </c>
      <c r="AT16" s="100">
        <v>1.34379718384046E-4</v>
      </c>
      <c r="AU16" s="100">
        <v>1.5184696279493701E-4</v>
      </c>
      <c r="AV16" s="100">
        <v>1.7488250587313701E-2</v>
      </c>
      <c r="AW16" s="100">
        <v>9.9855539802849294E-2</v>
      </c>
      <c r="AX16" s="100">
        <v>2.2017643260073999E-4</v>
      </c>
      <c r="AY16" s="100">
        <v>1.10977436404694E-4</v>
      </c>
      <c r="AZ16" s="100">
        <v>1.13082048426972E-4</v>
      </c>
      <c r="BA16" s="100">
        <v>9.0958077308043097E-5</v>
      </c>
      <c r="BB16" s="100">
        <v>1.6781834851266401E-4</v>
      </c>
      <c r="BC16" s="100">
        <v>2.0116276270259401E-5</v>
      </c>
      <c r="BD16" s="100">
        <v>1.4091395104449001E-4</v>
      </c>
      <c r="BE16" s="100">
        <v>1.2024590297062701E-4</v>
      </c>
      <c r="BF16" s="100">
        <v>1.52501666799476E-4</v>
      </c>
      <c r="BG16" s="100">
        <v>1.4427526837547399E-4</v>
      </c>
      <c r="BH16" s="100">
        <v>1.17228187113887E-4</v>
      </c>
      <c r="BI16" s="100">
        <v>7.5915474322095497E-5</v>
      </c>
      <c r="BJ16" s="100">
        <v>2.2718581130884601E-4</v>
      </c>
      <c r="BK16" s="100">
        <v>3.1311611476483203E-4</v>
      </c>
      <c r="BL16" s="100">
        <v>3.0319375526745198E-4</v>
      </c>
      <c r="BM16" s="100">
        <v>6.6056698284222201E-4</v>
      </c>
      <c r="BN16" s="100">
        <v>5.9531315601605596E-4</v>
      </c>
      <c r="BO16" s="100">
        <v>1.2017978181379299E-3</v>
      </c>
      <c r="BP16" s="100">
        <v>2.26581926654869E-4</v>
      </c>
      <c r="BQ16" s="101">
        <v>0</v>
      </c>
    </row>
    <row r="17" spans="1:69" ht="15" customHeight="1" x14ac:dyDescent="0.3">
      <c r="A17" s="19" t="s">
        <v>35</v>
      </c>
      <c r="B17" s="11" t="s">
        <v>103</v>
      </c>
      <c r="C17" s="99">
        <v>1.5216537648296501E-5</v>
      </c>
      <c r="D17" s="100">
        <v>9.0086122501911607E-6</v>
      </c>
      <c r="E17" s="100">
        <v>3.4101266625881599E-6</v>
      </c>
      <c r="F17" s="100">
        <v>3.6541388063475502E-6</v>
      </c>
      <c r="G17" s="100">
        <v>3.5013024225891499E-6</v>
      </c>
      <c r="H17" s="100">
        <v>7.6774628404743796E-6</v>
      </c>
      <c r="I17" s="100">
        <v>6.3977464120203897E-6</v>
      </c>
      <c r="J17" s="100">
        <v>1.05542538196769E-5</v>
      </c>
      <c r="K17" s="100">
        <v>2.6555089247926098E-6</v>
      </c>
      <c r="L17" s="100">
        <v>1.05809328494597E-5</v>
      </c>
      <c r="M17" s="100">
        <v>7.1448193850145496E-6</v>
      </c>
      <c r="N17" s="100">
        <v>6.2161695316509002E-2</v>
      </c>
      <c r="O17" s="100">
        <v>1.10768511808454E-5</v>
      </c>
      <c r="P17" s="100">
        <v>1.08003499767003E-5</v>
      </c>
      <c r="Q17" s="100">
        <v>1.3844857660446499E-5</v>
      </c>
      <c r="R17" s="100">
        <v>1.7720006093157002E-5</v>
      </c>
      <c r="S17" s="100">
        <v>3.2146654736734E-5</v>
      </c>
      <c r="T17" s="100">
        <v>2.6686633066200199E-5</v>
      </c>
      <c r="U17" s="100">
        <v>7.6426080748166301E-7</v>
      </c>
      <c r="V17" s="100">
        <v>3.1008680208232799E-6</v>
      </c>
      <c r="W17" s="100">
        <v>6.2694920466702199E-6</v>
      </c>
      <c r="X17" s="100">
        <v>7.8554967689593408E-6</v>
      </c>
      <c r="Y17" s="100">
        <v>1.8837824287646998E-5</v>
      </c>
      <c r="Z17" s="100">
        <v>1.3433173147642E-5</v>
      </c>
      <c r="AA17" s="100">
        <v>1.27354812906959E-5</v>
      </c>
      <c r="AB17" s="100">
        <v>1.3175051638987799E-5</v>
      </c>
      <c r="AC17" s="100">
        <v>6.0122192137321998E-6</v>
      </c>
      <c r="AD17" s="100">
        <v>1.10315741747914E-5</v>
      </c>
      <c r="AE17" s="100">
        <v>9.8358905671819599E-6</v>
      </c>
      <c r="AF17" s="100">
        <v>9.4614048194632495E-6</v>
      </c>
      <c r="AG17" s="100">
        <v>1.32044948133065E-5</v>
      </c>
      <c r="AH17" s="100">
        <v>1.7619421118236099E-5</v>
      </c>
      <c r="AI17" s="100">
        <v>1.06933835553841E-5</v>
      </c>
      <c r="AJ17" s="100">
        <v>1.11688911409173E-5</v>
      </c>
      <c r="AK17" s="100">
        <v>7.0631201898147996E-6</v>
      </c>
      <c r="AL17" s="100">
        <v>1.19952997735438E-5</v>
      </c>
      <c r="AM17" s="100">
        <v>1.3186728102595601E-5</v>
      </c>
      <c r="AN17" s="100">
        <v>1.2140101405996501E-6</v>
      </c>
      <c r="AO17" s="100">
        <v>2.8544381059927499E-6</v>
      </c>
      <c r="AP17" s="100">
        <v>5.6072045953731901E-6</v>
      </c>
      <c r="AQ17" s="100">
        <v>4.7488567943761802E-6</v>
      </c>
      <c r="AR17" s="100">
        <v>4.9241162065543997E-6</v>
      </c>
      <c r="AS17" s="100">
        <v>2.5593259632603001E-6</v>
      </c>
      <c r="AT17" s="100">
        <v>1.2558652777198701E-6</v>
      </c>
      <c r="AU17" s="100">
        <v>2.3220237629935899E-6</v>
      </c>
      <c r="AV17" s="100">
        <v>4.9459166047221498E-6</v>
      </c>
      <c r="AW17" s="100">
        <v>7.8807570774645595E-6</v>
      </c>
      <c r="AX17" s="100">
        <v>1.83065160700364E-5</v>
      </c>
      <c r="AY17" s="100">
        <v>3.00654206785846E-6</v>
      </c>
      <c r="AZ17" s="100">
        <v>2.6929054362419599E-6</v>
      </c>
      <c r="BA17" s="100">
        <v>3.3326078670034499E-6</v>
      </c>
      <c r="BB17" s="100">
        <v>1.0717930301665999E-6</v>
      </c>
      <c r="BC17" s="100">
        <v>3.5638219708363597E-7</v>
      </c>
      <c r="BD17" s="100">
        <v>2.76011735721381E-6</v>
      </c>
      <c r="BE17" s="100">
        <v>1.94908323953467E-5</v>
      </c>
      <c r="BF17" s="100">
        <v>5.1856661831336398E-6</v>
      </c>
      <c r="BG17" s="100">
        <v>5.8810132984939996E-6</v>
      </c>
      <c r="BH17" s="100">
        <v>4.4130063714353803E-6</v>
      </c>
      <c r="BI17" s="100">
        <v>1.4703165830385E-6</v>
      </c>
      <c r="BJ17" s="100">
        <v>1.0452982561949201E-6</v>
      </c>
      <c r="BK17" s="100">
        <v>1.66646073274637E-6</v>
      </c>
      <c r="BL17" s="100">
        <v>3.05416218588942E-6</v>
      </c>
      <c r="BM17" s="100">
        <v>4.4299908725935099E-6</v>
      </c>
      <c r="BN17" s="100">
        <v>4.7782270880897002E-6</v>
      </c>
      <c r="BO17" s="100">
        <v>4.3271048544962898E-6</v>
      </c>
      <c r="BP17" s="100">
        <v>3.66739925719422E-6</v>
      </c>
      <c r="BQ17" s="101">
        <v>0</v>
      </c>
    </row>
    <row r="18" spans="1:69" ht="15" customHeight="1" x14ac:dyDescent="0.3">
      <c r="A18" s="19" t="s">
        <v>36</v>
      </c>
      <c r="B18" s="11" t="s">
        <v>104</v>
      </c>
      <c r="C18" s="99">
        <v>1.6554144575675E-3</v>
      </c>
      <c r="D18" s="100">
        <v>8.5623193838759405E-5</v>
      </c>
      <c r="E18" s="100">
        <v>6.4477849871397703E-5</v>
      </c>
      <c r="F18" s="100">
        <v>8.9118244376551106E-3</v>
      </c>
      <c r="G18" s="100">
        <v>4.4480701662666101E-4</v>
      </c>
      <c r="H18" s="100">
        <v>3.2365140418761402E-5</v>
      </c>
      <c r="I18" s="100">
        <v>3.0917878180282301E-4</v>
      </c>
      <c r="J18" s="100">
        <v>6.0716499948844503E-5</v>
      </c>
      <c r="K18" s="100">
        <v>2.8142728266328499E-3</v>
      </c>
      <c r="L18" s="100">
        <v>7.4402279000817097E-4</v>
      </c>
      <c r="M18" s="100">
        <v>2.0880425051383999E-4</v>
      </c>
      <c r="N18" s="100">
        <v>4.8257411573690102E-5</v>
      </c>
      <c r="O18" s="100">
        <v>0.16756684132688501</v>
      </c>
      <c r="P18" s="100">
        <v>0.23516120457098499</v>
      </c>
      <c r="Q18" s="100">
        <v>6.8489781007525799E-2</v>
      </c>
      <c r="R18" s="100">
        <v>2.73338809806784E-4</v>
      </c>
      <c r="S18" s="100">
        <v>1.4129238848519801E-3</v>
      </c>
      <c r="T18" s="100">
        <v>2.4871303972899799E-4</v>
      </c>
      <c r="U18" s="100">
        <v>3.55483302554641E-6</v>
      </c>
      <c r="V18" s="100">
        <v>1.8421830533584101E-5</v>
      </c>
      <c r="W18" s="100">
        <v>1.13169637442517E-4</v>
      </c>
      <c r="X18" s="100">
        <v>5.0883747501342502E-4</v>
      </c>
      <c r="Y18" s="100">
        <v>2.5446541104708401E-4</v>
      </c>
      <c r="Z18" s="100">
        <v>1.9946110490286599E-3</v>
      </c>
      <c r="AA18" s="100">
        <v>5.3104372281335497E-3</v>
      </c>
      <c r="AB18" s="100">
        <v>4.2496256055798201E-4</v>
      </c>
      <c r="AC18" s="100">
        <v>3.3973393071082202E-5</v>
      </c>
      <c r="AD18" s="100">
        <v>9.5648123840379496E-5</v>
      </c>
      <c r="AE18" s="100">
        <v>5.2627080366119002E-4</v>
      </c>
      <c r="AF18" s="100">
        <v>9.1913948174540794E-5</v>
      </c>
      <c r="AG18" s="100">
        <v>4.9811872741329505E-4</v>
      </c>
      <c r="AH18" s="100">
        <v>1.8954802947425601E-4</v>
      </c>
      <c r="AI18" s="100">
        <v>2.6190161663102601E-4</v>
      </c>
      <c r="AJ18" s="100">
        <v>1.24173374021596E-2</v>
      </c>
      <c r="AK18" s="100">
        <v>1.9094140572937901E-3</v>
      </c>
      <c r="AL18" s="100">
        <v>1.7499036504066E-2</v>
      </c>
      <c r="AM18" s="100">
        <v>1.6298395548274401E-4</v>
      </c>
      <c r="AN18" s="100">
        <v>8.4030631786715995E-5</v>
      </c>
      <c r="AO18" s="100">
        <v>2.3375047075720101E-4</v>
      </c>
      <c r="AP18" s="100">
        <v>9.3748937501519696E-4</v>
      </c>
      <c r="AQ18" s="100">
        <v>1.8295720580737101E-4</v>
      </c>
      <c r="AR18" s="100">
        <v>1.85518438217449E-4</v>
      </c>
      <c r="AS18" s="100">
        <v>8.1684494127573395E-4</v>
      </c>
      <c r="AT18" s="100">
        <v>7.7049161418405796E-5</v>
      </c>
      <c r="AU18" s="100">
        <v>6.2786693368118202E-5</v>
      </c>
      <c r="AV18" s="100">
        <v>1.01323768363808E-2</v>
      </c>
      <c r="AW18" s="100">
        <v>7.7804689034195501E-4</v>
      </c>
      <c r="AX18" s="100">
        <v>1.02140322315172E-4</v>
      </c>
      <c r="AY18" s="100">
        <v>1.93683783250494E-4</v>
      </c>
      <c r="AZ18" s="100">
        <v>4.2543212188275199E-5</v>
      </c>
      <c r="BA18" s="100">
        <v>3.0810674315887902E-5</v>
      </c>
      <c r="BB18" s="100">
        <v>2.3484597703278301E-5</v>
      </c>
      <c r="BC18" s="100">
        <v>1.0653601432434901E-5</v>
      </c>
      <c r="BD18" s="100">
        <v>5.8197644131911599E-5</v>
      </c>
      <c r="BE18" s="100">
        <v>1.14112507883384E-4</v>
      </c>
      <c r="BF18" s="100">
        <v>7.2857965895722004E-5</v>
      </c>
      <c r="BG18" s="100">
        <v>8.08644655687612E-5</v>
      </c>
      <c r="BH18" s="100">
        <v>8.9191373324440799E-5</v>
      </c>
      <c r="BI18" s="100">
        <v>5.2311855050961297E-5</v>
      </c>
      <c r="BJ18" s="100">
        <v>6.4656881766858205E-5</v>
      </c>
      <c r="BK18" s="100">
        <v>1.61883640350639E-4</v>
      </c>
      <c r="BL18" s="100">
        <v>8.2156704314434998E-5</v>
      </c>
      <c r="BM18" s="100">
        <v>2.7670929637435402E-4</v>
      </c>
      <c r="BN18" s="100">
        <v>2.3932629423009799E-4</v>
      </c>
      <c r="BO18" s="100">
        <v>2.4084823730776301E-4</v>
      </c>
      <c r="BP18" s="100">
        <v>4.7487228105002697E-3</v>
      </c>
      <c r="BQ18" s="101">
        <v>0</v>
      </c>
    </row>
    <row r="19" spans="1:69" ht="15" customHeight="1" x14ac:dyDescent="0.3">
      <c r="A19" s="19" t="s">
        <v>37</v>
      </c>
      <c r="B19" s="11" t="s">
        <v>105</v>
      </c>
      <c r="C19" s="99">
        <v>3.4936778662696501E-5</v>
      </c>
      <c r="D19" s="100">
        <v>2.0101556514941101E-5</v>
      </c>
      <c r="E19" s="100">
        <v>3.8528221583111299E-4</v>
      </c>
      <c r="F19" s="100">
        <v>2.3130423594297899E-4</v>
      </c>
      <c r="G19" s="100">
        <v>5.0578407554595405E-4</v>
      </c>
      <c r="H19" s="100">
        <v>1.7269630688441901E-5</v>
      </c>
      <c r="I19" s="100">
        <v>1.8314273865070502E-5</v>
      </c>
      <c r="J19" s="100">
        <v>4.93163700024992E-5</v>
      </c>
      <c r="K19" s="100">
        <v>4.35881857036827E-5</v>
      </c>
      <c r="L19" s="100">
        <v>5.8402878700733101E-5</v>
      </c>
      <c r="M19" s="100">
        <v>1.8532981892550799E-5</v>
      </c>
      <c r="N19" s="100">
        <v>3.17272286602975E-5</v>
      </c>
      <c r="O19" s="100">
        <v>1.74258875046656E-3</v>
      </c>
      <c r="P19" s="100">
        <v>4.1245288358143603E-2</v>
      </c>
      <c r="Q19" s="100">
        <v>2.3801890868120198E-3</v>
      </c>
      <c r="R19" s="100">
        <v>2.6684913593031298E-5</v>
      </c>
      <c r="S19" s="100">
        <v>5.0170370393230602E-5</v>
      </c>
      <c r="T19" s="100">
        <v>3.9270822334215203E-5</v>
      </c>
      <c r="U19" s="100">
        <v>1.7859264980819899E-6</v>
      </c>
      <c r="V19" s="100">
        <v>8.1533028964092108E-6</v>
      </c>
      <c r="W19" s="100">
        <v>1.45244908791972E-5</v>
      </c>
      <c r="X19" s="100">
        <v>1.4772163832105299E-4</v>
      </c>
      <c r="Y19" s="100">
        <v>3.1097613960515902E-5</v>
      </c>
      <c r="Z19" s="100">
        <v>3.2729212541395899E-5</v>
      </c>
      <c r="AA19" s="100">
        <v>6.2014216797955801E-5</v>
      </c>
      <c r="AB19" s="100">
        <v>2.3860370273763701E-4</v>
      </c>
      <c r="AC19" s="100">
        <v>5.3100126681697802E-5</v>
      </c>
      <c r="AD19" s="100">
        <v>2.19178456572801E-5</v>
      </c>
      <c r="AE19" s="100">
        <v>5.1791589027719396E-4</v>
      </c>
      <c r="AF19" s="100">
        <v>1.9469376016491499E-5</v>
      </c>
      <c r="AG19" s="100">
        <v>4.3174266980949999E-5</v>
      </c>
      <c r="AH19" s="100">
        <v>5.78964620986634E-5</v>
      </c>
      <c r="AI19" s="100">
        <v>3.4812969255129301E-5</v>
      </c>
      <c r="AJ19" s="100">
        <v>3.9953480423195002E-4</v>
      </c>
      <c r="AK19" s="100">
        <v>5.1039341361502803E-5</v>
      </c>
      <c r="AL19" s="100">
        <v>4.5856016872080003E-4</v>
      </c>
      <c r="AM19" s="100">
        <v>4.5779300093496199E-5</v>
      </c>
      <c r="AN19" s="100">
        <v>3.00049431013831E-4</v>
      </c>
      <c r="AO19" s="100">
        <v>2.1971691720903E-3</v>
      </c>
      <c r="AP19" s="100">
        <v>9.2244112244382903E-5</v>
      </c>
      <c r="AQ19" s="100">
        <v>3.8989794644025998E-4</v>
      </c>
      <c r="AR19" s="100">
        <v>6.9027230776004197E-4</v>
      </c>
      <c r="AS19" s="100">
        <v>4.8499147316367002E-4</v>
      </c>
      <c r="AT19" s="100">
        <v>4.8961359305358396E-3</v>
      </c>
      <c r="AU19" s="100">
        <v>1.08712156272261E-3</v>
      </c>
      <c r="AV19" s="100">
        <v>4.4315831117316597E-3</v>
      </c>
      <c r="AW19" s="100">
        <v>1.0380824629442401E-3</v>
      </c>
      <c r="AX19" s="100">
        <v>2.93635719264869E-5</v>
      </c>
      <c r="AY19" s="100">
        <v>4.0054734993968102E-3</v>
      </c>
      <c r="AZ19" s="100">
        <v>2.7670591625423701E-4</v>
      </c>
      <c r="BA19" s="100">
        <v>1.1242587207511099E-5</v>
      </c>
      <c r="BB19" s="100">
        <v>9.1734935388845503E-4</v>
      </c>
      <c r="BC19" s="100">
        <v>5.62875469637904E-5</v>
      </c>
      <c r="BD19" s="100">
        <v>5.1568473474154203E-5</v>
      </c>
      <c r="BE19" s="100">
        <v>2.9172023232650699E-3</v>
      </c>
      <c r="BF19" s="100">
        <v>4.5714832752702199E-4</v>
      </c>
      <c r="BG19" s="100">
        <v>4.1732406619300899E-5</v>
      </c>
      <c r="BH19" s="100">
        <v>6.9588143144957905E-4</v>
      </c>
      <c r="BI19" s="100">
        <v>6.7425605582574297E-3</v>
      </c>
      <c r="BJ19" s="100">
        <v>1.1881627553395201E-3</v>
      </c>
      <c r="BK19" s="100">
        <v>2.3706637390276501E-3</v>
      </c>
      <c r="BL19" s="100">
        <v>2.2652610046525099E-5</v>
      </c>
      <c r="BM19" s="100">
        <v>5.9831440649879596E-4</v>
      </c>
      <c r="BN19" s="100">
        <v>2.6898416512778601E-4</v>
      </c>
      <c r="BO19" s="100">
        <v>3.9392445234266698E-3</v>
      </c>
      <c r="BP19" s="100">
        <v>7.2183298249230698E-3</v>
      </c>
      <c r="BQ19" s="101">
        <v>0</v>
      </c>
    </row>
    <row r="20" spans="1:69" ht="15" customHeight="1" x14ac:dyDescent="0.3">
      <c r="A20" s="19" t="s">
        <v>38</v>
      </c>
      <c r="B20" s="11" t="s">
        <v>106</v>
      </c>
      <c r="C20" s="99">
        <v>1.2342360365965101E-5</v>
      </c>
      <c r="D20" s="100">
        <v>2.8667849948879499E-5</v>
      </c>
      <c r="E20" s="100">
        <v>5.9095960491811699E-6</v>
      </c>
      <c r="F20" s="100">
        <v>6.1566593987408006E-5</v>
      </c>
      <c r="G20" s="100">
        <v>3.00997662293123E-5</v>
      </c>
      <c r="H20" s="100">
        <v>1.9458462747567199E-5</v>
      </c>
      <c r="I20" s="100">
        <v>1.3311559463114901E-5</v>
      </c>
      <c r="J20" s="100">
        <v>6.4528898623160695E-5</v>
      </c>
      <c r="K20" s="100">
        <v>1.3119041163909599E-5</v>
      </c>
      <c r="L20" s="100">
        <v>8.2156439006538307E-5</v>
      </c>
      <c r="M20" s="100">
        <v>6.7957800741507999E-5</v>
      </c>
      <c r="N20" s="100">
        <v>6.3007334597172006E-5</v>
      </c>
      <c r="O20" s="100">
        <v>1.2584452824051899E-4</v>
      </c>
      <c r="P20" s="100">
        <v>1.30775048176312E-4</v>
      </c>
      <c r="Q20" s="100">
        <v>0.17058771746328399</v>
      </c>
      <c r="R20" s="100">
        <v>3.8395150550556601E-5</v>
      </c>
      <c r="S20" s="100">
        <v>4.8893296128165397E-4</v>
      </c>
      <c r="T20" s="100">
        <v>8.2443999162532303E-5</v>
      </c>
      <c r="U20" s="100">
        <v>1.69148014277745E-6</v>
      </c>
      <c r="V20" s="100">
        <v>3.2050165714656698E-5</v>
      </c>
      <c r="W20" s="100">
        <v>2.4802882717104798E-5</v>
      </c>
      <c r="X20" s="100">
        <v>6.2847289540951006E-5</v>
      </c>
      <c r="Y20" s="100">
        <v>1.47956877195218E-4</v>
      </c>
      <c r="Z20" s="100">
        <v>3.7894032655210797E-5</v>
      </c>
      <c r="AA20" s="100">
        <v>1.75288936521431E-4</v>
      </c>
      <c r="AB20" s="100">
        <v>4.4358700660629997E-5</v>
      </c>
      <c r="AC20" s="100">
        <v>1.29533899899315E-5</v>
      </c>
      <c r="AD20" s="100">
        <v>2.1701100734209298E-5</v>
      </c>
      <c r="AE20" s="100">
        <v>2.95599589038798E-4</v>
      </c>
      <c r="AF20" s="100">
        <v>2.3615113668050301E-5</v>
      </c>
      <c r="AG20" s="100">
        <v>5.3014250695272698E-5</v>
      </c>
      <c r="AH20" s="100">
        <v>3.9190613490655503E-5</v>
      </c>
      <c r="AI20" s="100">
        <v>2.7796480716498498E-4</v>
      </c>
      <c r="AJ20" s="100">
        <v>2.1929324325379099E-4</v>
      </c>
      <c r="AK20" s="100">
        <v>3.3689381596808198E-5</v>
      </c>
      <c r="AL20" s="100">
        <v>4.35399206541589E-4</v>
      </c>
      <c r="AM20" s="100">
        <v>3.3412871653841802E-5</v>
      </c>
      <c r="AN20" s="100">
        <v>2.8672797290041401E-4</v>
      </c>
      <c r="AO20" s="100">
        <v>2.39341600621359E-5</v>
      </c>
      <c r="AP20" s="100">
        <v>7.5173638290944601E-5</v>
      </c>
      <c r="AQ20" s="100">
        <v>3.0910118834702102E-5</v>
      </c>
      <c r="AR20" s="100">
        <v>5.0645669740126599E-5</v>
      </c>
      <c r="AS20" s="100">
        <v>6.9320318313071501E-6</v>
      </c>
      <c r="AT20" s="100">
        <v>2.9591051158524399E-5</v>
      </c>
      <c r="AU20" s="100">
        <v>7.7251478651621207E-6</v>
      </c>
      <c r="AV20" s="100">
        <v>8.4469598362858306E-5</v>
      </c>
      <c r="AW20" s="100">
        <v>9.5846242733607699E-5</v>
      </c>
      <c r="AX20" s="100">
        <v>3.0017696981506398E-5</v>
      </c>
      <c r="AY20" s="100">
        <v>7.8404400582000205E-4</v>
      </c>
      <c r="AZ20" s="100">
        <v>7.3059838467052304E-6</v>
      </c>
      <c r="BA20" s="100">
        <v>1.7636209165253299E-5</v>
      </c>
      <c r="BB20" s="100">
        <v>4.3406182825192596E-6</v>
      </c>
      <c r="BC20" s="100">
        <v>1.1321259465807999E-6</v>
      </c>
      <c r="BD20" s="100">
        <v>5.7192862765237402E-6</v>
      </c>
      <c r="BE20" s="100">
        <v>8.5161355733588494E-5</v>
      </c>
      <c r="BF20" s="100">
        <v>1.7108925309977301E-5</v>
      </c>
      <c r="BG20" s="100">
        <v>1.8643220268635299E-5</v>
      </c>
      <c r="BH20" s="100">
        <v>2.9388695560917102E-5</v>
      </c>
      <c r="BI20" s="100">
        <v>1.59007092617973E-3</v>
      </c>
      <c r="BJ20" s="100">
        <v>2.3327831686512799E-5</v>
      </c>
      <c r="BK20" s="100">
        <v>1.7065402489291499E-5</v>
      </c>
      <c r="BL20" s="100">
        <v>6.7827749922542297E-6</v>
      </c>
      <c r="BM20" s="100">
        <v>2.8412665371853499E-5</v>
      </c>
      <c r="BN20" s="100">
        <v>2.60508317815167E-5</v>
      </c>
      <c r="BO20" s="100">
        <v>2.36576942126115E-5</v>
      </c>
      <c r="BP20" s="100">
        <v>3.3998829316481802E-5</v>
      </c>
      <c r="BQ20" s="101">
        <v>0</v>
      </c>
    </row>
    <row r="21" spans="1:69" ht="15" customHeight="1" x14ac:dyDescent="0.3">
      <c r="A21" s="19" t="s">
        <v>39</v>
      </c>
      <c r="B21" s="11" t="s">
        <v>107</v>
      </c>
      <c r="C21" s="99">
        <v>9.7851947257865195E-4</v>
      </c>
      <c r="D21" s="100">
        <v>1.8873045834740601E-3</v>
      </c>
      <c r="E21" s="100">
        <v>6.2542966308202499E-4</v>
      </c>
      <c r="F21" s="100">
        <v>1.8448699759087E-4</v>
      </c>
      <c r="G21" s="100">
        <v>2.62568867247883E-5</v>
      </c>
      <c r="H21" s="100">
        <v>2.05199189649511E-5</v>
      </c>
      <c r="I21" s="100">
        <v>2.6702096412606298E-5</v>
      </c>
      <c r="J21" s="100">
        <v>1.2401038493211E-4</v>
      </c>
      <c r="K21" s="100">
        <v>1.9886903315029601E-5</v>
      </c>
      <c r="L21" s="100">
        <v>7.6900483154347004E-4</v>
      </c>
      <c r="M21" s="100">
        <v>1.4402535862719701E-3</v>
      </c>
      <c r="N21" s="100">
        <v>1.70065383781766E-5</v>
      </c>
      <c r="O21" s="100">
        <v>3.8453040405891697E-4</v>
      </c>
      <c r="P21" s="100">
        <v>3.7577135741707699E-5</v>
      </c>
      <c r="Q21" s="100">
        <v>1.99602083005217E-5</v>
      </c>
      <c r="R21" s="100">
        <v>0.13338351117182201</v>
      </c>
      <c r="S21" s="100">
        <v>7.3700752680804496E-3</v>
      </c>
      <c r="T21" s="100">
        <v>3.5962764319506E-5</v>
      </c>
      <c r="U21" s="100">
        <v>3.7291391264717502E-6</v>
      </c>
      <c r="V21" s="100">
        <v>2.2633327462039399E-5</v>
      </c>
      <c r="W21" s="100">
        <v>9.2683813813751096E-5</v>
      </c>
      <c r="X21" s="100">
        <v>4.2751205680234501E-4</v>
      </c>
      <c r="Y21" s="100">
        <v>5.3265420168352401E-5</v>
      </c>
      <c r="Z21" s="100">
        <v>2.7190058476118101E-5</v>
      </c>
      <c r="AA21" s="100">
        <v>4.69566045040288E-5</v>
      </c>
      <c r="AB21" s="100">
        <v>3.9469639792381401E-4</v>
      </c>
      <c r="AC21" s="100">
        <v>8.6090880177381199E-5</v>
      </c>
      <c r="AD21" s="100">
        <v>1.5181406322099901E-5</v>
      </c>
      <c r="AE21" s="100">
        <v>2.0972357956936302E-3</v>
      </c>
      <c r="AF21" s="100">
        <v>2.4903731924130599E-5</v>
      </c>
      <c r="AG21" s="100">
        <v>7.9600840728321498E-5</v>
      </c>
      <c r="AH21" s="100">
        <v>1.91071450878389E-3</v>
      </c>
      <c r="AI21" s="100">
        <v>1.1412226764137101E-3</v>
      </c>
      <c r="AJ21" s="100">
        <v>6.2053216141884002E-4</v>
      </c>
      <c r="AK21" s="100">
        <v>2.6295601018144002E-3</v>
      </c>
      <c r="AL21" s="100">
        <v>8.0132533754333699E-2</v>
      </c>
      <c r="AM21" s="100">
        <v>6.2062900978135201E-5</v>
      </c>
      <c r="AN21" s="100">
        <v>8.0610437921386905E-4</v>
      </c>
      <c r="AO21" s="100">
        <v>1.04996719622478E-4</v>
      </c>
      <c r="AP21" s="100">
        <v>8.9146507510340801E-3</v>
      </c>
      <c r="AQ21" s="100">
        <v>2.1451175253007098E-3</v>
      </c>
      <c r="AR21" s="100">
        <v>1.7384320078233098E-5</v>
      </c>
      <c r="AS21" s="100">
        <v>2.11667422300563E-5</v>
      </c>
      <c r="AT21" s="100">
        <v>1.40569859224386E-5</v>
      </c>
      <c r="AU21" s="100">
        <v>6.9988000176221098E-4</v>
      </c>
      <c r="AV21" s="100">
        <v>1.7155197692749499E-4</v>
      </c>
      <c r="AW21" s="100">
        <v>8.4162024163019199E-5</v>
      </c>
      <c r="AX21" s="100">
        <v>5.5635900376218703E-5</v>
      </c>
      <c r="AY21" s="100">
        <v>3.4111403188467801E-3</v>
      </c>
      <c r="AZ21" s="100">
        <v>5.6283085631650902E-5</v>
      </c>
      <c r="BA21" s="100">
        <v>5.1759367081142003E-5</v>
      </c>
      <c r="BB21" s="100">
        <v>3.3475123126792698E-5</v>
      </c>
      <c r="BC21" s="100">
        <v>5.2920381067614699E-4</v>
      </c>
      <c r="BD21" s="100">
        <v>9.0986609699820497E-5</v>
      </c>
      <c r="BE21" s="100">
        <v>6.1728569327570401E-5</v>
      </c>
      <c r="BF21" s="100">
        <v>5.5797636054983302E-5</v>
      </c>
      <c r="BG21" s="100">
        <v>6.3369321752074497E-5</v>
      </c>
      <c r="BH21" s="100">
        <v>4.5623318824729601E-4</v>
      </c>
      <c r="BI21" s="100">
        <v>3.62463827882622E-5</v>
      </c>
      <c r="BJ21" s="100">
        <v>1.09205314694002E-4</v>
      </c>
      <c r="BK21" s="100">
        <v>7.6118447206238802E-5</v>
      </c>
      <c r="BL21" s="100">
        <v>1.75525773141836E-4</v>
      </c>
      <c r="BM21" s="100">
        <v>3.86189141812828E-5</v>
      </c>
      <c r="BN21" s="100">
        <v>4.5244399896377503E-5</v>
      </c>
      <c r="BO21" s="100">
        <v>4.4463842425824802E-4</v>
      </c>
      <c r="BP21" s="100">
        <v>1.67300308533298E-3</v>
      </c>
      <c r="BQ21" s="101">
        <v>0</v>
      </c>
    </row>
    <row r="22" spans="1:69" ht="15" customHeight="1" x14ac:dyDescent="0.3">
      <c r="A22" s="19" t="s">
        <v>40</v>
      </c>
      <c r="B22" s="11" t="s">
        <v>108</v>
      </c>
      <c r="C22" s="99">
        <v>1.0239168751866501E-3</v>
      </c>
      <c r="D22" s="100">
        <v>9.7361346492755795E-4</v>
      </c>
      <c r="E22" s="100">
        <v>6.4046250313509398E-4</v>
      </c>
      <c r="F22" s="100">
        <v>2.6144004984646299E-4</v>
      </c>
      <c r="G22" s="100">
        <v>3.5697011528464101E-4</v>
      </c>
      <c r="H22" s="100">
        <v>1.3256068841922099E-3</v>
      </c>
      <c r="I22" s="100">
        <v>1.38821728184952E-3</v>
      </c>
      <c r="J22" s="100">
        <v>1.24294038548321E-2</v>
      </c>
      <c r="K22" s="100">
        <v>4.3508431763736403E-4</v>
      </c>
      <c r="L22" s="100">
        <v>1.3195094021514E-2</v>
      </c>
      <c r="M22" s="100">
        <v>3.6781132324159001E-3</v>
      </c>
      <c r="N22" s="100">
        <v>6.9105488934217502E-2</v>
      </c>
      <c r="O22" s="100">
        <v>1.2805038737777E-2</v>
      </c>
      <c r="P22" s="100">
        <v>5.9592288694218501E-3</v>
      </c>
      <c r="Q22" s="100">
        <v>1.87784153179953E-2</v>
      </c>
      <c r="R22" s="100">
        <v>4.0219307165897597E-2</v>
      </c>
      <c r="S22" s="100">
        <v>0.15838408521838901</v>
      </c>
      <c r="T22" s="100">
        <v>7.5089403758663006E-2</v>
      </c>
      <c r="U22" s="100">
        <v>3.5366421011138397E-4</v>
      </c>
      <c r="V22" s="100">
        <v>1.3528930981704999E-3</v>
      </c>
      <c r="W22" s="100">
        <v>5.8162617134144496E-4</v>
      </c>
      <c r="X22" s="100">
        <v>2.5753216752294099E-3</v>
      </c>
      <c r="Y22" s="100">
        <v>4.0081394812575701E-2</v>
      </c>
      <c r="Z22" s="100">
        <v>1.69253961366044E-2</v>
      </c>
      <c r="AA22" s="100">
        <v>1.9755165385488899E-2</v>
      </c>
      <c r="AB22" s="100">
        <v>2.4262158633474099E-2</v>
      </c>
      <c r="AC22" s="100">
        <v>2.1530266060716501E-4</v>
      </c>
      <c r="AD22" s="100">
        <v>2.1835996158517799E-4</v>
      </c>
      <c r="AE22" s="100">
        <v>1.15684317481402E-2</v>
      </c>
      <c r="AF22" s="100">
        <v>8.5183453019681103E-3</v>
      </c>
      <c r="AG22" s="100">
        <v>4.3991936643815602E-3</v>
      </c>
      <c r="AH22" s="100">
        <v>1.6564703817352801E-3</v>
      </c>
      <c r="AI22" s="100">
        <v>2.04487945505109E-3</v>
      </c>
      <c r="AJ22" s="100">
        <v>8.2049809458907708E-3</v>
      </c>
      <c r="AK22" s="100">
        <v>1.5986050492076201E-3</v>
      </c>
      <c r="AL22" s="100">
        <v>1.42697995187156E-2</v>
      </c>
      <c r="AM22" s="100">
        <v>9.1588483817345398E-4</v>
      </c>
      <c r="AN22" s="100">
        <v>1.22263730434453E-4</v>
      </c>
      <c r="AO22" s="100">
        <v>6.9691023375657304E-4</v>
      </c>
      <c r="AP22" s="100">
        <v>6.8654954339212302E-4</v>
      </c>
      <c r="AQ22" s="100">
        <v>5.7202819522015501E-3</v>
      </c>
      <c r="AR22" s="100">
        <v>4.6835062969905199E-4</v>
      </c>
      <c r="AS22" s="100">
        <v>2.6744770035088601E-3</v>
      </c>
      <c r="AT22" s="100">
        <v>3.5681609535599299E-4</v>
      </c>
      <c r="AU22" s="100">
        <v>3.1608566592689598E-3</v>
      </c>
      <c r="AV22" s="100">
        <v>6.9890366334863004E-3</v>
      </c>
      <c r="AW22" s="100">
        <v>5.7070088578224697E-3</v>
      </c>
      <c r="AX22" s="100">
        <v>4.4782302513136203E-2</v>
      </c>
      <c r="AY22" s="100">
        <v>2.9156242179353802E-3</v>
      </c>
      <c r="AZ22" s="100">
        <v>3.6273135879901099E-4</v>
      </c>
      <c r="BA22" s="100">
        <v>3.7758580574883799E-3</v>
      </c>
      <c r="BB22" s="100">
        <v>2.0553643906196599E-3</v>
      </c>
      <c r="BC22" s="100">
        <v>3.7952183340483002E-4</v>
      </c>
      <c r="BD22" s="100">
        <v>5.7240758198406003E-3</v>
      </c>
      <c r="BE22" s="100">
        <v>4.7618734100742903E-3</v>
      </c>
      <c r="BF22" s="100">
        <v>5.6860928150228697E-3</v>
      </c>
      <c r="BG22" s="100">
        <v>7.7022848389613598E-3</v>
      </c>
      <c r="BH22" s="100">
        <v>7.7966620655068796E-3</v>
      </c>
      <c r="BI22" s="100">
        <v>1.06416254788825E-3</v>
      </c>
      <c r="BJ22" s="100">
        <v>1.0379125886111401E-3</v>
      </c>
      <c r="BK22" s="100">
        <v>1.9533277042298098E-3</v>
      </c>
      <c r="BL22" s="100">
        <v>3.9528309893982101E-3</v>
      </c>
      <c r="BM22" s="100">
        <v>1.07572643664724E-3</v>
      </c>
      <c r="BN22" s="100">
        <v>2.1053866318535498E-3</v>
      </c>
      <c r="BO22" s="100">
        <v>1.7992551915282399E-3</v>
      </c>
      <c r="BP22" s="100">
        <v>3.7089766403634698E-3</v>
      </c>
      <c r="BQ22" s="101">
        <v>0</v>
      </c>
    </row>
    <row r="23" spans="1:69" ht="15" customHeight="1" x14ac:dyDescent="0.3">
      <c r="A23" s="19" t="s">
        <v>41</v>
      </c>
      <c r="B23" s="11" t="s">
        <v>109</v>
      </c>
      <c r="C23" s="99">
        <v>3.04191224344984E-5</v>
      </c>
      <c r="D23" s="100">
        <v>2.01490571101527E-5</v>
      </c>
      <c r="E23" s="100">
        <v>5.2098294524294298E-5</v>
      </c>
      <c r="F23" s="100">
        <v>5.69386798922035E-5</v>
      </c>
      <c r="G23" s="100">
        <v>5.4188258369443797E-5</v>
      </c>
      <c r="H23" s="100">
        <v>1.30141980421569E-4</v>
      </c>
      <c r="I23" s="100">
        <v>1.9963931259281301E-4</v>
      </c>
      <c r="J23" s="100">
        <v>2.34014468678602E-4</v>
      </c>
      <c r="K23" s="100">
        <v>2.72164920939244E-4</v>
      </c>
      <c r="L23" s="100">
        <v>2.9741911234399602E-4</v>
      </c>
      <c r="M23" s="100">
        <v>2.3337570115033201E-3</v>
      </c>
      <c r="N23" s="100">
        <v>3.75078533089191E-4</v>
      </c>
      <c r="O23" s="100">
        <v>2.5152407274701299E-4</v>
      </c>
      <c r="P23" s="100">
        <v>2.6169953265705302E-4</v>
      </c>
      <c r="Q23" s="100">
        <v>2.4402949583947499E-4</v>
      </c>
      <c r="R23" s="100">
        <v>7.7830579971142802E-4</v>
      </c>
      <c r="S23" s="100">
        <v>1.5993279479469501E-3</v>
      </c>
      <c r="T23" s="100">
        <v>4.0302404715595201E-2</v>
      </c>
      <c r="U23" s="100">
        <v>1.2115873809083499E-5</v>
      </c>
      <c r="V23" s="100">
        <v>1.7397212189187501E-4</v>
      </c>
      <c r="W23" s="100">
        <v>4.81592648766243E-5</v>
      </c>
      <c r="X23" s="100">
        <v>2.24483956693213E-4</v>
      </c>
      <c r="Y23" s="100">
        <v>3.42192666844029E-4</v>
      </c>
      <c r="Z23" s="100">
        <v>2.37443234844015E-4</v>
      </c>
      <c r="AA23" s="100">
        <v>5.7386946426378699E-4</v>
      </c>
      <c r="AB23" s="100">
        <v>3.12287382818124E-4</v>
      </c>
      <c r="AC23" s="100">
        <v>7.70971244275232E-5</v>
      </c>
      <c r="AD23" s="100">
        <v>2.6424642986389101E-5</v>
      </c>
      <c r="AE23" s="100">
        <v>2.20329131964754E-4</v>
      </c>
      <c r="AF23" s="100">
        <v>1.09273901744424E-3</v>
      </c>
      <c r="AG23" s="100">
        <v>1.5882026994700101E-4</v>
      </c>
      <c r="AH23" s="100">
        <v>1.73180910223865E-4</v>
      </c>
      <c r="AI23" s="100">
        <v>1.5001761217617801E-4</v>
      </c>
      <c r="AJ23" s="100">
        <v>2.49544460936041E-4</v>
      </c>
      <c r="AK23" s="100">
        <v>1.2520854709723299E-4</v>
      </c>
      <c r="AL23" s="100">
        <v>4.35824308634611E-4</v>
      </c>
      <c r="AM23" s="100">
        <v>1.1323504036033801E-4</v>
      </c>
      <c r="AN23" s="100">
        <v>5.5000379029461797E-5</v>
      </c>
      <c r="AO23" s="100">
        <v>1.7105098327994801E-4</v>
      </c>
      <c r="AP23" s="100">
        <v>2.1560447437428499E-4</v>
      </c>
      <c r="AQ23" s="100">
        <v>4.1419310771752E-3</v>
      </c>
      <c r="AR23" s="100">
        <v>9.4417225270229595E-5</v>
      </c>
      <c r="AS23" s="100">
        <v>8.5904605072878204E-5</v>
      </c>
      <c r="AT23" s="100">
        <v>5.3175353754684096E-4</v>
      </c>
      <c r="AU23" s="100">
        <v>4.0627085981220301E-4</v>
      </c>
      <c r="AV23" s="100">
        <v>3.3239503587924899E-4</v>
      </c>
      <c r="AW23" s="100">
        <v>2.8514603670429001E-4</v>
      </c>
      <c r="AX23" s="100">
        <v>4.6865948178718697E-2</v>
      </c>
      <c r="AY23" s="100">
        <v>3.6716162988480799E-3</v>
      </c>
      <c r="AZ23" s="100">
        <v>2.5123227990264899E-3</v>
      </c>
      <c r="BA23" s="100">
        <v>2.3313944409563102E-3</v>
      </c>
      <c r="BB23" s="100">
        <v>1.60888231087682E-3</v>
      </c>
      <c r="BC23" s="100">
        <v>3.05650544077448E-4</v>
      </c>
      <c r="BD23" s="100">
        <v>1.5478171154668799E-3</v>
      </c>
      <c r="BE23" s="100">
        <v>2.3696807639036199E-3</v>
      </c>
      <c r="BF23" s="100">
        <v>2.1573827415090001E-2</v>
      </c>
      <c r="BG23" s="100">
        <v>7.5750882367259297E-4</v>
      </c>
      <c r="BH23" s="100">
        <v>3.84940258119764E-3</v>
      </c>
      <c r="BI23" s="100">
        <v>7.1542675844768998E-5</v>
      </c>
      <c r="BJ23" s="100">
        <v>1.0571514689181501E-3</v>
      </c>
      <c r="BK23" s="100">
        <v>5.5728254955947798E-4</v>
      </c>
      <c r="BL23" s="100">
        <v>3.00814995764251E-4</v>
      </c>
      <c r="BM23" s="100">
        <v>4.7700752494779898E-4</v>
      </c>
      <c r="BN23" s="100">
        <v>2.5619880513799698E-4</v>
      </c>
      <c r="BO23" s="100">
        <v>5.7595211359000899E-3</v>
      </c>
      <c r="BP23" s="100">
        <v>1.50142956231638E-3</v>
      </c>
      <c r="BQ23" s="101">
        <v>0</v>
      </c>
    </row>
    <row r="24" spans="1:69" ht="15" customHeight="1" x14ac:dyDescent="0.3">
      <c r="A24" s="19" t="s">
        <v>42</v>
      </c>
      <c r="B24" s="11" t="s">
        <v>110</v>
      </c>
      <c r="C24" s="99">
        <v>2.4340993069461098E-2</v>
      </c>
      <c r="D24" s="100">
        <v>2.3411577493388899E-2</v>
      </c>
      <c r="E24" s="100">
        <v>1.9620483492603299E-2</v>
      </c>
      <c r="F24" s="100">
        <v>7.2797543524924194E-2</v>
      </c>
      <c r="G24" s="100">
        <v>9.8215599199102006E-3</v>
      </c>
      <c r="H24" s="100">
        <v>5.19692909701207E-2</v>
      </c>
      <c r="I24" s="100">
        <v>6.4800882934982901E-2</v>
      </c>
      <c r="J24" s="100">
        <v>1.1814729056204501E-2</v>
      </c>
      <c r="K24" s="100">
        <v>3.0494390207587999E-2</v>
      </c>
      <c r="L24" s="100">
        <v>1.2652850398684599E-2</v>
      </c>
      <c r="M24" s="100">
        <v>1.14492283560603E-2</v>
      </c>
      <c r="N24" s="100">
        <v>2.3502472330606799E-3</v>
      </c>
      <c r="O24" s="100">
        <v>4.8590658934517797E-3</v>
      </c>
      <c r="P24" s="100">
        <v>2.0080891357791E-3</v>
      </c>
      <c r="Q24" s="100">
        <v>4.8853865613153599E-3</v>
      </c>
      <c r="R24" s="100">
        <v>9.1227281121211493E-3</v>
      </c>
      <c r="S24" s="100">
        <v>2.4451949118685101E-2</v>
      </c>
      <c r="T24" s="100">
        <v>2.0803411926543199E-3</v>
      </c>
      <c r="U24" s="100">
        <v>0.27990963536122698</v>
      </c>
      <c r="V24" s="100">
        <v>2.82682737108544E-2</v>
      </c>
      <c r="W24" s="100">
        <v>5.1152712916224898E-2</v>
      </c>
      <c r="X24" s="100">
        <v>1.23141629492105E-2</v>
      </c>
      <c r="Y24" s="100">
        <v>1.0421797583050899E-2</v>
      </c>
      <c r="Z24" s="100">
        <v>3.2695139449147601E-3</v>
      </c>
      <c r="AA24" s="100">
        <v>1.4505343634499099E-2</v>
      </c>
      <c r="AB24" s="100">
        <v>3.9265634626978303E-2</v>
      </c>
      <c r="AC24" s="100">
        <v>1.54351717000396E-2</v>
      </c>
      <c r="AD24" s="100">
        <v>3.3472901617918001E-2</v>
      </c>
      <c r="AE24" s="100">
        <v>3.8127405054168102E-3</v>
      </c>
      <c r="AF24" s="100">
        <v>2.11889839649388E-3</v>
      </c>
      <c r="AG24" s="100">
        <v>7.5392178697101997E-3</v>
      </c>
      <c r="AH24" s="100">
        <v>3.7342211639237199E-3</v>
      </c>
      <c r="AI24" s="100">
        <v>4.83689908201833E-3</v>
      </c>
      <c r="AJ24" s="100">
        <v>3.8695452156538202E-3</v>
      </c>
      <c r="AK24" s="100">
        <v>2.8230550703099802E-3</v>
      </c>
      <c r="AL24" s="100">
        <v>4.4012763567252196E-3</v>
      </c>
      <c r="AM24" s="100">
        <v>4.8380350823890904E-3</v>
      </c>
      <c r="AN24" s="100">
        <v>1.6937402186993699E-2</v>
      </c>
      <c r="AO24" s="100">
        <v>1.68756659439726E-2</v>
      </c>
      <c r="AP24" s="100">
        <v>1.19183834149908E-2</v>
      </c>
      <c r="AQ24" s="100">
        <v>1.5789793181826599E-2</v>
      </c>
      <c r="AR24" s="100">
        <v>0.216730862725245</v>
      </c>
      <c r="AS24" s="100">
        <v>8.5194012313609596E-2</v>
      </c>
      <c r="AT24" s="100">
        <v>0.180505090923058</v>
      </c>
      <c r="AU24" s="100">
        <v>1.8835114499485401E-2</v>
      </c>
      <c r="AV24" s="100">
        <v>3.47855167256845E-3</v>
      </c>
      <c r="AW24" s="100">
        <v>6.1739727665703001E-3</v>
      </c>
      <c r="AX24" s="100">
        <v>1.2772737699788799E-3</v>
      </c>
      <c r="AY24" s="100">
        <v>1.7780401025833999E-3</v>
      </c>
      <c r="AZ24" s="100">
        <v>7.0876255730494995E-4</v>
      </c>
      <c r="BA24" s="100">
        <v>1.0315320632343201E-3</v>
      </c>
      <c r="BB24" s="100">
        <v>1.0633708931569799E-3</v>
      </c>
      <c r="BC24" s="100">
        <v>1.37640301041926E-4</v>
      </c>
      <c r="BD24" s="100">
        <v>2.9726546437084502E-3</v>
      </c>
      <c r="BE24" s="100">
        <v>6.8902068668639897E-3</v>
      </c>
      <c r="BF24" s="100">
        <v>1.32647660640374E-3</v>
      </c>
      <c r="BG24" s="100">
        <v>1.20267853464757E-2</v>
      </c>
      <c r="BH24" s="100">
        <v>2.0973815875828901E-3</v>
      </c>
      <c r="BI24" s="100">
        <v>1.1746660413800999E-2</v>
      </c>
      <c r="BJ24" s="100">
        <v>3.3987453006630399E-3</v>
      </c>
      <c r="BK24" s="100">
        <v>1.08798436548111E-3</v>
      </c>
      <c r="BL24" s="100">
        <v>1.1760073673989799E-3</v>
      </c>
      <c r="BM24" s="100">
        <v>7.9686939330608504E-4</v>
      </c>
      <c r="BN24" s="100">
        <v>8.95003253560687E-4</v>
      </c>
      <c r="BO24" s="100">
        <v>3.3616712615453701E-3</v>
      </c>
      <c r="BP24" s="100">
        <v>4.0222235191208497E-3</v>
      </c>
      <c r="BQ24" s="101">
        <v>0</v>
      </c>
    </row>
    <row r="25" spans="1:69" ht="15" customHeight="1" x14ac:dyDescent="0.3">
      <c r="A25" s="19" t="s">
        <v>43</v>
      </c>
      <c r="B25" s="11" t="s">
        <v>111</v>
      </c>
      <c r="C25" s="99">
        <v>2.3929651942777399E-4</v>
      </c>
      <c r="D25" s="100">
        <v>1.1737149421845599E-3</v>
      </c>
      <c r="E25" s="100">
        <v>1.3363670657750499E-4</v>
      </c>
      <c r="F25" s="100">
        <v>2.5527328208278999E-4</v>
      </c>
      <c r="G25" s="100">
        <v>2.6232409754809601E-3</v>
      </c>
      <c r="H25" s="100">
        <v>3.6677421896507999E-5</v>
      </c>
      <c r="I25" s="100">
        <v>1.4299380002368999E-4</v>
      </c>
      <c r="J25" s="100">
        <v>2.1518249023586202E-3</v>
      </c>
      <c r="K25" s="100">
        <v>5.8350916773084998E-3</v>
      </c>
      <c r="L25" s="100">
        <v>4.7348562410896404E-3</v>
      </c>
      <c r="M25" s="100">
        <v>3.16238330502228E-3</v>
      </c>
      <c r="N25" s="100">
        <v>1.5019496310714601E-5</v>
      </c>
      <c r="O25" s="100">
        <v>3.2742564035068901E-5</v>
      </c>
      <c r="P25" s="100">
        <v>2.7548651328712499E-5</v>
      </c>
      <c r="Q25" s="100">
        <v>2.66367058304904E-5</v>
      </c>
      <c r="R25" s="100">
        <v>2.2152678255138699E-3</v>
      </c>
      <c r="S25" s="100">
        <v>2.5531273109729999E-4</v>
      </c>
      <c r="T25" s="100">
        <v>4.2085570474123501E-5</v>
      </c>
      <c r="U25" s="100">
        <v>5.9587453176267999E-2</v>
      </c>
      <c r="V25" s="100">
        <v>1.8063215244377699E-2</v>
      </c>
      <c r="W25" s="100">
        <v>1.64007462627467E-3</v>
      </c>
      <c r="X25" s="100">
        <v>4.5742716556699398E-3</v>
      </c>
      <c r="Y25" s="100">
        <v>3.8301453832030902E-2</v>
      </c>
      <c r="Z25" s="100">
        <v>1.19186963229308E-2</v>
      </c>
      <c r="AA25" s="100">
        <v>3.1923194592036297E-5</v>
      </c>
      <c r="AB25" s="100">
        <v>4.5262470454742798E-5</v>
      </c>
      <c r="AC25" s="100">
        <v>3.3215540119527703E-5</v>
      </c>
      <c r="AD25" s="100">
        <v>3.5615984821249402E-5</v>
      </c>
      <c r="AE25" s="100">
        <v>3.50329889563047E-4</v>
      </c>
      <c r="AF25" s="100">
        <v>1.7325232581539901E-5</v>
      </c>
      <c r="AG25" s="100">
        <v>6.0166169331275997E-5</v>
      </c>
      <c r="AH25" s="100">
        <v>9.6396084336713601E-5</v>
      </c>
      <c r="AI25" s="100">
        <v>1.10879199470577E-4</v>
      </c>
      <c r="AJ25" s="100">
        <v>4.2881807673180898E-5</v>
      </c>
      <c r="AK25" s="100">
        <v>4.2805312183949401E-5</v>
      </c>
      <c r="AL25" s="100">
        <v>9.0232142795231802E-5</v>
      </c>
      <c r="AM25" s="100">
        <v>1.13072615457295E-4</v>
      </c>
      <c r="AN25" s="100">
        <v>3.7828423855713702E-5</v>
      </c>
      <c r="AO25" s="100">
        <v>8.6431023935508401E-4</v>
      </c>
      <c r="AP25" s="100">
        <v>8.9093375651353595E-4</v>
      </c>
      <c r="AQ25" s="100">
        <v>1.22825053948911E-3</v>
      </c>
      <c r="AR25" s="100">
        <v>2.4875407413332599E-3</v>
      </c>
      <c r="AS25" s="100">
        <v>6.5265052609931901E-4</v>
      </c>
      <c r="AT25" s="100">
        <v>1.17717053085795E-3</v>
      </c>
      <c r="AU25" s="100">
        <v>6.9773950650064097E-4</v>
      </c>
      <c r="AV25" s="100">
        <v>1.0871622543190201E-3</v>
      </c>
      <c r="AW25" s="100">
        <v>1.81508104739597E-3</v>
      </c>
      <c r="AX25" s="100">
        <v>8.46855081101467E-4</v>
      </c>
      <c r="AY25" s="100">
        <v>6.1814903624887404E-4</v>
      </c>
      <c r="AZ25" s="100">
        <v>3.50706691672123E-4</v>
      </c>
      <c r="BA25" s="100">
        <v>4.2761883067444801E-4</v>
      </c>
      <c r="BB25" s="100">
        <v>2.6634332779795799E-4</v>
      </c>
      <c r="BC25" s="100">
        <v>7.3956298013175506E-5</v>
      </c>
      <c r="BD25" s="100">
        <v>7.6669447911241603E-4</v>
      </c>
      <c r="BE25" s="100">
        <v>3.1861746829364799E-3</v>
      </c>
      <c r="BF25" s="100">
        <v>6.5438854902550702E-4</v>
      </c>
      <c r="BG25" s="100">
        <v>3.4955248479247802E-3</v>
      </c>
      <c r="BH25" s="100">
        <v>9.2199416421958399E-4</v>
      </c>
      <c r="BI25" s="100">
        <v>2.7581937933121199E-3</v>
      </c>
      <c r="BJ25" s="100">
        <v>8.8775622465109402E-4</v>
      </c>
      <c r="BK25" s="100">
        <v>2.88096191818023E-4</v>
      </c>
      <c r="BL25" s="100">
        <v>1.1708415408829299E-4</v>
      </c>
      <c r="BM25" s="100">
        <v>2.9821105941886799E-4</v>
      </c>
      <c r="BN25" s="100">
        <v>3.8388557230389897E-4</v>
      </c>
      <c r="BO25" s="100">
        <v>1.39601379880798E-3</v>
      </c>
      <c r="BP25" s="100">
        <v>1.47413541611002E-3</v>
      </c>
      <c r="BQ25" s="101">
        <v>0</v>
      </c>
    </row>
    <row r="26" spans="1:69" ht="15" customHeight="1" x14ac:dyDescent="0.3">
      <c r="A26" s="19" t="s">
        <v>44</v>
      </c>
      <c r="B26" s="32" t="s">
        <v>112</v>
      </c>
      <c r="C26" s="99">
        <v>0.13332357868523401</v>
      </c>
      <c r="D26" s="100">
        <v>3.93829251283608E-2</v>
      </c>
      <c r="E26" s="100">
        <v>1.2991913208743801E-2</v>
      </c>
      <c r="F26" s="100">
        <v>1.1722703392336499E-2</v>
      </c>
      <c r="G26" s="100">
        <v>1.20004136079193E-2</v>
      </c>
      <c r="H26" s="100">
        <v>2.0001249734691502E-3</v>
      </c>
      <c r="I26" s="100">
        <v>5.6040679833576001E-3</v>
      </c>
      <c r="J26" s="100">
        <v>1.17804364127707E-3</v>
      </c>
      <c r="K26" s="100">
        <v>5.7862856254573799E-3</v>
      </c>
      <c r="L26" s="100">
        <v>2.6189949132105002E-3</v>
      </c>
      <c r="M26" s="100">
        <v>1.52864222392526E-3</v>
      </c>
      <c r="N26" s="100">
        <v>2.0175160201416202E-3</v>
      </c>
      <c r="O26" s="100">
        <v>6.55341028336731E-2</v>
      </c>
      <c r="P26" s="100">
        <v>1.8799432508798E-3</v>
      </c>
      <c r="Q26" s="100">
        <v>3.2075314595501801E-2</v>
      </c>
      <c r="R26" s="100">
        <v>3.1561264057149797E-2</v>
      </c>
      <c r="S26" s="100">
        <v>5.4761649555822599E-2</v>
      </c>
      <c r="T26" s="100">
        <v>4.1393393983978699E-3</v>
      </c>
      <c r="U26" s="100">
        <v>4.9869846986263597E-3</v>
      </c>
      <c r="V26" s="100">
        <v>2.84776850370041E-2</v>
      </c>
      <c r="W26" s="100">
        <v>0.190529189974283</v>
      </c>
      <c r="X26" s="100">
        <v>0.14930025888647599</v>
      </c>
      <c r="Y26" s="100">
        <v>7.08100995497873E-2</v>
      </c>
      <c r="Z26" s="100">
        <v>1.8050743823176101E-2</v>
      </c>
      <c r="AA26" s="100">
        <v>0.174901942519436</v>
      </c>
      <c r="AB26" s="100">
        <v>3.2762482020182802E-2</v>
      </c>
      <c r="AC26" s="100">
        <v>7.0856059264053804E-3</v>
      </c>
      <c r="AD26" s="100">
        <v>1.42781847906354E-2</v>
      </c>
      <c r="AE26" s="100">
        <v>1.34319050318403E-2</v>
      </c>
      <c r="AF26" s="100">
        <v>1.91065117739333E-3</v>
      </c>
      <c r="AG26" s="100">
        <v>3.0522095085700598E-2</v>
      </c>
      <c r="AH26" s="100">
        <v>1.56297333602849E-3</v>
      </c>
      <c r="AI26" s="100">
        <v>9.0924823657517805E-4</v>
      </c>
      <c r="AJ26" s="100">
        <v>1.30823155057057E-2</v>
      </c>
      <c r="AK26" s="100">
        <v>8.0254203707865093E-3</v>
      </c>
      <c r="AL26" s="100">
        <v>2.8058877994627501E-2</v>
      </c>
      <c r="AM26" s="100">
        <v>2.8244055682265299E-3</v>
      </c>
      <c r="AN26" s="100">
        <v>3.8765497523688699E-4</v>
      </c>
      <c r="AO26" s="100">
        <v>1.1607010839879601E-2</v>
      </c>
      <c r="AP26" s="100">
        <v>7.2992408497309395E-4</v>
      </c>
      <c r="AQ26" s="100">
        <v>1.0455737013716901E-3</v>
      </c>
      <c r="AR26" s="100">
        <v>3.7700671647229202E-4</v>
      </c>
      <c r="AS26" s="100">
        <v>1.6165294780015401E-4</v>
      </c>
      <c r="AT26" s="100">
        <v>2.3152552030189199E-4</v>
      </c>
      <c r="AU26" s="100">
        <v>4.2964253985964201E-4</v>
      </c>
      <c r="AV26" s="100">
        <v>7.7162573861852004E-4</v>
      </c>
      <c r="AW26" s="100">
        <v>5.24197418244071E-4</v>
      </c>
      <c r="AX26" s="100">
        <v>3.7231808140512701E-4</v>
      </c>
      <c r="AY26" s="100">
        <v>3.2484702333202898E-4</v>
      </c>
      <c r="AZ26" s="100">
        <v>2.2250437341415501E-4</v>
      </c>
      <c r="BA26" s="100">
        <v>1.9389011127916099E-4</v>
      </c>
      <c r="BB26" s="100">
        <v>1.2307593840061199E-4</v>
      </c>
      <c r="BC26" s="100">
        <v>8.9010065983052806E-5</v>
      </c>
      <c r="BD26" s="100">
        <v>3.5298749370259798E-4</v>
      </c>
      <c r="BE26" s="100">
        <v>8.0917267085803995E-4</v>
      </c>
      <c r="BF26" s="100">
        <v>3.1965602826990403E-4</v>
      </c>
      <c r="BG26" s="100">
        <v>4.2984516767360698E-4</v>
      </c>
      <c r="BH26" s="100">
        <v>7.6641069766437899E-4</v>
      </c>
      <c r="BI26" s="100">
        <v>1.42907808474933E-4</v>
      </c>
      <c r="BJ26" s="100">
        <v>1.10901275151637E-4</v>
      </c>
      <c r="BK26" s="100">
        <v>2.33789432979652E-4</v>
      </c>
      <c r="BL26" s="100">
        <v>6.39420187318739E-4</v>
      </c>
      <c r="BM26" s="100">
        <v>2.5231474327343101E-3</v>
      </c>
      <c r="BN26" s="100">
        <v>2.3148984391623698E-3</v>
      </c>
      <c r="BO26" s="100">
        <v>1.6797080889601099E-3</v>
      </c>
      <c r="BP26" s="100">
        <v>2.1015374189190502E-3</v>
      </c>
      <c r="BQ26" s="101">
        <v>0</v>
      </c>
    </row>
    <row r="27" spans="1:69" ht="15" customHeight="1" x14ac:dyDescent="0.3">
      <c r="A27" s="19" t="s">
        <v>45</v>
      </c>
      <c r="B27" s="11" t="s">
        <v>113</v>
      </c>
      <c r="C27" s="99">
        <v>5.1849288990059701E-2</v>
      </c>
      <c r="D27" s="100">
        <v>1.6859994147349601E-2</v>
      </c>
      <c r="E27" s="100">
        <v>2.2459560089910799E-3</v>
      </c>
      <c r="F27" s="100">
        <v>7.8369455440137098E-2</v>
      </c>
      <c r="G27" s="100">
        <v>1.32377264839423E-3</v>
      </c>
      <c r="H27" s="100">
        <v>2.3892734523286198E-3</v>
      </c>
      <c r="I27" s="100">
        <v>5.5994709248573301E-3</v>
      </c>
      <c r="J27" s="100">
        <v>2.6486616457189601E-3</v>
      </c>
      <c r="K27" s="100">
        <v>1.0813529731252599E-3</v>
      </c>
      <c r="L27" s="100">
        <v>6.26999243177214E-3</v>
      </c>
      <c r="M27" s="100">
        <v>1.6893511524847301E-3</v>
      </c>
      <c r="N27" s="100">
        <v>4.3576789415367102E-4</v>
      </c>
      <c r="O27" s="100">
        <v>4.6921459960147897E-3</v>
      </c>
      <c r="P27" s="100">
        <v>7.5462337660335695E-4</v>
      </c>
      <c r="Q27" s="100">
        <v>4.3151397920475404E-3</v>
      </c>
      <c r="R27" s="100">
        <v>2.45116047813747E-2</v>
      </c>
      <c r="S27" s="100">
        <v>1.7096063781331799E-2</v>
      </c>
      <c r="T27" s="100">
        <v>4.2539755181752598E-2</v>
      </c>
      <c r="U27" s="100">
        <v>1.19170923994091E-3</v>
      </c>
      <c r="V27" s="100">
        <v>4.3580266779523098E-3</v>
      </c>
      <c r="W27" s="100">
        <v>1.00390049485303E-2</v>
      </c>
      <c r="X27" s="100">
        <v>9.2563320268188504E-2</v>
      </c>
      <c r="Y27" s="100">
        <v>2.9102090472479199E-2</v>
      </c>
      <c r="Z27" s="100">
        <v>1.08251491763385E-2</v>
      </c>
      <c r="AA27" s="100">
        <v>2.2086799821746099E-2</v>
      </c>
      <c r="AB27" s="100">
        <v>1.24847667368908E-2</v>
      </c>
      <c r="AC27" s="100">
        <v>1.86627471051994E-3</v>
      </c>
      <c r="AD27" s="100">
        <v>1.0066180818445599E-3</v>
      </c>
      <c r="AE27" s="100">
        <v>4.9906207931031303E-3</v>
      </c>
      <c r="AF27" s="100">
        <v>1.9804523360053301E-3</v>
      </c>
      <c r="AG27" s="100">
        <v>2.2149459182734298E-3</v>
      </c>
      <c r="AH27" s="100">
        <v>1.1010850123460601E-3</v>
      </c>
      <c r="AI27" s="100">
        <v>2.75965335843241E-3</v>
      </c>
      <c r="AJ27" s="100">
        <v>2.2559411509786402E-3</v>
      </c>
      <c r="AK27" s="100">
        <v>2.6572957804918301E-3</v>
      </c>
      <c r="AL27" s="100">
        <v>8.3205379683403899E-3</v>
      </c>
      <c r="AM27" s="100">
        <v>8.5270723831032402E-3</v>
      </c>
      <c r="AN27" s="100">
        <v>4.7703384147014202E-4</v>
      </c>
      <c r="AO27" s="100">
        <v>6.5942701069597997E-3</v>
      </c>
      <c r="AP27" s="100">
        <v>1.6108303571476999E-2</v>
      </c>
      <c r="AQ27" s="100">
        <v>2.1677981891133299E-3</v>
      </c>
      <c r="AR27" s="100">
        <v>6.6570426731711705E-4</v>
      </c>
      <c r="AS27" s="100">
        <v>7.5513884184447603E-5</v>
      </c>
      <c r="AT27" s="100">
        <v>6.5421174940087694E-5</v>
      </c>
      <c r="AU27" s="100">
        <v>4.48474681385586E-4</v>
      </c>
      <c r="AV27" s="100">
        <v>1.3873296738658E-3</v>
      </c>
      <c r="AW27" s="100">
        <v>2.7670945201173E-4</v>
      </c>
      <c r="AX27" s="100">
        <v>5.4771741992803201E-3</v>
      </c>
      <c r="AY27" s="100">
        <v>5.1738839150564497E-3</v>
      </c>
      <c r="AZ27" s="100">
        <v>1.2509268008677299E-4</v>
      </c>
      <c r="BA27" s="100">
        <v>1.09590983395226E-4</v>
      </c>
      <c r="BB27" s="100">
        <v>9.31188165073798E-5</v>
      </c>
      <c r="BC27" s="100">
        <v>2.1001825908837702E-3</v>
      </c>
      <c r="BD27" s="100">
        <v>1.5903308193308401E-4</v>
      </c>
      <c r="BE27" s="100">
        <v>6.4681779857499004E-4</v>
      </c>
      <c r="BF27" s="100">
        <v>2.8829169017141598E-4</v>
      </c>
      <c r="BG27" s="100">
        <v>3.6735706482078498E-4</v>
      </c>
      <c r="BH27" s="100">
        <v>7.2645261932231002E-3</v>
      </c>
      <c r="BI27" s="100">
        <v>8.0437506583924605E-5</v>
      </c>
      <c r="BJ27" s="100">
        <v>3.3803093679866302E-4</v>
      </c>
      <c r="BK27" s="100">
        <v>7.9164228754215204E-4</v>
      </c>
      <c r="BL27" s="100">
        <v>3.0234075934131098E-4</v>
      </c>
      <c r="BM27" s="100">
        <v>4.4225904516557698E-3</v>
      </c>
      <c r="BN27" s="100">
        <v>2.7831412888906901E-4</v>
      </c>
      <c r="BO27" s="100">
        <v>9.2132934798800704E-4</v>
      </c>
      <c r="BP27" s="100">
        <v>8.9519506882377404E-4</v>
      </c>
      <c r="BQ27" s="101">
        <v>0</v>
      </c>
    </row>
    <row r="28" spans="1:69" ht="15" customHeight="1" x14ac:dyDescent="0.3">
      <c r="A28" s="33" t="s">
        <v>46</v>
      </c>
      <c r="B28" s="11" t="s">
        <v>114</v>
      </c>
      <c r="C28" s="99">
        <v>1.23427615237863E-3</v>
      </c>
      <c r="D28" s="100">
        <v>5.9947458835549303E-4</v>
      </c>
      <c r="E28" s="100">
        <v>6.9843567650271503E-5</v>
      </c>
      <c r="F28" s="100">
        <v>2.1550963844730701E-3</v>
      </c>
      <c r="G28" s="100">
        <v>4.2757739752409101E-4</v>
      </c>
      <c r="H28" s="100">
        <v>7.9997588567275299E-4</v>
      </c>
      <c r="I28" s="100">
        <v>8.0378553188057702E-4</v>
      </c>
      <c r="J28" s="100">
        <v>3.64304223698962E-4</v>
      </c>
      <c r="K28" s="100">
        <v>3.7847830349130302E-4</v>
      </c>
      <c r="L28" s="100">
        <v>6.6383542485424205E-4</v>
      </c>
      <c r="M28" s="100">
        <v>5.0643083963925297E-4</v>
      </c>
      <c r="N28" s="100">
        <v>3.5898394209758598E-4</v>
      </c>
      <c r="O28" s="100">
        <v>1.3791718986364201E-3</v>
      </c>
      <c r="P28" s="100">
        <v>6.4206141691099496E-4</v>
      </c>
      <c r="Q28" s="100">
        <v>7.3432390897686898E-4</v>
      </c>
      <c r="R28" s="100">
        <v>1.5785219598586999E-3</v>
      </c>
      <c r="S28" s="100">
        <v>1.6637992037828E-3</v>
      </c>
      <c r="T28" s="100">
        <v>1.6580379777226301E-3</v>
      </c>
      <c r="U28" s="100">
        <v>5.2912773892666205E-4</v>
      </c>
      <c r="V28" s="100">
        <v>8.3722139856733297E-4</v>
      </c>
      <c r="W28" s="100">
        <v>3.0034248275206499E-3</v>
      </c>
      <c r="X28" s="100">
        <v>5.8670243720220097E-3</v>
      </c>
      <c r="Y28" s="100">
        <v>2.0921576458636099E-2</v>
      </c>
      <c r="Z28" s="100">
        <v>8.9216310972442103E-4</v>
      </c>
      <c r="AA28" s="100">
        <v>1.94149757943872E-3</v>
      </c>
      <c r="AB28" s="100">
        <v>1.1185038367770501E-3</v>
      </c>
      <c r="AC28" s="100">
        <v>2.3026307294712799E-4</v>
      </c>
      <c r="AD28" s="100">
        <v>6.7771912879581897E-4</v>
      </c>
      <c r="AE28" s="100">
        <v>3.5474097035323201E-3</v>
      </c>
      <c r="AF28" s="100">
        <v>3.1371376212234198E-4</v>
      </c>
      <c r="AG28" s="100">
        <v>4.3185474940752298E-4</v>
      </c>
      <c r="AH28" s="100">
        <v>3.0453431963732802E-4</v>
      </c>
      <c r="AI28" s="100">
        <v>2.2379914141487799E-4</v>
      </c>
      <c r="AJ28" s="100">
        <v>4.4011619604883499E-4</v>
      </c>
      <c r="AK28" s="100">
        <v>2.3068752577933501E-4</v>
      </c>
      <c r="AL28" s="100">
        <v>6.3093477279214298E-4</v>
      </c>
      <c r="AM28" s="100">
        <v>2.8285540514678498E-4</v>
      </c>
      <c r="AN28" s="100">
        <v>5.5833450178479E-5</v>
      </c>
      <c r="AO28" s="100">
        <v>9.2336689601356598E-4</v>
      </c>
      <c r="AP28" s="100">
        <v>4.9135269531896302E-4</v>
      </c>
      <c r="AQ28" s="100">
        <v>1.59995186032983E-3</v>
      </c>
      <c r="AR28" s="100">
        <v>6.4085503443017298E-4</v>
      </c>
      <c r="AS28" s="100">
        <v>4.0463619036242498E-4</v>
      </c>
      <c r="AT28" s="100">
        <v>1.54731659973566E-5</v>
      </c>
      <c r="AU28" s="100">
        <v>9.4054630889659602E-4</v>
      </c>
      <c r="AV28" s="100">
        <v>2.5606983209508099E-3</v>
      </c>
      <c r="AW28" s="100">
        <v>3.3485883394419999E-4</v>
      </c>
      <c r="AX28" s="100">
        <v>1.1344767238403201E-3</v>
      </c>
      <c r="AY28" s="100">
        <v>1.0950224224415999E-3</v>
      </c>
      <c r="AZ28" s="100">
        <v>5.9506797027195297E-4</v>
      </c>
      <c r="BA28" s="100">
        <v>1.0059205872551E-4</v>
      </c>
      <c r="BB28" s="100">
        <v>6.8803918194030599E-5</v>
      </c>
      <c r="BC28" s="100">
        <v>3.9251085581217901E-5</v>
      </c>
      <c r="BD28" s="100">
        <v>1.0268702230143199E-3</v>
      </c>
      <c r="BE28" s="100">
        <v>1.4114549219714E-3</v>
      </c>
      <c r="BF28" s="100">
        <v>1.8695281297279999E-3</v>
      </c>
      <c r="BG28" s="100">
        <v>1.6039393729539301E-3</v>
      </c>
      <c r="BH28" s="100">
        <v>6.4661341849540296E-3</v>
      </c>
      <c r="BI28" s="100">
        <v>5.1733102259664902E-5</v>
      </c>
      <c r="BJ28" s="100">
        <v>3.1292080478523499E-4</v>
      </c>
      <c r="BK28" s="100">
        <v>5.3595593220376802E-4</v>
      </c>
      <c r="BL28" s="100">
        <v>1.39576010082142E-3</v>
      </c>
      <c r="BM28" s="100">
        <v>7.3947936142483496E-4</v>
      </c>
      <c r="BN28" s="100">
        <v>2.57443217382045E-3</v>
      </c>
      <c r="BO28" s="100">
        <v>4.6852395022911799E-3</v>
      </c>
      <c r="BP28" s="100">
        <v>6.0219154662612996E-3</v>
      </c>
      <c r="BQ28" s="101">
        <v>0</v>
      </c>
    </row>
    <row r="29" spans="1:69" ht="15" customHeight="1" x14ac:dyDescent="0.3">
      <c r="A29" s="33" t="s">
        <v>47</v>
      </c>
      <c r="B29" s="11" t="s">
        <v>115</v>
      </c>
      <c r="C29" s="99">
        <v>8.9265198736826804E-4</v>
      </c>
      <c r="D29" s="100">
        <v>1.39043733281354E-2</v>
      </c>
      <c r="E29" s="100">
        <v>5.14824407535438E-4</v>
      </c>
      <c r="F29" s="100">
        <v>2.8249801095628E-4</v>
      </c>
      <c r="G29" s="100">
        <v>2.6130667338091298E-4</v>
      </c>
      <c r="H29" s="100">
        <v>8.0415982120089595E-5</v>
      </c>
      <c r="I29" s="100">
        <v>7.2170222697370305E-5</v>
      </c>
      <c r="J29" s="100">
        <v>3.10210088871227E-4</v>
      </c>
      <c r="K29" s="100">
        <v>3.4988642321083899E-5</v>
      </c>
      <c r="L29" s="100">
        <v>8.5985204198973605E-4</v>
      </c>
      <c r="M29" s="100">
        <v>1.18939616012106E-4</v>
      </c>
      <c r="N29" s="100">
        <v>7.5471188327176902E-5</v>
      </c>
      <c r="O29" s="100">
        <v>1.4486324765189201E-4</v>
      </c>
      <c r="P29" s="100">
        <v>1.17168323203301E-4</v>
      </c>
      <c r="Q29" s="100">
        <v>1.2576303572153799E-4</v>
      </c>
      <c r="R29" s="100">
        <v>1.2303266297433699E-4</v>
      </c>
      <c r="S29" s="100">
        <v>1.71863561475374E-4</v>
      </c>
      <c r="T29" s="100">
        <v>1.11795032751177E-4</v>
      </c>
      <c r="U29" s="100">
        <v>8.1941433173020108E-6</v>
      </c>
      <c r="V29" s="100">
        <v>1.9780921157401001E-4</v>
      </c>
      <c r="W29" s="100">
        <v>6.3713876278190902E-4</v>
      </c>
      <c r="X29" s="100">
        <v>1.6559414252765301E-3</v>
      </c>
      <c r="Y29" s="100">
        <v>7.7069494293241297E-4</v>
      </c>
      <c r="Z29" s="100">
        <v>1.4298928685277001E-2</v>
      </c>
      <c r="AA29" s="100">
        <v>2.39499655425835E-4</v>
      </c>
      <c r="AB29" s="100">
        <v>9.5751815782275498E-5</v>
      </c>
      <c r="AC29" s="100">
        <v>5.6894195510317999E-5</v>
      </c>
      <c r="AD29" s="100">
        <v>1.1219203203146E-4</v>
      </c>
      <c r="AE29" s="100">
        <v>1.3561284674660601E-4</v>
      </c>
      <c r="AF29" s="100">
        <v>7.7708367224488999E-5</v>
      </c>
      <c r="AG29" s="100">
        <v>1.13968568100723E-4</v>
      </c>
      <c r="AH29" s="100">
        <v>9.6765034168984305E-5</v>
      </c>
      <c r="AI29" s="100">
        <v>8.6420974301326903E-5</v>
      </c>
      <c r="AJ29" s="100">
        <v>8.8440637257763594E-5</v>
      </c>
      <c r="AK29" s="100">
        <v>5.6814591764055999E-5</v>
      </c>
      <c r="AL29" s="100">
        <v>1.20895517029753E-4</v>
      </c>
      <c r="AM29" s="100">
        <v>6.5888852572208202E-5</v>
      </c>
      <c r="AN29" s="100">
        <v>1.3562163238882399E-5</v>
      </c>
      <c r="AO29" s="100">
        <v>6.2341146767094305E-5</v>
      </c>
      <c r="AP29" s="100">
        <v>4.59557734181589E-5</v>
      </c>
      <c r="AQ29" s="100">
        <v>1.6490020174203201E-4</v>
      </c>
      <c r="AR29" s="100">
        <v>4.9110260620457197E-5</v>
      </c>
      <c r="AS29" s="100">
        <v>3.0334039129441601E-5</v>
      </c>
      <c r="AT29" s="100">
        <v>1.66654946047929E-5</v>
      </c>
      <c r="AU29" s="100">
        <v>7.2433009850330705E-5</v>
      </c>
      <c r="AV29" s="100">
        <v>1.9294921793214099E-4</v>
      </c>
      <c r="AW29" s="100">
        <v>2.02542358872034E-4</v>
      </c>
      <c r="AX29" s="100">
        <v>6.9153966703708897E-5</v>
      </c>
      <c r="AY29" s="100">
        <v>5.4989292113909503E-5</v>
      </c>
      <c r="AZ29" s="100">
        <v>5.4256532368821597E-5</v>
      </c>
      <c r="BA29" s="100">
        <v>4.6186074084439797E-5</v>
      </c>
      <c r="BB29" s="100">
        <v>1.87274010598777E-5</v>
      </c>
      <c r="BC29" s="100">
        <v>6.67408457044512E-6</v>
      </c>
      <c r="BD29" s="100">
        <v>6.7001412855425294E-5</v>
      </c>
      <c r="BE29" s="100">
        <v>3.7415662408552902E-4</v>
      </c>
      <c r="BF29" s="100">
        <v>6.3498058858962197E-4</v>
      </c>
      <c r="BG29" s="100">
        <v>9.6882809920555005E-5</v>
      </c>
      <c r="BH29" s="100">
        <v>1.7819435979217599E-4</v>
      </c>
      <c r="BI29" s="100">
        <v>2.1789343390032501E-5</v>
      </c>
      <c r="BJ29" s="100">
        <v>1.02832119458296E-3</v>
      </c>
      <c r="BK29" s="100">
        <v>9.8597839241910197E-4</v>
      </c>
      <c r="BL29" s="100">
        <v>1.5631197681669001E-3</v>
      </c>
      <c r="BM29" s="100">
        <v>3.27282057370306E-2</v>
      </c>
      <c r="BN29" s="100">
        <v>2.2177639182813302E-2</v>
      </c>
      <c r="BO29" s="100">
        <v>4.2054484272966097E-4</v>
      </c>
      <c r="BP29" s="100">
        <v>4.0384794128490997E-3</v>
      </c>
      <c r="BQ29" s="101">
        <v>0</v>
      </c>
    </row>
    <row r="30" spans="1:69" ht="15" customHeight="1" x14ac:dyDescent="0.3">
      <c r="A30" s="33" t="s">
        <v>48</v>
      </c>
      <c r="B30" s="11" t="s">
        <v>116</v>
      </c>
      <c r="C30" s="99">
        <v>1.6939411498383399E-3</v>
      </c>
      <c r="D30" s="100">
        <v>1.3864667333111601E-3</v>
      </c>
      <c r="E30" s="100">
        <v>1.5340936038609201E-3</v>
      </c>
      <c r="F30" s="100">
        <v>7.9511123073140004E-3</v>
      </c>
      <c r="G30" s="100">
        <v>8.2799508425335797E-4</v>
      </c>
      <c r="H30" s="100">
        <v>5.7273440434352603E-3</v>
      </c>
      <c r="I30" s="100">
        <v>3.2109825528531099E-3</v>
      </c>
      <c r="J30" s="100">
        <v>1.13350853128253E-2</v>
      </c>
      <c r="K30" s="100">
        <v>5.0306832525570701E-3</v>
      </c>
      <c r="L30" s="100">
        <v>2.6765513617293499E-2</v>
      </c>
      <c r="M30" s="100">
        <v>4.5980110830946101E-2</v>
      </c>
      <c r="N30" s="100">
        <v>8.5880410208509701E-4</v>
      </c>
      <c r="O30" s="100">
        <v>6.4194752869450597E-3</v>
      </c>
      <c r="P30" s="100">
        <v>3.2187521039918001E-3</v>
      </c>
      <c r="Q30" s="100">
        <v>1.62608187147339E-2</v>
      </c>
      <c r="R30" s="100">
        <v>1.1905466576415299E-2</v>
      </c>
      <c r="S30" s="100">
        <v>1.03127536783053E-2</v>
      </c>
      <c r="T30" s="100">
        <v>4.9645176887680699E-2</v>
      </c>
      <c r="U30" s="100">
        <v>2.8850201878412697E-4</v>
      </c>
      <c r="V30" s="100">
        <v>1.2667416586419501E-3</v>
      </c>
      <c r="W30" s="100">
        <v>1.02231870989293E-2</v>
      </c>
      <c r="X30" s="100">
        <v>9.80366630734676E-3</v>
      </c>
      <c r="Y30" s="100">
        <v>3.8954187366488702E-2</v>
      </c>
      <c r="Z30" s="100">
        <v>7.8325856393859899E-3</v>
      </c>
      <c r="AA30" s="100">
        <v>0.11827273944052299</v>
      </c>
      <c r="AB30" s="100">
        <v>2.60485675571374E-2</v>
      </c>
      <c r="AC30" s="100">
        <v>2.4768136942772199E-3</v>
      </c>
      <c r="AD30" s="100">
        <v>9.9185765694286389E-4</v>
      </c>
      <c r="AE30" s="100">
        <v>8.0516451768043694E-3</v>
      </c>
      <c r="AF30" s="100">
        <v>1.04017599672861E-2</v>
      </c>
      <c r="AG30" s="100">
        <v>2.1953965856479601E-2</v>
      </c>
      <c r="AH30" s="100">
        <v>1.45694427796953E-2</v>
      </c>
      <c r="AI30" s="100">
        <v>4.7802101106727397E-2</v>
      </c>
      <c r="AJ30" s="100">
        <v>3.2978613427850599E-2</v>
      </c>
      <c r="AK30" s="100">
        <v>2.11352911866169E-2</v>
      </c>
      <c r="AL30" s="100">
        <v>3.4642955614575498E-2</v>
      </c>
      <c r="AM30" s="100">
        <v>1.7428284752152998E-2</v>
      </c>
      <c r="AN30" s="100">
        <v>1.00677922819952E-3</v>
      </c>
      <c r="AO30" s="100">
        <v>1.15122941757296E-2</v>
      </c>
      <c r="AP30" s="100">
        <v>3.1432682438521001E-2</v>
      </c>
      <c r="AQ30" s="100">
        <v>7.6249856725208801E-3</v>
      </c>
      <c r="AR30" s="100">
        <v>1.9147604958000101E-2</v>
      </c>
      <c r="AS30" s="100">
        <v>1.88560305694233E-4</v>
      </c>
      <c r="AT30" s="100">
        <v>2.53302830269952E-2</v>
      </c>
      <c r="AU30" s="100">
        <v>1.43504373837776E-3</v>
      </c>
      <c r="AV30" s="100">
        <v>1.3281768896469201E-3</v>
      </c>
      <c r="AW30" s="100">
        <v>2.3430440821033899E-3</v>
      </c>
      <c r="AX30" s="100">
        <v>9.0431328965723799E-4</v>
      </c>
      <c r="AY30" s="100">
        <v>2.2112161084804501E-4</v>
      </c>
      <c r="AZ30" s="100">
        <v>1.83733965968458E-4</v>
      </c>
      <c r="BA30" s="100">
        <v>2.0351377814358001E-4</v>
      </c>
      <c r="BB30" s="100">
        <v>1.8834028199709999E-4</v>
      </c>
      <c r="BC30" s="100">
        <v>3.1580359796256599E-4</v>
      </c>
      <c r="BD30" s="100">
        <v>2.22966852581919E-3</v>
      </c>
      <c r="BE30" s="100">
        <v>5.3299818650993697E-4</v>
      </c>
      <c r="BF30" s="100">
        <v>3.7188200457277302E-4</v>
      </c>
      <c r="BG30" s="100">
        <v>6.8370389869330103E-3</v>
      </c>
      <c r="BH30" s="100">
        <v>2.42010661173665E-3</v>
      </c>
      <c r="BI30" s="100">
        <v>1.19486771462692E-4</v>
      </c>
      <c r="BJ30" s="100">
        <v>2.58345276432974E-4</v>
      </c>
      <c r="BK30" s="100">
        <v>6.2971147310524197E-4</v>
      </c>
      <c r="BL30" s="100">
        <v>4.8012453336046898E-4</v>
      </c>
      <c r="BM30" s="100">
        <v>3.9748376012964902E-3</v>
      </c>
      <c r="BN30" s="100">
        <v>1.6253608040831999E-3</v>
      </c>
      <c r="BO30" s="100">
        <v>1.18905590993406E-3</v>
      </c>
      <c r="BP30" s="100">
        <v>1.1766272602535201E-3</v>
      </c>
      <c r="BQ30" s="101">
        <v>0</v>
      </c>
    </row>
    <row r="31" spans="1:69" ht="15" customHeight="1" x14ac:dyDescent="0.3">
      <c r="A31" s="33" t="s">
        <v>49</v>
      </c>
      <c r="B31" s="11" t="s">
        <v>117</v>
      </c>
      <c r="C31" s="99">
        <v>5.1338919555493599E-3</v>
      </c>
      <c r="D31" s="100">
        <v>9.1371916937676798E-3</v>
      </c>
      <c r="E31" s="100">
        <v>1.6159985428827899E-3</v>
      </c>
      <c r="F31" s="100">
        <v>4.0350837670740103E-3</v>
      </c>
      <c r="G31" s="100">
        <v>3.27313292629356E-4</v>
      </c>
      <c r="H31" s="100">
        <v>1.60561775227963E-4</v>
      </c>
      <c r="I31" s="100">
        <v>5.6981358664080696E-4</v>
      </c>
      <c r="J31" s="100">
        <v>1.47373202899394E-4</v>
      </c>
      <c r="K31" s="100">
        <v>2.43590691300722E-3</v>
      </c>
      <c r="L31" s="100">
        <v>5.0625757638986003E-3</v>
      </c>
      <c r="M31" s="100">
        <v>2.91675258578049E-2</v>
      </c>
      <c r="N31" s="100">
        <v>1.30863671719377E-4</v>
      </c>
      <c r="O31" s="100">
        <v>5.5143949621778098E-4</v>
      </c>
      <c r="P31" s="100">
        <v>1.38354061051639E-3</v>
      </c>
      <c r="Q31" s="100">
        <v>5.67867253922433E-4</v>
      </c>
      <c r="R31" s="100">
        <v>4.3132908938689599E-4</v>
      </c>
      <c r="S31" s="100">
        <v>2.6889653223253198E-3</v>
      </c>
      <c r="T31" s="100">
        <v>8.5545430527546405E-4</v>
      </c>
      <c r="U31" s="100">
        <v>3.10742891703286E-5</v>
      </c>
      <c r="V31" s="100">
        <v>3.3173885925485898E-4</v>
      </c>
      <c r="W31" s="100">
        <v>3.5613072789491499E-3</v>
      </c>
      <c r="X31" s="100">
        <v>2.6007619000606198E-3</v>
      </c>
      <c r="Y31" s="100">
        <v>8.0877589763485198E-3</v>
      </c>
      <c r="Z31" s="100">
        <v>1.082908729615E-3</v>
      </c>
      <c r="AA31" s="100">
        <v>3.6397108179621099E-3</v>
      </c>
      <c r="AB31" s="100">
        <v>9.98323933033161E-2</v>
      </c>
      <c r="AC31" s="100">
        <v>1.54565646982017E-3</v>
      </c>
      <c r="AD31" s="100">
        <v>4.1310818062775801E-4</v>
      </c>
      <c r="AE31" s="100">
        <v>1.3828275607867899E-3</v>
      </c>
      <c r="AF31" s="100">
        <v>1.7135372913800199E-4</v>
      </c>
      <c r="AG31" s="100">
        <v>4.0320452243744198E-3</v>
      </c>
      <c r="AH31" s="100">
        <v>1.64386412299275E-3</v>
      </c>
      <c r="AI31" s="100">
        <v>1.1615959732974499E-2</v>
      </c>
      <c r="AJ31" s="100">
        <v>1.6463173613491E-3</v>
      </c>
      <c r="AK31" s="100">
        <v>3.2990421792128501E-3</v>
      </c>
      <c r="AL31" s="100">
        <v>7.1499398548726398E-3</v>
      </c>
      <c r="AM31" s="100">
        <v>2.7702639352570899E-3</v>
      </c>
      <c r="AN31" s="100">
        <v>4.4355318699593697E-3</v>
      </c>
      <c r="AO31" s="100">
        <v>1.6049217201793701E-2</v>
      </c>
      <c r="AP31" s="100">
        <v>9.6428155185761505E-2</v>
      </c>
      <c r="AQ31" s="100">
        <v>4.7288396977166098E-4</v>
      </c>
      <c r="AR31" s="100">
        <v>1.32975180919277E-4</v>
      </c>
      <c r="AS31" s="100">
        <v>6.2010525505594102E-5</v>
      </c>
      <c r="AT31" s="100">
        <v>2.61472361585558E-5</v>
      </c>
      <c r="AU31" s="100">
        <v>2.7944982640853901E-4</v>
      </c>
      <c r="AV31" s="100">
        <v>9.4320648891166696E-3</v>
      </c>
      <c r="AW31" s="100">
        <v>3.5180135874727102E-3</v>
      </c>
      <c r="AX31" s="100">
        <v>2.2283917711913499E-4</v>
      </c>
      <c r="AY31" s="100">
        <v>1.63217264249217E-4</v>
      </c>
      <c r="AZ31" s="100">
        <v>1.01503393726121E-4</v>
      </c>
      <c r="BA31" s="100">
        <v>9.6089285819983398E-5</v>
      </c>
      <c r="BB31" s="100">
        <v>5.5039653903018998E-5</v>
      </c>
      <c r="BC31" s="100">
        <v>3.0276960268393401E-3</v>
      </c>
      <c r="BD31" s="100">
        <v>1.5486852659471299E-4</v>
      </c>
      <c r="BE31" s="100">
        <v>2.9880741699142598E-4</v>
      </c>
      <c r="BF31" s="100">
        <v>1.11055989024239E-4</v>
      </c>
      <c r="BG31" s="100">
        <v>1.4920965049887899E-4</v>
      </c>
      <c r="BH31" s="100">
        <v>4.5381296420109901E-4</v>
      </c>
      <c r="BI31" s="100">
        <v>6.1677771549759506E-5</v>
      </c>
      <c r="BJ31" s="100">
        <v>5.5110462701956297E-4</v>
      </c>
      <c r="BK31" s="100">
        <v>4.6160259880968497E-4</v>
      </c>
      <c r="BL31" s="100">
        <v>2.76425549830992E-4</v>
      </c>
      <c r="BM31" s="100">
        <v>1.18754493786742E-3</v>
      </c>
      <c r="BN31" s="100">
        <v>5.0249991893689197E-4</v>
      </c>
      <c r="BO31" s="100">
        <v>7.1552679469068399E-4</v>
      </c>
      <c r="BP31" s="100">
        <v>1.9645827849982399E-3</v>
      </c>
      <c r="BQ31" s="101">
        <v>0</v>
      </c>
    </row>
    <row r="32" spans="1:69" ht="15" customHeight="1" x14ac:dyDescent="0.3">
      <c r="A32" s="33" t="s">
        <v>50</v>
      </c>
      <c r="B32" s="11" t="s">
        <v>118</v>
      </c>
      <c r="C32" s="99">
        <v>5.8892521668731503E-4</v>
      </c>
      <c r="D32" s="100">
        <v>2.4637459774453502E-3</v>
      </c>
      <c r="E32" s="100">
        <v>8.2703775168292595E-4</v>
      </c>
      <c r="F32" s="100">
        <v>8.6443676845924002E-3</v>
      </c>
      <c r="G32" s="100">
        <v>6.1197205465945703E-2</v>
      </c>
      <c r="H32" s="100">
        <v>9.49693510496027E-4</v>
      </c>
      <c r="I32" s="100">
        <v>6.7379497626014603E-3</v>
      </c>
      <c r="J32" s="100">
        <v>1.88280020293834E-3</v>
      </c>
      <c r="K32" s="100">
        <v>2.6611811986562998E-4</v>
      </c>
      <c r="L32" s="100">
        <v>1.13484036505309E-3</v>
      </c>
      <c r="M32" s="100">
        <v>4.9748025682733897E-3</v>
      </c>
      <c r="N32" s="100">
        <v>1.79794714750382E-4</v>
      </c>
      <c r="O32" s="100">
        <v>5.4455891377987002E-4</v>
      </c>
      <c r="P32" s="100">
        <v>1.8610695464926801E-4</v>
      </c>
      <c r="Q32" s="100">
        <v>3.6370049746351001E-4</v>
      </c>
      <c r="R32" s="100">
        <v>1.23694294414782E-3</v>
      </c>
      <c r="S32" s="100">
        <v>3.9734997252504501E-3</v>
      </c>
      <c r="T32" s="100">
        <v>7.9959973301475297E-4</v>
      </c>
      <c r="U32" s="100">
        <v>1.85364915402945E-4</v>
      </c>
      <c r="V32" s="100">
        <v>2.5116282372709899E-4</v>
      </c>
      <c r="W32" s="100">
        <v>9.0451028553230903E-4</v>
      </c>
      <c r="X32" s="100">
        <v>1.63407679573532E-3</v>
      </c>
      <c r="Y32" s="100">
        <v>2.43367349527934E-3</v>
      </c>
      <c r="Z32" s="100">
        <v>4.5972458105763197E-4</v>
      </c>
      <c r="AA32" s="100">
        <v>1.2840426375957101E-2</v>
      </c>
      <c r="AB32" s="100">
        <v>1.47265437046463E-2</v>
      </c>
      <c r="AC32" s="100">
        <v>9.6248308814860406E-2</v>
      </c>
      <c r="AD32" s="100">
        <v>1.83997964677425E-2</v>
      </c>
      <c r="AE32" s="100">
        <v>0.25539404451311198</v>
      </c>
      <c r="AF32" s="100">
        <v>1.5825193771682299E-3</v>
      </c>
      <c r="AG32" s="100">
        <v>5.1332218147420797E-2</v>
      </c>
      <c r="AH32" s="100">
        <v>9.5854132372479695E-2</v>
      </c>
      <c r="AI32" s="100">
        <v>4.7550349626830003E-2</v>
      </c>
      <c r="AJ32" s="100">
        <v>0.122726714264889</v>
      </c>
      <c r="AK32" s="100">
        <v>3.0267739622847799E-2</v>
      </c>
      <c r="AL32" s="100">
        <v>2.7471528122627799E-2</v>
      </c>
      <c r="AM32" s="100">
        <v>2.4573462237727401E-2</v>
      </c>
      <c r="AN32" s="100">
        <v>1.14492144799183E-3</v>
      </c>
      <c r="AO32" s="100">
        <v>2.9797146081762299E-3</v>
      </c>
      <c r="AP32" s="100">
        <v>3.5093107642569302E-2</v>
      </c>
      <c r="AQ32" s="100">
        <v>2.5490474127097601E-3</v>
      </c>
      <c r="AR32" s="100">
        <v>2.07210594768957E-4</v>
      </c>
      <c r="AS32" s="100">
        <v>6.20982030753784E-5</v>
      </c>
      <c r="AT32" s="100">
        <v>4.3850269879382102E-5</v>
      </c>
      <c r="AU32" s="100">
        <v>3.7509291209421601E-4</v>
      </c>
      <c r="AV32" s="100">
        <v>6.0459862010471999E-4</v>
      </c>
      <c r="AW32" s="100">
        <v>4.0648858337804199E-4</v>
      </c>
      <c r="AX32" s="100">
        <v>1.3977454063844599E-4</v>
      </c>
      <c r="AY32" s="100">
        <v>1.5668321796090301E-4</v>
      </c>
      <c r="AZ32" s="100">
        <v>1.71286290665374E-4</v>
      </c>
      <c r="BA32" s="100">
        <v>4.1752575629467302E-4</v>
      </c>
      <c r="BB32" s="100">
        <v>9.4570974887496696E-5</v>
      </c>
      <c r="BC32" s="100">
        <v>6.2128642151099505E-5</v>
      </c>
      <c r="BD32" s="100">
        <v>2.7375807568470203E-4</v>
      </c>
      <c r="BE32" s="100">
        <v>5.7368534495762398E-4</v>
      </c>
      <c r="BF32" s="100">
        <v>1.5026871260533699E-4</v>
      </c>
      <c r="BG32" s="100">
        <v>6.1390676981318499E-3</v>
      </c>
      <c r="BH32" s="100">
        <v>2.4422445174614301E-4</v>
      </c>
      <c r="BI32" s="100">
        <v>2.9464952394620301E-4</v>
      </c>
      <c r="BJ32" s="100">
        <v>2.9819382698036801E-4</v>
      </c>
      <c r="BK32" s="100">
        <v>1.39145871370873E-4</v>
      </c>
      <c r="BL32" s="100">
        <v>4.9252272461476198E-4</v>
      </c>
      <c r="BM32" s="100">
        <v>1.9926189646683599E-4</v>
      </c>
      <c r="BN32" s="100">
        <v>1.19553438899431E-4</v>
      </c>
      <c r="BO32" s="100">
        <v>1.24806404950246E-3</v>
      </c>
      <c r="BP32" s="100">
        <v>3.1475336305691897E-4</v>
      </c>
      <c r="BQ32" s="101">
        <v>0</v>
      </c>
    </row>
    <row r="33" spans="1:69" ht="15" customHeight="1" x14ac:dyDescent="0.3">
      <c r="A33" s="33" t="s">
        <v>51</v>
      </c>
      <c r="B33" s="11" t="s">
        <v>119</v>
      </c>
      <c r="C33" s="99">
        <v>4.2888255900209202E-4</v>
      </c>
      <c r="D33" s="100">
        <v>3.1919793108237902E-4</v>
      </c>
      <c r="E33" s="100">
        <v>1.06077937999507E-4</v>
      </c>
      <c r="F33" s="100">
        <v>2.7124614009521201E-4</v>
      </c>
      <c r="G33" s="100">
        <v>5.6691855883254797E-4</v>
      </c>
      <c r="H33" s="100">
        <v>3.1629765031469603E-4</v>
      </c>
      <c r="I33" s="100">
        <v>5.0807466738282204E-3</v>
      </c>
      <c r="J33" s="100">
        <v>1.0721782927647599E-3</v>
      </c>
      <c r="K33" s="100">
        <v>1.99539353082879E-4</v>
      </c>
      <c r="L33" s="100">
        <v>1.5595192707966001E-3</v>
      </c>
      <c r="M33" s="100">
        <v>1.3986441487532199E-3</v>
      </c>
      <c r="N33" s="100">
        <v>1.22467407695185E-4</v>
      </c>
      <c r="O33" s="100">
        <v>2.4900903111073602E-4</v>
      </c>
      <c r="P33" s="100">
        <v>1.6444657003126701E-4</v>
      </c>
      <c r="Q33" s="100">
        <v>2.5613277284378198E-4</v>
      </c>
      <c r="R33" s="100">
        <v>3.0813115230654201E-4</v>
      </c>
      <c r="S33" s="100">
        <v>3.9618880951732697E-3</v>
      </c>
      <c r="T33" s="100">
        <v>1.32405528786801E-2</v>
      </c>
      <c r="U33" s="100">
        <v>3.1558494564684099E-5</v>
      </c>
      <c r="V33" s="100">
        <v>1.17880095908862E-4</v>
      </c>
      <c r="W33" s="100">
        <v>4.9218352718761998E-3</v>
      </c>
      <c r="X33" s="100">
        <v>3.4089986097177601E-3</v>
      </c>
      <c r="Y33" s="100">
        <v>1.3499770959610701E-3</v>
      </c>
      <c r="Z33" s="100">
        <v>4.09519444852095E-4</v>
      </c>
      <c r="AA33" s="100">
        <v>9.9382976754867208E-4</v>
      </c>
      <c r="AB33" s="100">
        <v>1.82056156673196E-3</v>
      </c>
      <c r="AC33" s="100">
        <v>8.5991240875288293E-3</v>
      </c>
      <c r="AD33" s="100">
        <v>0.139707648447391</v>
      </c>
      <c r="AE33" s="100">
        <v>1.82635602704696E-2</v>
      </c>
      <c r="AF33" s="100">
        <v>1.42379148536513E-3</v>
      </c>
      <c r="AG33" s="100">
        <v>6.3285281161108695E-2</v>
      </c>
      <c r="AH33" s="100">
        <v>1.3122562203831E-2</v>
      </c>
      <c r="AI33" s="100">
        <v>4.3996425758486002E-3</v>
      </c>
      <c r="AJ33" s="100">
        <v>3.7889050015076302E-2</v>
      </c>
      <c r="AK33" s="100">
        <v>1.8822055811569E-2</v>
      </c>
      <c r="AL33" s="100">
        <v>2.40835338699751E-2</v>
      </c>
      <c r="AM33" s="100">
        <v>1.6204698109716201E-2</v>
      </c>
      <c r="AN33" s="100">
        <v>1.99257479830978E-4</v>
      </c>
      <c r="AO33" s="100">
        <v>1.7432146480032499E-3</v>
      </c>
      <c r="AP33" s="100">
        <v>3.5361898259130302E-3</v>
      </c>
      <c r="AQ33" s="100">
        <v>9.2873623562639296E-4</v>
      </c>
      <c r="AR33" s="100">
        <v>1.9180915683655799E-4</v>
      </c>
      <c r="AS33" s="100">
        <v>7.8793217674987901E-5</v>
      </c>
      <c r="AT33" s="100">
        <v>4.7608206344685901E-5</v>
      </c>
      <c r="AU33" s="100">
        <v>3.3910368944321199E-4</v>
      </c>
      <c r="AV33" s="100">
        <v>6.0348134331137304E-4</v>
      </c>
      <c r="AW33" s="100">
        <v>3.3061878314335201E-4</v>
      </c>
      <c r="AX33" s="100">
        <v>2.0703648081924701E-4</v>
      </c>
      <c r="AY33" s="100">
        <v>1.7762495513645301E-4</v>
      </c>
      <c r="AZ33" s="100">
        <v>1.97888086232829E-4</v>
      </c>
      <c r="BA33" s="100">
        <v>1.72472310543051E-4</v>
      </c>
      <c r="BB33" s="100">
        <v>1.11637177665425E-4</v>
      </c>
      <c r="BC33" s="100">
        <v>7.9251084346118202E-5</v>
      </c>
      <c r="BD33" s="100">
        <v>3.0393128006731403E-4</v>
      </c>
      <c r="BE33" s="100">
        <v>2.1880605147443701E-4</v>
      </c>
      <c r="BF33" s="100">
        <v>1.94182073993224E-4</v>
      </c>
      <c r="BG33" s="100">
        <v>2.3021918836292301E-4</v>
      </c>
      <c r="BH33" s="100">
        <v>2.1832441939241901E-4</v>
      </c>
      <c r="BI33" s="100">
        <v>1.6914792058950301E-4</v>
      </c>
      <c r="BJ33" s="100">
        <v>7.8252658122102898E-5</v>
      </c>
      <c r="BK33" s="100">
        <v>4.47832524882441E-5</v>
      </c>
      <c r="BL33" s="100">
        <v>5.8181247801806298E-4</v>
      </c>
      <c r="BM33" s="100">
        <v>1.6655065412519599E-4</v>
      </c>
      <c r="BN33" s="100">
        <v>2.4825113386884001E-4</v>
      </c>
      <c r="BO33" s="100">
        <v>1.46511860370925E-3</v>
      </c>
      <c r="BP33" s="100">
        <v>4.2295140641438101E-4</v>
      </c>
      <c r="BQ33" s="101">
        <v>0</v>
      </c>
    </row>
    <row r="34" spans="1:69" ht="15" customHeight="1" x14ac:dyDescent="0.3">
      <c r="A34" s="33" t="s">
        <v>52</v>
      </c>
      <c r="B34" s="11" t="s">
        <v>120</v>
      </c>
      <c r="C34" s="99">
        <v>8.7395825120834502E-4</v>
      </c>
      <c r="D34" s="100">
        <v>3.1675166654585498E-3</v>
      </c>
      <c r="E34" s="100">
        <v>1.5435631935795801E-3</v>
      </c>
      <c r="F34" s="100">
        <v>3.9978875894402703E-3</v>
      </c>
      <c r="G34" s="100">
        <v>9.7294566693243798E-3</v>
      </c>
      <c r="H34" s="100">
        <v>1.21349059804527E-2</v>
      </c>
      <c r="I34" s="100">
        <v>1.51304247393842E-2</v>
      </c>
      <c r="J34" s="100">
        <v>1.23869366826314E-2</v>
      </c>
      <c r="K34" s="100">
        <v>2.78699335509878E-3</v>
      </c>
      <c r="L34" s="100">
        <v>1.0134493165530899E-2</v>
      </c>
      <c r="M34" s="100">
        <v>7.5185673248826898E-2</v>
      </c>
      <c r="N34" s="100">
        <v>2.1999952964804098E-3</v>
      </c>
      <c r="O34" s="100">
        <v>1.7693952192429001E-3</v>
      </c>
      <c r="P34" s="100">
        <v>1.7559983247966899E-3</v>
      </c>
      <c r="Q34" s="100">
        <v>1.7195366010712299E-3</v>
      </c>
      <c r="R34" s="100">
        <v>1.39783833058596E-2</v>
      </c>
      <c r="S34" s="100">
        <v>2.2322131872100298E-3</v>
      </c>
      <c r="T34" s="100">
        <v>1.9626405633449101E-3</v>
      </c>
      <c r="U34" s="100">
        <v>1.33761028708305E-3</v>
      </c>
      <c r="V34" s="100">
        <v>1.99689540187986E-3</v>
      </c>
      <c r="W34" s="100">
        <v>3.9410611680268303E-3</v>
      </c>
      <c r="X34" s="100">
        <v>1.53058134416112E-2</v>
      </c>
      <c r="Y34" s="100">
        <v>2.7875844468435201E-2</v>
      </c>
      <c r="Z34" s="100">
        <v>3.1298401142758401E-3</v>
      </c>
      <c r="AA34" s="100">
        <v>3.1509885282524799E-3</v>
      </c>
      <c r="AB34" s="100">
        <v>3.0575294835708099E-3</v>
      </c>
      <c r="AC34" s="100">
        <v>1.6988528778066499E-2</v>
      </c>
      <c r="AD34" s="100">
        <v>4.6494292461969804E-3</v>
      </c>
      <c r="AE34" s="100">
        <v>8.9374591352112301E-2</v>
      </c>
      <c r="AF34" s="100">
        <v>1.1284242448017E-2</v>
      </c>
      <c r="AG34" s="100">
        <v>3.6783150081262199E-2</v>
      </c>
      <c r="AH34" s="100">
        <v>5.1062865216123597E-2</v>
      </c>
      <c r="AI34" s="100">
        <v>2.9679772428013101E-2</v>
      </c>
      <c r="AJ34" s="100">
        <v>3.1867008064480798E-2</v>
      </c>
      <c r="AK34" s="100">
        <v>4.8780888427819101E-2</v>
      </c>
      <c r="AL34" s="100">
        <v>2.02256324388096E-2</v>
      </c>
      <c r="AM34" s="100">
        <v>4.4873884430811903E-2</v>
      </c>
      <c r="AN34" s="100">
        <v>6.3380464576741503E-3</v>
      </c>
      <c r="AO34" s="100">
        <v>9.2558461721565996E-3</v>
      </c>
      <c r="AP34" s="100">
        <v>4.16142695697891E-2</v>
      </c>
      <c r="AQ34" s="100">
        <v>1.9783653852930298E-3</v>
      </c>
      <c r="AR34" s="100">
        <v>5.0803319814462502E-4</v>
      </c>
      <c r="AS34" s="100">
        <v>2.4894030091197899E-4</v>
      </c>
      <c r="AT34" s="100">
        <v>1.30687904508212E-4</v>
      </c>
      <c r="AU34" s="100">
        <v>3.9933270673486498E-4</v>
      </c>
      <c r="AV34" s="100">
        <v>2.5306411421874399E-3</v>
      </c>
      <c r="AW34" s="100">
        <v>3.03659047840232E-3</v>
      </c>
      <c r="AX34" s="100">
        <v>1.9691158547817299E-4</v>
      </c>
      <c r="AY34" s="100">
        <v>4.4989177135396497E-4</v>
      </c>
      <c r="AZ34" s="100">
        <v>3.5039278977212301E-4</v>
      </c>
      <c r="BA34" s="100">
        <v>1.6619346639919799E-4</v>
      </c>
      <c r="BB34" s="100">
        <v>8.1599544086644502E-5</v>
      </c>
      <c r="BC34" s="100">
        <v>4.5894114817110802E-4</v>
      </c>
      <c r="BD34" s="100">
        <v>2.5768331419179702E-4</v>
      </c>
      <c r="BE34" s="100">
        <v>5.9687697268287097E-4</v>
      </c>
      <c r="BF34" s="100">
        <v>1.5972439600206101E-4</v>
      </c>
      <c r="BG34" s="100">
        <v>4.0885184900681099E-4</v>
      </c>
      <c r="BH34" s="100">
        <v>1.25752708024539E-3</v>
      </c>
      <c r="BI34" s="100">
        <v>3.4975569572637702E-3</v>
      </c>
      <c r="BJ34" s="100">
        <v>1.2624577024175001E-3</v>
      </c>
      <c r="BK34" s="100">
        <v>2.23883013577354E-4</v>
      </c>
      <c r="BL34" s="100">
        <v>4.1044859607349899E-4</v>
      </c>
      <c r="BM34" s="100">
        <v>1.0140848488480699E-3</v>
      </c>
      <c r="BN34" s="100">
        <v>2.9456854695321399E-4</v>
      </c>
      <c r="BO34" s="100">
        <v>1.09226952745736E-3</v>
      </c>
      <c r="BP34" s="100">
        <v>8.8088416933576499E-4</v>
      </c>
      <c r="BQ34" s="101">
        <v>0</v>
      </c>
    </row>
    <row r="35" spans="1:69" ht="15" customHeight="1" x14ac:dyDescent="0.3">
      <c r="A35" s="33" t="s">
        <v>53</v>
      </c>
      <c r="B35" s="11" t="s">
        <v>121</v>
      </c>
      <c r="C35" s="99">
        <v>7.35138573744999E-5</v>
      </c>
      <c r="D35" s="100">
        <v>1.20441903151048E-4</v>
      </c>
      <c r="E35" s="100">
        <v>6.2784304327633298E-5</v>
      </c>
      <c r="F35" s="100">
        <v>5.8677219243696702E-4</v>
      </c>
      <c r="G35" s="100">
        <v>1.36834948291223E-3</v>
      </c>
      <c r="H35" s="100">
        <v>1.06548017246566E-3</v>
      </c>
      <c r="I35" s="100">
        <v>1.0379087167183901E-3</v>
      </c>
      <c r="J35" s="100">
        <v>2.25503836287567E-4</v>
      </c>
      <c r="K35" s="100">
        <v>9.7714275194104802E-5</v>
      </c>
      <c r="L35" s="100">
        <v>2.1292303671313899E-4</v>
      </c>
      <c r="M35" s="100">
        <v>2.6988333364794998E-4</v>
      </c>
      <c r="N35" s="100">
        <v>1.74509327343149E-4</v>
      </c>
      <c r="O35" s="100">
        <v>2.2919123475578101E-4</v>
      </c>
      <c r="P35" s="100">
        <v>2.8540423522267202E-4</v>
      </c>
      <c r="Q35" s="100">
        <v>2.3780307951393301E-4</v>
      </c>
      <c r="R35" s="100">
        <v>3.9251495612250398E-4</v>
      </c>
      <c r="S35" s="100">
        <v>3.32769185837353E-4</v>
      </c>
      <c r="T35" s="100">
        <v>1.5833138282869402E-2</v>
      </c>
      <c r="U35" s="100">
        <v>2.32295321921119E-5</v>
      </c>
      <c r="V35" s="100">
        <v>1.0430345304009E-4</v>
      </c>
      <c r="W35" s="100">
        <v>1.8691991852539199E-4</v>
      </c>
      <c r="X35" s="100">
        <v>3.0214388121585598E-4</v>
      </c>
      <c r="Y35" s="100">
        <v>3.4415867058558799E-4</v>
      </c>
      <c r="Z35" s="100">
        <v>2.35006747279827E-4</v>
      </c>
      <c r="AA35" s="100">
        <v>5.0540698261736705E-4</v>
      </c>
      <c r="AB35" s="100">
        <v>3.1076798360187501E-4</v>
      </c>
      <c r="AC35" s="100">
        <v>2.3326728759012901E-4</v>
      </c>
      <c r="AD35" s="100">
        <v>3.1698078700942E-4</v>
      </c>
      <c r="AE35" s="100">
        <v>2.6858301014857098E-4</v>
      </c>
      <c r="AF35" s="100">
        <v>0.100519371651157</v>
      </c>
      <c r="AG35" s="100">
        <v>6.4482722810385402E-3</v>
      </c>
      <c r="AH35" s="100">
        <v>5.8907068413794504E-3</v>
      </c>
      <c r="AI35" s="100">
        <v>1.1854622689741899E-3</v>
      </c>
      <c r="AJ35" s="100">
        <v>2.2611658873358501E-3</v>
      </c>
      <c r="AK35" s="100">
        <v>1.2790634964745301E-3</v>
      </c>
      <c r="AL35" s="100">
        <v>1.0078179908596301E-3</v>
      </c>
      <c r="AM35" s="100">
        <v>9.7911944435053102E-3</v>
      </c>
      <c r="AN35" s="100">
        <v>7.1447446514628303E-4</v>
      </c>
      <c r="AO35" s="100">
        <v>3.8330071761237701E-4</v>
      </c>
      <c r="AP35" s="100">
        <v>1.1829392469210301E-3</v>
      </c>
      <c r="AQ35" s="100">
        <v>3.8841305847341101E-4</v>
      </c>
      <c r="AR35" s="100">
        <v>2.5086460121129402E-4</v>
      </c>
      <c r="AS35" s="100">
        <v>3.71891022905119E-4</v>
      </c>
      <c r="AT35" s="100">
        <v>4.8682286709613603E-5</v>
      </c>
      <c r="AU35" s="100">
        <v>1.6235844448702699E-3</v>
      </c>
      <c r="AV35" s="100">
        <v>1.88227649671935E-4</v>
      </c>
      <c r="AW35" s="100">
        <v>1.4646160103451401E-4</v>
      </c>
      <c r="AX35" s="100">
        <v>3.4339128928087499E-4</v>
      </c>
      <c r="AY35" s="100">
        <v>4.4880708282225403E-3</v>
      </c>
      <c r="AZ35" s="100">
        <v>9.7110963450862398E-4</v>
      </c>
      <c r="BA35" s="100">
        <v>1.21430364762052E-2</v>
      </c>
      <c r="BB35" s="100">
        <v>5.5451226782294303E-4</v>
      </c>
      <c r="BC35" s="100">
        <v>3.43880095706083E-5</v>
      </c>
      <c r="BD35" s="100">
        <v>1.1164726453803801E-3</v>
      </c>
      <c r="BE35" s="100">
        <v>9.8612934400499497E-3</v>
      </c>
      <c r="BF35" s="100">
        <v>1.4458087976608499E-3</v>
      </c>
      <c r="BG35" s="100">
        <v>7.8833358930485004E-4</v>
      </c>
      <c r="BH35" s="100">
        <v>4.1414501032610001E-3</v>
      </c>
      <c r="BI35" s="100">
        <v>1.6718216861049699E-3</v>
      </c>
      <c r="BJ35" s="100">
        <v>6.5212958345717601E-4</v>
      </c>
      <c r="BK35" s="100">
        <v>1.13870899101006E-3</v>
      </c>
      <c r="BL35" s="100">
        <v>1.0089544542654101E-3</v>
      </c>
      <c r="BM35" s="100">
        <v>8.3347302522686004E-4</v>
      </c>
      <c r="BN35" s="100">
        <v>5.6643329721812704E-4</v>
      </c>
      <c r="BO35" s="100">
        <v>9.4952184010626704E-4</v>
      </c>
      <c r="BP35" s="100">
        <v>3.0880694592118202E-3</v>
      </c>
      <c r="BQ35" s="101">
        <v>0</v>
      </c>
    </row>
    <row r="36" spans="1:69" ht="15" customHeight="1" x14ac:dyDescent="0.3">
      <c r="A36" s="33" t="s">
        <v>54</v>
      </c>
      <c r="B36" s="11" t="s">
        <v>122</v>
      </c>
      <c r="C36" s="99">
        <v>1.15716159861402E-4</v>
      </c>
      <c r="D36" s="100">
        <v>5.3439428680530595E-4</v>
      </c>
      <c r="E36" s="100">
        <v>1.7858747492030999E-4</v>
      </c>
      <c r="F36" s="100">
        <v>1.4122975937062099E-3</v>
      </c>
      <c r="G36" s="100">
        <v>1.6866357996274701E-3</v>
      </c>
      <c r="H36" s="100">
        <v>7.7717402067856904E-4</v>
      </c>
      <c r="I36" s="100">
        <v>1.1835501005743299E-3</v>
      </c>
      <c r="J36" s="100">
        <v>3.5556984092444501E-4</v>
      </c>
      <c r="K36" s="100">
        <v>6.2653629943727198E-4</v>
      </c>
      <c r="L36" s="100">
        <v>4.2945908779183699E-4</v>
      </c>
      <c r="M36" s="100">
        <v>9.5853622209282998E-4</v>
      </c>
      <c r="N36" s="100">
        <v>2.0319951126804701E-4</v>
      </c>
      <c r="O36" s="100">
        <v>7.7995938085261799E-4</v>
      </c>
      <c r="P36" s="100">
        <v>1.4796235682241899E-4</v>
      </c>
      <c r="Q36" s="100">
        <v>2.9430917718856799E-4</v>
      </c>
      <c r="R36" s="100">
        <v>1.2475124517836E-3</v>
      </c>
      <c r="S36" s="100">
        <v>8.6945638201012601E-4</v>
      </c>
      <c r="T36" s="100">
        <v>9.99814441469951E-4</v>
      </c>
      <c r="U36" s="100">
        <v>3.6614421388302899E-5</v>
      </c>
      <c r="V36" s="100">
        <v>3.2559428802159698E-4</v>
      </c>
      <c r="W36" s="100">
        <v>7.3979901249426796E-4</v>
      </c>
      <c r="X36" s="100">
        <v>4.278480264082E-4</v>
      </c>
      <c r="Y36" s="100">
        <v>6.8890238097390295E-4</v>
      </c>
      <c r="Z36" s="100">
        <v>2.8093857407843101E-4</v>
      </c>
      <c r="AA36" s="100">
        <v>1.2008878015828E-3</v>
      </c>
      <c r="AB36" s="100">
        <v>2.0130262045902898E-3</v>
      </c>
      <c r="AC36" s="100">
        <v>7.0106835512168499E-4</v>
      </c>
      <c r="AD36" s="100">
        <v>2.2851026816494702E-3</v>
      </c>
      <c r="AE36" s="100">
        <v>2.1810017922702998E-3</v>
      </c>
      <c r="AF36" s="100">
        <v>1.72708274945685E-2</v>
      </c>
      <c r="AG36" s="100">
        <v>0.11072039064023501</v>
      </c>
      <c r="AH36" s="100">
        <v>2.2472676960314901E-2</v>
      </c>
      <c r="AI36" s="100">
        <v>5.55165591373275E-3</v>
      </c>
      <c r="AJ36" s="100">
        <v>1.37082402521841E-2</v>
      </c>
      <c r="AK36" s="100">
        <v>8.0280870212711807E-3</v>
      </c>
      <c r="AL36" s="100">
        <v>4.0454902029792E-3</v>
      </c>
      <c r="AM36" s="100">
        <v>3.3155920885503197E-2</v>
      </c>
      <c r="AN36" s="100">
        <v>1.49686594026027E-2</v>
      </c>
      <c r="AO36" s="100">
        <v>3.9781793682406403E-3</v>
      </c>
      <c r="AP36" s="100">
        <v>1.71568961032783E-2</v>
      </c>
      <c r="AQ36" s="100">
        <v>1.1997013592962801E-3</v>
      </c>
      <c r="AR36" s="100">
        <v>3.1986749370682202E-3</v>
      </c>
      <c r="AS36" s="100">
        <v>1.0115115260979799E-3</v>
      </c>
      <c r="AT36" s="100">
        <v>4.5594997073820397E-5</v>
      </c>
      <c r="AU36" s="100">
        <v>8.4203083281580299E-4</v>
      </c>
      <c r="AV36" s="100">
        <v>1.27090982502951E-3</v>
      </c>
      <c r="AW36" s="100">
        <v>2.2675422873202601E-4</v>
      </c>
      <c r="AX36" s="100">
        <v>3.3371323800588997E-4</v>
      </c>
      <c r="AY36" s="100">
        <v>1.9337435573062499E-3</v>
      </c>
      <c r="AZ36" s="100">
        <v>6.3776742677718696E-3</v>
      </c>
      <c r="BA36" s="100">
        <v>2.3676191391068199E-4</v>
      </c>
      <c r="BB36" s="100">
        <v>1.3281389984195501E-4</v>
      </c>
      <c r="BC36" s="100">
        <v>7.6523890750298802E-4</v>
      </c>
      <c r="BD36" s="100">
        <v>2.09674941876065E-3</v>
      </c>
      <c r="BE36" s="100">
        <v>9.2881005822481697E-4</v>
      </c>
      <c r="BF36" s="100">
        <v>4.21473144924582E-4</v>
      </c>
      <c r="BG36" s="100">
        <v>6.5043810235707402E-4</v>
      </c>
      <c r="BH36" s="100">
        <v>2.9340858688842899E-3</v>
      </c>
      <c r="BI36" s="100">
        <v>9.6933801248443599E-5</v>
      </c>
      <c r="BJ36" s="100">
        <v>2.0121357611618899E-4</v>
      </c>
      <c r="BK36" s="100">
        <v>1.7463208604766E-4</v>
      </c>
      <c r="BL36" s="100">
        <v>2.4577537400372501E-4</v>
      </c>
      <c r="BM36" s="100">
        <v>1.5574364308923799E-4</v>
      </c>
      <c r="BN36" s="100">
        <v>9.3049244307506594E-5</v>
      </c>
      <c r="BO36" s="100">
        <v>1.72642659429295E-3</v>
      </c>
      <c r="BP36" s="100">
        <v>5.1154771540028602E-3</v>
      </c>
      <c r="BQ36" s="101">
        <v>0</v>
      </c>
    </row>
    <row r="37" spans="1:69" ht="15" customHeight="1" x14ac:dyDescent="0.3">
      <c r="A37" s="33" t="s">
        <v>55</v>
      </c>
      <c r="B37" s="11" t="s">
        <v>123</v>
      </c>
      <c r="C37" s="99">
        <v>1.2718406481539E-4</v>
      </c>
      <c r="D37" s="100">
        <v>2.7016791993373702E-4</v>
      </c>
      <c r="E37" s="100">
        <v>2.0004732153323999E-4</v>
      </c>
      <c r="F37" s="100">
        <v>6.0935668401890996E-3</v>
      </c>
      <c r="G37" s="100">
        <v>1.4740192620174401E-2</v>
      </c>
      <c r="H37" s="100">
        <v>2.74316501238819E-2</v>
      </c>
      <c r="I37" s="100">
        <v>2.9906550888637699E-2</v>
      </c>
      <c r="J37" s="100">
        <v>4.5771561378664302E-4</v>
      </c>
      <c r="K37" s="100">
        <v>3.9754304245250298E-4</v>
      </c>
      <c r="L37" s="100">
        <v>4.6702707577614497E-4</v>
      </c>
      <c r="M37" s="100">
        <v>1.9606366096309698E-3</v>
      </c>
      <c r="N37" s="100">
        <v>2.0114517553915199E-4</v>
      </c>
      <c r="O37" s="100">
        <v>5.74876667257545E-4</v>
      </c>
      <c r="P37" s="100">
        <v>3.2110090676105399E-4</v>
      </c>
      <c r="Q37" s="100">
        <v>4.3165673301550598E-4</v>
      </c>
      <c r="R37" s="100">
        <v>2.0889433758768399E-3</v>
      </c>
      <c r="S37" s="100">
        <v>8.2625555234006596E-4</v>
      </c>
      <c r="T37" s="100">
        <v>1.9025470758645201E-3</v>
      </c>
      <c r="U37" s="100">
        <v>8.3785753412037603E-5</v>
      </c>
      <c r="V37" s="100">
        <v>3.31076133753444E-4</v>
      </c>
      <c r="W37" s="100">
        <v>3.6961248963683499E-4</v>
      </c>
      <c r="X37" s="100">
        <v>6.2723149385659398E-4</v>
      </c>
      <c r="Y37" s="100">
        <v>9.6050656914225998E-4</v>
      </c>
      <c r="Z37" s="100">
        <v>4.09459944430052E-4</v>
      </c>
      <c r="AA37" s="100">
        <v>1.04558163811368E-3</v>
      </c>
      <c r="AB37" s="100">
        <v>9.5763305866215201E-4</v>
      </c>
      <c r="AC37" s="100">
        <v>1.2121629259661999E-3</v>
      </c>
      <c r="AD37" s="100">
        <v>1.2691867334766601E-3</v>
      </c>
      <c r="AE37" s="100">
        <v>2.42401961120352E-3</v>
      </c>
      <c r="AF37" s="100">
        <v>1.59838144240382E-3</v>
      </c>
      <c r="AG37" s="100">
        <v>7.4354955343084502E-3</v>
      </c>
      <c r="AH37" s="100">
        <v>9.1974315479279201E-2</v>
      </c>
      <c r="AI37" s="100">
        <v>8.6354409328325502E-3</v>
      </c>
      <c r="AJ37" s="100">
        <v>2.8552890282100901E-3</v>
      </c>
      <c r="AK37" s="100">
        <v>6.26403215182131E-3</v>
      </c>
      <c r="AL37" s="100">
        <v>1.1652666108679999E-3</v>
      </c>
      <c r="AM37" s="100">
        <v>7.7099632393728704E-2</v>
      </c>
      <c r="AN37" s="100">
        <v>6.9448211399518803E-4</v>
      </c>
      <c r="AO37" s="100">
        <v>1.2350811361617801E-3</v>
      </c>
      <c r="AP37" s="100">
        <v>6.61914211608715E-3</v>
      </c>
      <c r="AQ37" s="100">
        <v>7.5285311380315803E-4</v>
      </c>
      <c r="AR37" s="100">
        <v>6.9767989348920698E-4</v>
      </c>
      <c r="AS37" s="100">
        <v>4.7199044143477597E-3</v>
      </c>
      <c r="AT37" s="100">
        <v>3.1289014611558298E-4</v>
      </c>
      <c r="AU37" s="100">
        <v>1.30107512193838E-3</v>
      </c>
      <c r="AV37" s="100">
        <v>3.7958734289256202E-4</v>
      </c>
      <c r="AW37" s="100">
        <v>2.0094783588755401E-4</v>
      </c>
      <c r="AX37" s="100">
        <v>6.8304757067927401E-4</v>
      </c>
      <c r="AY37" s="100">
        <v>2.0551873431556901E-4</v>
      </c>
      <c r="AZ37" s="100">
        <v>4.39177956478918E-4</v>
      </c>
      <c r="BA37" s="100">
        <v>2.7747314238533798E-4</v>
      </c>
      <c r="BB37" s="100">
        <v>3.3271083655738899E-5</v>
      </c>
      <c r="BC37" s="100">
        <v>4.6790218952598603E-5</v>
      </c>
      <c r="BD37" s="100">
        <v>1.8425918994774399E-4</v>
      </c>
      <c r="BE37" s="100">
        <v>6.8607363265816798E-4</v>
      </c>
      <c r="BF37" s="100">
        <v>1.43715541615134E-4</v>
      </c>
      <c r="BG37" s="100">
        <v>5.6980253701548005E-4</v>
      </c>
      <c r="BH37" s="100">
        <v>5.8037310882645696E-3</v>
      </c>
      <c r="BI37" s="100">
        <v>2.24504672206778E-4</v>
      </c>
      <c r="BJ37" s="100">
        <v>1.9419837542090801E-4</v>
      </c>
      <c r="BK37" s="100">
        <v>8.6716627869939594E-5</v>
      </c>
      <c r="BL37" s="100">
        <v>5.7556269309272097E-5</v>
      </c>
      <c r="BM37" s="100">
        <v>1.1834157048693299E-3</v>
      </c>
      <c r="BN37" s="100">
        <v>2.0798879926732801E-4</v>
      </c>
      <c r="BO37" s="100">
        <v>5.2400612728734303E-4</v>
      </c>
      <c r="BP37" s="100">
        <v>3.69111661013426E-4</v>
      </c>
      <c r="BQ37" s="101">
        <v>0</v>
      </c>
    </row>
    <row r="38" spans="1:69" ht="15" customHeight="1" x14ac:dyDescent="0.3">
      <c r="A38" s="33" t="s">
        <v>56</v>
      </c>
      <c r="B38" s="11" t="s">
        <v>124</v>
      </c>
      <c r="C38" s="99">
        <v>2.8215978675742999E-5</v>
      </c>
      <c r="D38" s="100">
        <v>4.7196121825726597E-5</v>
      </c>
      <c r="E38" s="100">
        <v>1.9021030120357298E-5</v>
      </c>
      <c r="F38" s="100">
        <v>7.4488775183181204E-5</v>
      </c>
      <c r="G38" s="100">
        <v>1.4587190862978301E-4</v>
      </c>
      <c r="H38" s="100">
        <v>2.1186640881683101E-4</v>
      </c>
      <c r="I38" s="100">
        <v>1.8093511176637799E-4</v>
      </c>
      <c r="J38" s="100">
        <v>6.8434379925793302E-5</v>
      </c>
      <c r="K38" s="100">
        <v>1.7467190543320301E-3</v>
      </c>
      <c r="L38" s="100">
        <v>7.6801621554274804E-5</v>
      </c>
      <c r="M38" s="100">
        <v>1.23466054063899E-4</v>
      </c>
      <c r="N38" s="100">
        <v>8.3802862050918802E-5</v>
      </c>
      <c r="O38" s="100">
        <v>1.72075634191927E-4</v>
      </c>
      <c r="P38" s="100">
        <v>8.2403691236937999E-5</v>
      </c>
      <c r="Q38" s="100">
        <v>1.13536521263846E-4</v>
      </c>
      <c r="R38" s="100">
        <v>9.4692163701855207E-5</v>
      </c>
      <c r="S38" s="100">
        <v>8.6797237439436198E-5</v>
      </c>
      <c r="T38" s="100">
        <v>9.6851888457794E-5</v>
      </c>
      <c r="U38" s="100">
        <v>5.5213735178869703E-6</v>
      </c>
      <c r="V38" s="100">
        <v>2.5798708384350002E-5</v>
      </c>
      <c r="W38" s="100">
        <v>6.0015312648631899E-5</v>
      </c>
      <c r="X38" s="100">
        <v>3.92699699096125E-4</v>
      </c>
      <c r="Y38" s="100">
        <v>1.16922191889258E-4</v>
      </c>
      <c r="Z38" s="100">
        <v>1.16403993891395E-4</v>
      </c>
      <c r="AA38" s="100">
        <v>1.5522511975785399E-4</v>
      </c>
      <c r="AB38" s="100">
        <v>1.04815984470718E-4</v>
      </c>
      <c r="AC38" s="100">
        <v>6.4481892454667304E-5</v>
      </c>
      <c r="AD38" s="100">
        <v>1.1352914041067999E-4</v>
      </c>
      <c r="AE38" s="100">
        <v>1.4175274544123899E-4</v>
      </c>
      <c r="AF38" s="100">
        <v>3.5383912982400598E-4</v>
      </c>
      <c r="AG38" s="100">
        <v>2.0159868531714601E-3</v>
      </c>
      <c r="AH38" s="100">
        <v>1.0128486361888299E-3</v>
      </c>
      <c r="AI38" s="100">
        <v>3.94590273385831E-2</v>
      </c>
      <c r="AJ38" s="100">
        <v>2.64185158527725E-3</v>
      </c>
      <c r="AK38" s="100">
        <v>2.1559504957259601E-3</v>
      </c>
      <c r="AL38" s="100">
        <v>1.6544810138852299E-4</v>
      </c>
      <c r="AM38" s="100">
        <v>1.19796021818684E-3</v>
      </c>
      <c r="AN38" s="100">
        <v>2.8113971496619797E-4</v>
      </c>
      <c r="AO38" s="100">
        <v>1.0593340622752399E-4</v>
      </c>
      <c r="AP38" s="100">
        <v>4.1403836582070102E-4</v>
      </c>
      <c r="AQ38" s="100">
        <v>5.4983331365315998E-4</v>
      </c>
      <c r="AR38" s="100">
        <v>2.1995011612005802E-3</v>
      </c>
      <c r="AS38" s="100">
        <v>6.2557599255178795E-5</v>
      </c>
      <c r="AT38" s="100">
        <v>9.1853370852209093E-6</v>
      </c>
      <c r="AU38" s="100">
        <v>3.8814336822757902E-5</v>
      </c>
      <c r="AV38" s="100">
        <v>7.6497715105303894E-5</v>
      </c>
      <c r="AW38" s="100">
        <v>5.3042625102057198E-5</v>
      </c>
      <c r="AX38" s="100">
        <v>5.5737065737913402E-5</v>
      </c>
      <c r="AY38" s="100">
        <v>5.2151082723837399E-5</v>
      </c>
      <c r="AZ38" s="100">
        <v>1.41847500421748E-4</v>
      </c>
      <c r="BA38" s="100">
        <v>3.4019285098718302E-5</v>
      </c>
      <c r="BB38" s="100">
        <v>8.5158547087927099E-6</v>
      </c>
      <c r="BC38" s="100">
        <v>1.6424173197341699E-5</v>
      </c>
      <c r="BD38" s="100">
        <v>5.3845367031771299E-5</v>
      </c>
      <c r="BE38" s="100">
        <v>5.1396532612451998E-4</v>
      </c>
      <c r="BF38" s="100">
        <v>3.4999000511546197E-5</v>
      </c>
      <c r="BG38" s="100">
        <v>1.0974320640773E-4</v>
      </c>
      <c r="BH38" s="100">
        <v>1.1388172470915499E-4</v>
      </c>
      <c r="BI38" s="100">
        <v>1.2432313900524199E-5</v>
      </c>
      <c r="BJ38" s="100">
        <v>9.0316139751652098E-5</v>
      </c>
      <c r="BK38" s="100">
        <v>2.4251005525245499E-5</v>
      </c>
      <c r="BL38" s="100">
        <v>3.04222620689959E-5</v>
      </c>
      <c r="BM38" s="100">
        <v>5.49326038238958E-5</v>
      </c>
      <c r="BN38" s="100">
        <v>3.2062438809083802E-5</v>
      </c>
      <c r="BO38" s="100">
        <v>8.94394681047777E-5</v>
      </c>
      <c r="BP38" s="100">
        <v>9.3180466778183894E-5</v>
      </c>
      <c r="BQ38" s="101">
        <v>0</v>
      </c>
    </row>
    <row r="39" spans="1:69" ht="15" customHeight="1" x14ac:dyDescent="0.3">
      <c r="A39" s="33" t="s">
        <v>57</v>
      </c>
      <c r="B39" s="11" t="s">
        <v>125</v>
      </c>
      <c r="C39" s="99">
        <v>6.4443193984307803E-5</v>
      </c>
      <c r="D39" s="100">
        <v>1.1289599624458099E-4</v>
      </c>
      <c r="E39" s="100">
        <v>4.2290702019647699E-5</v>
      </c>
      <c r="F39" s="100">
        <v>4.4643252376564698E-4</v>
      </c>
      <c r="G39" s="100">
        <v>4.8521815755725201E-4</v>
      </c>
      <c r="H39" s="100">
        <v>6.6646484627119805E-4</v>
      </c>
      <c r="I39" s="100">
        <v>7.8581401458462997E-4</v>
      </c>
      <c r="J39" s="100">
        <v>2.1293175042782201E-4</v>
      </c>
      <c r="K39" s="100">
        <v>1.08189236331337E-4</v>
      </c>
      <c r="L39" s="100">
        <v>2.7784887618031301E-4</v>
      </c>
      <c r="M39" s="100">
        <v>9.4188418394805398E-4</v>
      </c>
      <c r="N39" s="100">
        <v>1.0304917062292599E-4</v>
      </c>
      <c r="O39" s="100">
        <v>2.2946514306203399E-4</v>
      </c>
      <c r="P39" s="100">
        <v>1.2715370590823301E-4</v>
      </c>
      <c r="Q39" s="100">
        <v>2.5941920341737901E-4</v>
      </c>
      <c r="R39" s="100">
        <v>2.9557859945250999E-4</v>
      </c>
      <c r="S39" s="100">
        <v>1.8136012314784E-4</v>
      </c>
      <c r="T39" s="100">
        <v>5.1846831725088399E-4</v>
      </c>
      <c r="U39" s="100">
        <v>3.5115750865269401E-5</v>
      </c>
      <c r="V39" s="100">
        <v>7.0138277129245196E-5</v>
      </c>
      <c r="W39" s="100">
        <v>1.4081084898796701E-4</v>
      </c>
      <c r="X39" s="100">
        <v>3.0772489610277499E-4</v>
      </c>
      <c r="Y39" s="100">
        <v>5.2255524118100698E-4</v>
      </c>
      <c r="Z39" s="100">
        <v>1.9155889263180101E-4</v>
      </c>
      <c r="AA39" s="100">
        <v>5.84025738313756E-4</v>
      </c>
      <c r="AB39" s="100">
        <v>4.21105158135513E-4</v>
      </c>
      <c r="AC39" s="100">
        <v>3.0874929990630198E-4</v>
      </c>
      <c r="AD39" s="100">
        <v>4.90966520024542E-4</v>
      </c>
      <c r="AE39" s="100">
        <v>1.13506620008403E-3</v>
      </c>
      <c r="AF39" s="100">
        <v>7.66357886213509E-4</v>
      </c>
      <c r="AG39" s="100">
        <v>1.68641591310746E-3</v>
      </c>
      <c r="AH39" s="100">
        <v>2.54356526068647E-3</v>
      </c>
      <c r="AI39" s="100">
        <v>0.22478627527057801</v>
      </c>
      <c r="AJ39" s="100">
        <v>0.1066896230969</v>
      </c>
      <c r="AK39" s="100">
        <v>2.0365984680767702E-3</v>
      </c>
      <c r="AL39" s="100">
        <v>5.0155004453986205E-4</v>
      </c>
      <c r="AM39" s="100">
        <v>2.4517701200647201E-3</v>
      </c>
      <c r="AN39" s="100">
        <v>1.78941752148213E-4</v>
      </c>
      <c r="AO39" s="100">
        <v>2.1098303984550001E-4</v>
      </c>
      <c r="AP39" s="100">
        <v>9.7029370859321395E-4</v>
      </c>
      <c r="AQ39" s="100">
        <v>1.4112474577605699E-2</v>
      </c>
      <c r="AR39" s="100">
        <v>3.0896930854694599E-2</v>
      </c>
      <c r="AS39" s="100">
        <v>1.35095642565442E-4</v>
      </c>
      <c r="AT39" s="100">
        <v>1.1604483549152999E-4</v>
      </c>
      <c r="AU39" s="100">
        <v>1.4973651649539699E-4</v>
      </c>
      <c r="AV39" s="100">
        <v>2.8174366486920601E-4</v>
      </c>
      <c r="AW39" s="100">
        <v>1.67241855030508E-4</v>
      </c>
      <c r="AX39" s="100">
        <v>1.11516263849473E-4</v>
      </c>
      <c r="AY39" s="100">
        <v>9.1005654322886306E-5</v>
      </c>
      <c r="AZ39" s="100">
        <v>1.2457064185631301E-4</v>
      </c>
      <c r="BA39" s="100">
        <v>8.6708917545173098E-5</v>
      </c>
      <c r="BB39" s="100">
        <v>3.8204905819904397E-5</v>
      </c>
      <c r="BC39" s="100">
        <v>2.9144390930701999E-5</v>
      </c>
      <c r="BD39" s="100">
        <v>1.20174822154162E-4</v>
      </c>
      <c r="BE39" s="100">
        <v>7.3763278001932496E-4</v>
      </c>
      <c r="BF39" s="100">
        <v>8.2674138155356894E-5</v>
      </c>
      <c r="BG39" s="100">
        <v>3.41505180688103E-3</v>
      </c>
      <c r="BH39" s="100">
        <v>2.3367881638632399E-4</v>
      </c>
      <c r="BI39" s="100">
        <v>6.9377404989545504E-5</v>
      </c>
      <c r="BJ39" s="100">
        <v>1.6553345382497699E-3</v>
      </c>
      <c r="BK39" s="100">
        <v>7.1832024775012201E-4</v>
      </c>
      <c r="BL39" s="100">
        <v>1.8837341762725001E-4</v>
      </c>
      <c r="BM39" s="100">
        <v>9.8728951488023906E-4</v>
      </c>
      <c r="BN39" s="100">
        <v>7.1445631012080103E-5</v>
      </c>
      <c r="BO39" s="100">
        <v>4.81589019931353E-4</v>
      </c>
      <c r="BP39" s="100">
        <v>1.6365182706767301E-4</v>
      </c>
      <c r="BQ39" s="101">
        <v>0</v>
      </c>
    </row>
    <row r="40" spans="1:69" ht="15" customHeight="1" x14ac:dyDescent="0.3">
      <c r="A40" s="33" t="s">
        <v>58</v>
      </c>
      <c r="B40" s="11" t="s">
        <v>126</v>
      </c>
      <c r="C40" s="99">
        <v>8.7517915497779798E-6</v>
      </c>
      <c r="D40" s="100">
        <v>1.4450998865461E-5</v>
      </c>
      <c r="E40" s="100">
        <v>2.30285331911421E-5</v>
      </c>
      <c r="F40" s="100">
        <v>2.8250696278321098E-4</v>
      </c>
      <c r="G40" s="100">
        <v>1.53599278260409E-4</v>
      </c>
      <c r="H40" s="100">
        <v>2.4786087034294201E-4</v>
      </c>
      <c r="I40" s="100">
        <v>3.2809248386155102E-4</v>
      </c>
      <c r="J40" s="100">
        <v>5.62506275862305E-5</v>
      </c>
      <c r="K40" s="100">
        <v>9.2215003104664201E-5</v>
      </c>
      <c r="L40" s="100">
        <v>4.9569796690851202E-5</v>
      </c>
      <c r="M40" s="100">
        <v>1.6715246313184901E-4</v>
      </c>
      <c r="N40" s="100">
        <v>4.5274007661263897E-5</v>
      </c>
      <c r="O40" s="100">
        <v>3.8600965037989702E-5</v>
      </c>
      <c r="P40" s="100">
        <v>1.5251433498696701E-4</v>
      </c>
      <c r="Q40" s="100">
        <v>7.3570027150854904E-5</v>
      </c>
      <c r="R40" s="100">
        <v>1.61809137196887E-4</v>
      </c>
      <c r="S40" s="100">
        <v>1.9780961366466099E-4</v>
      </c>
      <c r="T40" s="100">
        <v>4.2215833684059801E-4</v>
      </c>
      <c r="U40" s="100">
        <v>1.7541386977112E-5</v>
      </c>
      <c r="V40" s="100">
        <v>8.2796410641500795E-5</v>
      </c>
      <c r="W40" s="100">
        <v>7.3382849740916801E-5</v>
      </c>
      <c r="X40" s="100">
        <v>8.0222754333470503E-5</v>
      </c>
      <c r="Y40" s="100">
        <v>1.08308631375152E-4</v>
      </c>
      <c r="Z40" s="100">
        <v>1.17577986632952E-4</v>
      </c>
      <c r="AA40" s="100">
        <v>1.0202435971567899E-4</v>
      </c>
      <c r="AB40" s="100">
        <v>1.7710847897926899E-4</v>
      </c>
      <c r="AC40" s="100">
        <v>2.56280900821387E-4</v>
      </c>
      <c r="AD40" s="100">
        <v>1.84436205086026E-4</v>
      </c>
      <c r="AE40" s="100">
        <v>1.7479528788946199E-4</v>
      </c>
      <c r="AF40" s="100">
        <v>4.6033774433133803E-5</v>
      </c>
      <c r="AG40" s="100">
        <v>2.04705810514626E-4</v>
      </c>
      <c r="AH40" s="100">
        <v>5.2118130434986997E-4</v>
      </c>
      <c r="AI40" s="100">
        <v>3.4514197857071299E-4</v>
      </c>
      <c r="AJ40" s="100">
        <v>2.4484156234108601E-4</v>
      </c>
      <c r="AK40" s="100">
        <v>5.65641518054745E-2</v>
      </c>
      <c r="AL40" s="100">
        <v>1.5665327518219599E-4</v>
      </c>
      <c r="AM40" s="100">
        <v>3.53474746885924E-3</v>
      </c>
      <c r="AN40" s="100">
        <v>4.6723463683836898E-5</v>
      </c>
      <c r="AO40" s="100">
        <v>1.21828556419985E-4</v>
      </c>
      <c r="AP40" s="100">
        <v>1.29676163623176E-4</v>
      </c>
      <c r="AQ40" s="100">
        <v>1.0657243894558999E-4</v>
      </c>
      <c r="AR40" s="100">
        <v>1.04700089019088E-3</v>
      </c>
      <c r="AS40" s="100">
        <v>2.2741127747603001E-4</v>
      </c>
      <c r="AT40" s="100">
        <v>4.26458037202902E-5</v>
      </c>
      <c r="AU40" s="100">
        <v>1.55648208719922E-4</v>
      </c>
      <c r="AV40" s="100">
        <v>2.3679799937039099E-5</v>
      </c>
      <c r="AW40" s="100">
        <v>2.7995022068394E-5</v>
      </c>
      <c r="AX40" s="100">
        <v>1.8753844888491701E-4</v>
      </c>
      <c r="AY40" s="100">
        <v>3.3894729290182902E-5</v>
      </c>
      <c r="AZ40" s="100">
        <v>3.3045487168486398E-5</v>
      </c>
      <c r="BA40" s="100">
        <v>6.9900254189082805E-5</v>
      </c>
      <c r="BB40" s="100">
        <v>8.6230749801337507E-6</v>
      </c>
      <c r="BC40" s="100">
        <v>4.5709195607920702E-6</v>
      </c>
      <c r="BD40" s="100">
        <v>3.93616992628368E-5</v>
      </c>
      <c r="BE40" s="100">
        <v>2.4439204577852801E-4</v>
      </c>
      <c r="BF40" s="100">
        <v>3.57002589710342E-5</v>
      </c>
      <c r="BG40" s="100">
        <v>1.6925264473130301E-4</v>
      </c>
      <c r="BH40" s="100">
        <v>7.0583175648418294E-5</v>
      </c>
      <c r="BI40" s="100">
        <v>5.0882774831710903E-5</v>
      </c>
      <c r="BJ40" s="100">
        <v>3.1575430174513101E-4</v>
      </c>
      <c r="BK40" s="100">
        <v>2.0610946699344E-5</v>
      </c>
      <c r="BL40" s="100">
        <v>1.7594315870172501E-5</v>
      </c>
      <c r="BM40" s="100">
        <v>1.1588879047009501E-4</v>
      </c>
      <c r="BN40" s="100">
        <v>1.6683695617774401E-4</v>
      </c>
      <c r="BO40" s="100">
        <v>1.4204168650174101E-4</v>
      </c>
      <c r="BP40" s="100">
        <v>1.83163472070703E-4</v>
      </c>
      <c r="BQ40" s="101">
        <v>0</v>
      </c>
    </row>
    <row r="41" spans="1:69" ht="15" customHeight="1" x14ac:dyDescent="0.3">
      <c r="A41" s="33" t="s">
        <v>59</v>
      </c>
      <c r="B41" s="11" t="s">
        <v>127</v>
      </c>
      <c r="C41" s="99">
        <v>9.1371023932554699E-5</v>
      </c>
      <c r="D41" s="100">
        <v>2.02465770661798E-4</v>
      </c>
      <c r="E41" s="100">
        <v>2.2825516216866201E-4</v>
      </c>
      <c r="F41" s="100">
        <v>3.26131719257562E-4</v>
      </c>
      <c r="G41" s="100">
        <v>3.5094448286739202E-4</v>
      </c>
      <c r="H41" s="100">
        <v>4.9890064407392704E-4</v>
      </c>
      <c r="I41" s="100">
        <v>5.2837964953154003E-4</v>
      </c>
      <c r="J41" s="100">
        <v>2.4773053991461599E-4</v>
      </c>
      <c r="K41" s="100">
        <v>2.2295304525509399E-4</v>
      </c>
      <c r="L41" s="100">
        <v>3.8740010446802102E-4</v>
      </c>
      <c r="M41" s="100">
        <v>1.1134175525982001E-3</v>
      </c>
      <c r="N41" s="100">
        <v>1.2463326917614299E-4</v>
      </c>
      <c r="O41" s="100">
        <v>1.4297831515080999E-3</v>
      </c>
      <c r="P41" s="100">
        <v>1.53130406045101E-2</v>
      </c>
      <c r="Q41" s="100">
        <v>3.6691931020460199E-3</v>
      </c>
      <c r="R41" s="100">
        <v>9.6206737485252103E-4</v>
      </c>
      <c r="S41" s="100">
        <v>3.4985200530826598E-4</v>
      </c>
      <c r="T41" s="100">
        <v>9.1621381455658996E-4</v>
      </c>
      <c r="U41" s="100">
        <v>4.5307276086222601E-5</v>
      </c>
      <c r="V41" s="100">
        <v>8.41742278233146E-5</v>
      </c>
      <c r="W41" s="100">
        <v>6.5704886007651102E-4</v>
      </c>
      <c r="X41" s="100">
        <v>7.4804369336563996E-4</v>
      </c>
      <c r="Y41" s="100">
        <v>7.3391319801010201E-4</v>
      </c>
      <c r="Z41" s="100">
        <v>7.4283587012581598E-4</v>
      </c>
      <c r="AA41" s="100">
        <v>1.3674093366715899E-3</v>
      </c>
      <c r="AB41" s="100">
        <v>1.4959614164095599E-3</v>
      </c>
      <c r="AC41" s="100">
        <v>2.1249559643808901E-4</v>
      </c>
      <c r="AD41" s="100">
        <v>2.6993196313065298E-4</v>
      </c>
      <c r="AE41" s="100">
        <v>7.8487834022694203E-4</v>
      </c>
      <c r="AF41" s="100">
        <v>8.7213727329785195E-4</v>
      </c>
      <c r="AG41" s="100">
        <v>9.0179271710691703E-4</v>
      </c>
      <c r="AH41" s="100">
        <v>2.9653690742115399E-3</v>
      </c>
      <c r="AI41" s="100">
        <v>1.48369606573189E-3</v>
      </c>
      <c r="AJ41" s="100">
        <v>4.9121926510198796E-3</v>
      </c>
      <c r="AK41" s="100">
        <v>9.7817499679862504E-4</v>
      </c>
      <c r="AL41" s="100">
        <v>1.75954522126258E-2</v>
      </c>
      <c r="AM41" s="100">
        <v>1.9956727588327401E-3</v>
      </c>
      <c r="AN41" s="100">
        <v>1.7209728020875701E-4</v>
      </c>
      <c r="AO41" s="100">
        <v>6.1836156502073799E-4</v>
      </c>
      <c r="AP41" s="100">
        <v>1.6108260592981301E-3</v>
      </c>
      <c r="AQ41" s="100">
        <v>4.2930719472764799E-4</v>
      </c>
      <c r="AR41" s="100">
        <v>2.7629452702886099E-4</v>
      </c>
      <c r="AS41" s="100">
        <v>3.6198469495688401E-3</v>
      </c>
      <c r="AT41" s="100">
        <v>7.1123264804322096E-5</v>
      </c>
      <c r="AU41" s="100">
        <v>1.1001877125721799E-3</v>
      </c>
      <c r="AV41" s="100">
        <v>4.6051855044598202E-4</v>
      </c>
      <c r="AW41" s="100">
        <v>1.45012900618783E-4</v>
      </c>
      <c r="AX41" s="100">
        <v>1.9164962437739601E-4</v>
      </c>
      <c r="AY41" s="100">
        <v>9.3924040937987899E-4</v>
      </c>
      <c r="AZ41" s="100">
        <v>4.6879996153073701E-5</v>
      </c>
      <c r="BA41" s="100">
        <v>3.9583152273659698E-4</v>
      </c>
      <c r="BB41" s="100">
        <v>2.03753136545531E-4</v>
      </c>
      <c r="BC41" s="100">
        <v>1.7766636740636099E-4</v>
      </c>
      <c r="BD41" s="100">
        <v>8.0415415118073304E-4</v>
      </c>
      <c r="BE41" s="100">
        <v>4.0251885468639498E-3</v>
      </c>
      <c r="BF41" s="100">
        <v>2.3964221499811998E-3</v>
      </c>
      <c r="BG41" s="100">
        <v>5.5042798932126904E-3</v>
      </c>
      <c r="BH41" s="100">
        <v>5.7217789291089105E-4</v>
      </c>
      <c r="BI41" s="100">
        <v>4.0004253421944801E-4</v>
      </c>
      <c r="BJ41" s="100">
        <v>1.0159013914592999E-3</v>
      </c>
      <c r="BK41" s="100">
        <v>2.1236749592675398E-3</v>
      </c>
      <c r="BL41" s="100">
        <v>2.5807290059090597E-4</v>
      </c>
      <c r="BM41" s="100">
        <v>1.3043257067015099E-2</v>
      </c>
      <c r="BN41" s="100">
        <v>2.9366869776808899E-2</v>
      </c>
      <c r="BO41" s="100">
        <v>2.8813159491519898E-3</v>
      </c>
      <c r="BP41" s="100">
        <v>6.3109725678688598E-4</v>
      </c>
      <c r="BQ41" s="101">
        <v>0</v>
      </c>
    </row>
    <row r="42" spans="1:69" ht="15" customHeight="1" x14ac:dyDescent="0.3">
      <c r="A42" s="33" t="s">
        <v>60</v>
      </c>
      <c r="B42" s="11" t="s">
        <v>128</v>
      </c>
      <c r="C42" s="99">
        <v>2.2438106767701E-4</v>
      </c>
      <c r="D42" s="100">
        <v>2.3921002044808299E-4</v>
      </c>
      <c r="E42" s="100">
        <v>2.4537425215326002E-3</v>
      </c>
      <c r="F42" s="100">
        <v>3.7127921075087E-2</v>
      </c>
      <c r="G42" s="100">
        <v>9.3246193383845696E-3</v>
      </c>
      <c r="H42" s="100">
        <v>1.12582768938454E-2</v>
      </c>
      <c r="I42" s="100">
        <v>2.47741430172293E-2</v>
      </c>
      <c r="J42" s="100">
        <v>3.1713760101953199E-3</v>
      </c>
      <c r="K42" s="100">
        <v>1.1945733145783601E-2</v>
      </c>
      <c r="L42" s="100">
        <v>1.6608472934730499E-3</v>
      </c>
      <c r="M42" s="100">
        <v>5.0320724653186702E-3</v>
      </c>
      <c r="N42" s="100">
        <v>1.01636353456056E-3</v>
      </c>
      <c r="O42" s="100">
        <v>2.2361805724586902E-3</v>
      </c>
      <c r="P42" s="100">
        <v>3.49483209295598E-3</v>
      </c>
      <c r="Q42" s="100">
        <v>3.1826736931165E-3</v>
      </c>
      <c r="R42" s="100">
        <v>1.79949805062492E-2</v>
      </c>
      <c r="S42" s="100">
        <v>2.6386195308745801E-2</v>
      </c>
      <c r="T42" s="100">
        <v>5.8462334265789097E-2</v>
      </c>
      <c r="U42" s="100">
        <v>2.2722675044759299E-3</v>
      </c>
      <c r="V42" s="100">
        <v>1.14341591564223E-2</v>
      </c>
      <c r="W42" s="100">
        <v>7.3735710271194696E-3</v>
      </c>
      <c r="X42" s="100">
        <v>6.4848740775978898E-3</v>
      </c>
      <c r="Y42" s="100">
        <v>3.9065912905319397E-3</v>
      </c>
      <c r="Z42" s="100">
        <v>7.8187652522679202E-3</v>
      </c>
      <c r="AA42" s="100">
        <v>3.6978283812205098E-3</v>
      </c>
      <c r="AB42" s="100">
        <v>2.1288654013073401E-2</v>
      </c>
      <c r="AC42" s="100">
        <v>3.3678733040006799E-2</v>
      </c>
      <c r="AD42" s="100">
        <v>2.2265900051121699E-2</v>
      </c>
      <c r="AE42" s="100">
        <v>4.8640873488218104E-3</v>
      </c>
      <c r="AF42" s="100">
        <v>8.9193537212562497E-4</v>
      </c>
      <c r="AG42" s="100">
        <v>4.7341596385622204E-3</v>
      </c>
      <c r="AH42" s="100">
        <v>1.0154974026412101E-2</v>
      </c>
      <c r="AI42" s="100">
        <v>9.6045182874848398E-4</v>
      </c>
      <c r="AJ42" s="100">
        <v>5.2371563228485402E-3</v>
      </c>
      <c r="AK42" s="100">
        <v>4.1311147065185103E-3</v>
      </c>
      <c r="AL42" s="100">
        <v>8.1579205484318702E-3</v>
      </c>
      <c r="AM42" s="100">
        <v>1.0639065232598E-2</v>
      </c>
      <c r="AN42" s="100">
        <v>4.3497144414349799E-3</v>
      </c>
      <c r="AO42" s="100">
        <v>1.41601584792384E-2</v>
      </c>
      <c r="AP42" s="100">
        <v>3.2396734062240099E-3</v>
      </c>
      <c r="AQ42" s="100">
        <v>4.1050060541116601E-3</v>
      </c>
      <c r="AR42" s="100">
        <v>1.3796267852868901E-3</v>
      </c>
      <c r="AS42" s="100">
        <v>2.85420801242172E-2</v>
      </c>
      <c r="AT42" s="100">
        <v>6.1241302631531601E-3</v>
      </c>
      <c r="AU42" s="100">
        <v>2.0941838613746499E-2</v>
      </c>
      <c r="AV42" s="100">
        <v>2.9265883521116499E-4</v>
      </c>
      <c r="AW42" s="100">
        <v>1.34927174051526E-3</v>
      </c>
      <c r="AX42" s="100">
        <v>2.63287593088865E-2</v>
      </c>
      <c r="AY42" s="100">
        <v>3.3516106518510602E-3</v>
      </c>
      <c r="AZ42" s="100">
        <v>2.49799381288952E-3</v>
      </c>
      <c r="BA42" s="100">
        <v>7.6938065019876E-3</v>
      </c>
      <c r="BB42" s="100">
        <v>6.3686935750668504E-4</v>
      </c>
      <c r="BC42" s="100">
        <v>2.6121664364280999E-4</v>
      </c>
      <c r="BD42" s="100">
        <v>3.84851110910241E-3</v>
      </c>
      <c r="BE42" s="100">
        <v>2.95373177912414E-3</v>
      </c>
      <c r="BF42" s="100">
        <v>2.2944300980102198E-3</v>
      </c>
      <c r="BG42" s="100">
        <v>1.8419771314326601E-2</v>
      </c>
      <c r="BH42" s="100">
        <v>4.5904464471202399E-3</v>
      </c>
      <c r="BI42" s="100">
        <v>6.3339401648603803E-3</v>
      </c>
      <c r="BJ42" s="100">
        <v>1.467560947327E-3</v>
      </c>
      <c r="BK42" s="100">
        <v>4.2811202663641901E-4</v>
      </c>
      <c r="BL42" s="100">
        <v>1.238420470023E-5</v>
      </c>
      <c r="BM42" s="100">
        <v>6.0603466601452504E-3</v>
      </c>
      <c r="BN42" s="100">
        <v>2.65262168325495E-3</v>
      </c>
      <c r="BO42" s="100">
        <v>1.35782780119838E-2</v>
      </c>
      <c r="BP42" s="100">
        <v>4.4470969233500997E-3</v>
      </c>
      <c r="BQ42" s="101">
        <v>0</v>
      </c>
    </row>
    <row r="43" spans="1:69" ht="15" customHeight="1" x14ac:dyDescent="0.3">
      <c r="A43" s="33" t="s">
        <v>61</v>
      </c>
      <c r="B43" s="11" t="s">
        <v>129</v>
      </c>
      <c r="C43" s="99">
        <v>1.4322876538317399E-2</v>
      </c>
      <c r="D43" s="100">
        <v>2.32235041775758E-2</v>
      </c>
      <c r="E43" s="100">
        <v>1.22559711556488E-2</v>
      </c>
      <c r="F43" s="100">
        <v>3.5460446896100901E-2</v>
      </c>
      <c r="G43" s="100">
        <v>1.1543791071943E-3</v>
      </c>
      <c r="H43" s="100">
        <v>9.6407094807196194E-3</v>
      </c>
      <c r="I43" s="100">
        <v>1.6025155933176698E-2</v>
      </c>
      <c r="J43" s="100">
        <v>5.0692869313234204E-3</v>
      </c>
      <c r="K43" s="100">
        <v>1.4064358318012901E-3</v>
      </c>
      <c r="L43" s="100">
        <v>8.7604089177708601E-3</v>
      </c>
      <c r="M43" s="100">
        <v>8.7822063891190207E-3</v>
      </c>
      <c r="N43" s="100">
        <v>4.8640836439613E-3</v>
      </c>
      <c r="O43" s="100">
        <v>2.3385004574464099E-2</v>
      </c>
      <c r="P43" s="100">
        <v>3.27456123748141E-3</v>
      </c>
      <c r="Q43" s="100">
        <v>5.9522801505698603E-3</v>
      </c>
      <c r="R43" s="100">
        <v>2.7497799208855402E-2</v>
      </c>
      <c r="S43" s="100">
        <v>2.28962148179029E-2</v>
      </c>
      <c r="T43" s="100">
        <v>6.8735386601047003E-3</v>
      </c>
      <c r="U43" s="100">
        <v>1.13249614149316E-4</v>
      </c>
      <c r="V43" s="100">
        <v>6.6431605312901598E-3</v>
      </c>
      <c r="W43" s="100">
        <v>2.4717264359528798E-2</v>
      </c>
      <c r="X43" s="100">
        <v>7.5886539769835703E-3</v>
      </c>
      <c r="Y43" s="100">
        <v>4.0321139706855297E-3</v>
      </c>
      <c r="Z43" s="100">
        <v>4.3420287455597202E-3</v>
      </c>
      <c r="AA43" s="100">
        <v>1.70337589480823E-2</v>
      </c>
      <c r="AB43" s="100">
        <v>3.7548343488620503E-2</v>
      </c>
      <c r="AC43" s="100">
        <v>1.42803525960559E-2</v>
      </c>
      <c r="AD43" s="100">
        <v>3.5734447211409698E-2</v>
      </c>
      <c r="AE43" s="100">
        <v>8.7634478776728707E-3</v>
      </c>
      <c r="AF43" s="100">
        <v>1.49993445602214E-3</v>
      </c>
      <c r="AG43" s="100">
        <v>5.9755992578072598E-3</v>
      </c>
      <c r="AH43" s="100">
        <v>4.2268898917932297E-3</v>
      </c>
      <c r="AI43" s="100">
        <v>2.8729261552007598E-3</v>
      </c>
      <c r="AJ43" s="100">
        <v>1.0764075301395599E-2</v>
      </c>
      <c r="AK43" s="100">
        <v>4.9149903780640897E-3</v>
      </c>
      <c r="AL43" s="100">
        <v>4.7636656087972898E-3</v>
      </c>
      <c r="AM43" s="100">
        <v>2.5631178840142101E-3</v>
      </c>
      <c r="AN43" s="100">
        <v>0.37740635024895602</v>
      </c>
      <c r="AO43" s="100">
        <v>3.8981200224389799E-2</v>
      </c>
      <c r="AP43" s="100">
        <v>9.5450178795161104E-4</v>
      </c>
      <c r="AQ43" s="100">
        <v>1.6750171481070299E-2</v>
      </c>
      <c r="AR43" s="100">
        <v>3.7310228040277902E-3</v>
      </c>
      <c r="AS43" s="100">
        <v>2.1174477098644599E-3</v>
      </c>
      <c r="AT43" s="100">
        <v>1.0835891405041201E-3</v>
      </c>
      <c r="AU43" s="100">
        <v>9.4900564723235208E-3</v>
      </c>
      <c r="AV43" s="100">
        <v>6.0287822268986803E-2</v>
      </c>
      <c r="AW43" s="100">
        <v>6.9183491743659504E-3</v>
      </c>
      <c r="AX43" s="100">
        <v>7.3497285113959801E-3</v>
      </c>
      <c r="AY43" s="100">
        <v>1.0749707046257599E-2</v>
      </c>
      <c r="AZ43" s="100">
        <v>1.2040021345551301E-2</v>
      </c>
      <c r="BA43" s="100">
        <v>4.6378125391615703E-3</v>
      </c>
      <c r="BB43" s="100">
        <v>3.63571691705049E-3</v>
      </c>
      <c r="BC43" s="100">
        <v>1.4229451675493599E-3</v>
      </c>
      <c r="BD43" s="100">
        <v>5.9733615941662196E-3</v>
      </c>
      <c r="BE43" s="100">
        <v>4.6588661138718202E-3</v>
      </c>
      <c r="BF43" s="100">
        <v>3.2246383339373701E-3</v>
      </c>
      <c r="BG43" s="100">
        <v>3.4936303664291502E-3</v>
      </c>
      <c r="BH43" s="100">
        <v>2.5972013596106801E-2</v>
      </c>
      <c r="BI43" s="100">
        <v>2.7627973061495701E-3</v>
      </c>
      <c r="BJ43" s="100">
        <v>6.9297600392227501E-3</v>
      </c>
      <c r="BK43" s="100">
        <v>5.3149511484660199E-3</v>
      </c>
      <c r="BL43" s="100">
        <v>2.1528866882278001E-2</v>
      </c>
      <c r="BM43" s="100">
        <v>6.6522189135941904E-3</v>
      </c>
      <c r="BN43" s="100">
        <v>5.1149104772842801E-3</v>
      </c>
      <c r="BO43" s="100">
        <v>3.21572037598465E-2</v>
      </c>
      <c r="BP43" s="100">
        <v>1.8118402930385202E-2</v>
      </c>
      <c r="BQ43" s="101">
        <v>0</v>
      </c>
    </row>
    <row r="44" spans="1:69" ht="15" customHeight="1" x14ac:dyDescent="0.3">
      <c r="A44" s="33" t="s">
        <v>62</v>
      </c>
      <c r="B44" s="11" t="s">
        <v>130</v>
      </c>
      <c r="C44" s="99">
        <v>2.82328005881508E-5</v>
      </c>
      <c r="D44" s="100">
        <v>1.9503957465006401E-5</v>
      </c>
      <c r="E44" s="100">
        <v>4.0751242221794498E-5</v>
      </c>
      <c r="F44" s="100">
        <v>1.5057589061774101E-3</v>
      </c>
      <c r="G44" s="100">
        <v>2.8631951043909198E-4</v>
      </c>
      <c r="H44" s="100">
        <v>2.33082195004739E-3</v>
      </c>
      <c r="I44" s="100">
        <v>2.6421282695022101E-3</v>
      </c>
      <c r="J44" s="100">
        <v>5.5095081663010699E-4</v>
      </c>
      <c r="K44" s="100">
        <v>1.05060150597874E-3</v>
      </c>
      <c r="L44" s="100">
        <v>1.1024176851358401E-3</v>
      </c>
      <c r="M44" s="100">
        <v>6.3874216808310104E-3</v>
      </c>
      <c r="N44" s="100">
        <v>7.1107768870987205E-5</v>
      </c>
      <c r="O44" s="100">
        <v>1.27332322879779E-3</v>
      </c>
      <c r="P44" s="100">
        <v>4.7149499857314099E-4</v>
      </c>
      <c r="Q44" s="100">
        <v>7.5294525113792803E-4</v>
      </c>
      <c r="R44" s="100">
        <v>7.9345722878239999E-3</v>
      </c>
      <c r="S44" s="100">
        <v>4.0026037422197401E-3</v>
      </c>
      <c r="T44" s="100">
        <v>3.62618589323974E-4</v>
      </c>
      <c r="U44" s="100">
        <v>9.794528100776881E-4</v>
      </c>
      <c r="V44" s="100">
        <v>1.9345350827363599E-3</v>
      </c>
      <c r="W44" s="100">
        <v>3.7798426152535099E-3</v>
      </c>
      <c r="X44" s="100">
        <v>4.7557919617102198E-3</v>
      </c>
      <c r="Y44" s="100">
        <v>2.8737348728849902E-3</v>
      </c>
      <c r="Z44" s="100">
        <v>1.14403054635336E-3</v>
      </c>
      <c r="AA44" s="100">
        <v>3.32131226932351E-3</v>
      </c>
      <c r="AB44" s="100">
        <v>8.4961860783858908E-3</v>
      </c>
      <c r="AC44" s="100">
        <v>1.7326234769484299E-2</v>
      </c>
      <c r="AD44" s="100">
        <v>1.9957430337234901E-2</v>
      </c>
      <c r="AE44" s="100">
        <v>1.37864241993379E-3</v>
      </c>
      <c r="AF44" s="100">
        <v>2.0762938959457099E-4</v>
      </c>
      <c r="AG44" s="100">
        <v>5.88898317409342E-4</v>
      </c>
      <c r="AH44" s="100">
        <v>5.98526975084619E-4</v>
      </c>
      <c r="AI44" s="100">
        <v>6.0523243683239299E-4</v>
      </c>
      <c r="AJ44" s="100">
        <v>2.8162129523115901E-3</v>
      </c>
      <c r="AK44" s="100">
        <v>1.8206093015331699E-3</v>
      </c>
      <c r="AL44" s="100">
        <v>1.0236099642667201E-3</v>
      </c>
      <c r="AM44" s="100">
        <v>2.9411783718057399E-4</v>
      </c>
      <c r="AN44" s="100">
        <v>3.5158964573219701E-4</v>
      </c>
      <c r="AO44" s="100">
        <v>1.4159007603431899E-2</v>
      </c>
      <c r="AP44" s="100">
        <v>5.3158306071111601E-4</v>
      </c>
      <c r="AQ44" s="100">
        <v>4.1887970930743496E-3</v>
      </c>
      <c r="AR44" s="100">
        <v>1.12038749182945E-3</v>
      </c>
      <c r="AS44" s="100">
        <v>5.07250834275698E-4</v>
      </c>
      <c r="AT44" s="100">
        <v>2.5022874055667801E-4</v>
      </c>
      <c r="AU44" s="100">
        <v>6.7351507787246703E-3</v>
      </c>
      <c r="AV44" s="100">
        <v>2.3134079976463801E-2</v>
      </c>
      <c r="AW44" s="100">
        <v>4.4171683259344296E-3</v>
      </c>
      <c r="AX44" s="100">
        <v>1.9563511585136101E-3</v>
      </c>
      <c r="AY44" s="100">
        <v>2.08223770137535E-3</v>
      </c>
      <c r="AZ44" s="100">
        <v>3.8233128362247899E-4</v>
      </c>
      <c r="BA44" s="100">
        <v>1.0523588998813799E-3</v>
      </c>
      <c r="BB44" s="100">
        <v>1.1122055200887401E-3</v>
      </c>
      <c r="BC44" s="100">
        <v>7.1870933423158403E-4</v>
      </c>
      <c r="BD44" s="100">
        <v>3.6994980558070498E-3</v>
      </c>
      <c r="BE44" s="100">
        <v>1.50567549664003E-3</v>
      </c>
      <c r="BF44" s="100">
        <v>6.4482198601820996E-4</v>
      </c>
      <c r="BG44" s="100">
        <v>1.2705841938743701E-3</v>
      </c>
      <c r="BH44" s="100">
        <v>2.1998363240441E-2</v>
      </c>
      <c r="BI44" s="100">
        <v>9.5529832707889602E-4</v>
      </c>
      <c r="BJ44" s="100">
        <v>1.18660097781597E-2</v>
      </c>
      <c r="BK44" s="100">
        <v>3.9822488874824797E-3</v>
      </c>
      <c r="BL44" s="100">
        <v>2.7561224010059899E-3</v>
      </c>
      <c r="BM44" s="100">
        <v>8.1281432549702801E-3</v>
      </c>
      <c r="BN44" s="100">
        <v>6.8123817687584997E-3</v>
      </c>
      <c r="BO44" s="100">
        <v>4.1398205768790001E-3</v>
      </c>
      <c r="BP44" s="100">
        <v>1.5440492490465399E-2</v>
      </c>
      <c r="BQ44" s="101">
        <v>0</v>
      </c>
    </row>
    <row r="45" spans="1:69" ht="15" customHeight="1" x14ac:dyDescent="0.3">
      <c r="A45" s="33" t="s">
        <v>63</v>
      </c>
      <c r="B45" s="11" t="s">
        <v>131</v>
      </c>
      <c r="C45" s="99">
        <v>1.4582655342801701E-4</v>
      </c>
      <c r="D45" s="100">
        <v>7.3215991091306798E-4</v>
      </c>
      <c r="E45" s="100">
        <v>2.57386599192652E-4</v>
      </c>
      <c r="F45" s="100">
        <v>2.42033122238693E-4</v>
      </c>
      <c r="G45" s="100">
        <v>4.3636551656821999E-3</v>
      </c>
      <c r="H45" s="100">
        <v>1.8040882795347799E-2</v>
      </c>
      <c r="I45" s="100">
        <v>1.15411184594002E-2</v>
      </c>
      <c r="J45" s="100">
        <v>3.7741856468940301E-5</v>
      </c>
      <c r="K45" s="100">
        <v>1.5957023184494799E-4</v>
      </c>
      <c r="L45" s="100">
        <v>5.4667259137214701E-5</v>
      </c>
      <c r="M45" s="100">
        <v>5.7199961337145E-5</v>
      </c>
      <c r="N45" s="100">
        <v>5.0790185887453101E-5</v>
      </c>
      <c r="O45" s="100">
        <v>4.1469618966543103E-4</v>
      </c>
      <c r="P45" s="100">
        <v>8.7153207980729803E-5</v>
      </c>
      <c r="Q45" s="100">
        <v>3.4903043288307903E-5</v>
      </c>
      <c r="R45" s="100">
        <v>5.6468645783046703E-5</v>
      </c>
      <c r="S45" s="100">
        <v>3.31067331586084E-4</v>
      </c>
      <c r="T45" s="100">
        <v>9.1112472392201199E-4</v>
      </c>
      <c r="U45" s="100">
        <v>7.6520616734044604E-5</v>
      </c>
      <c r="V45" s="100">
        <v>6.6556308773961298E-4</v>
      </c>
      <c r="W45" s="100">
        <v>2.8694061758562301E-4</v>
      </c>
      <c r="X45" s="100">
        <v>6.3333109054433098E-5</v>
      </c>
      <c r="Y45" s="100">
        <v>5.5521620884699501E-5</v>
      </c>
      <c r="Z45" s="100">
        <v>6.8959862268084396E-5</v>
      </c>
      <c r="AA45" s="100">
        <v>6.8070972510302395E-5</v>
      </c>
      <c r="AB45" s="100">
        <v>3.0954541340427001E-4</v>
      </c>
      <c r="AC45" s="100">
        <v>4.57247555386301E-4</v>
      </c>
      <c r="AD45" s="100">
        <v>2.3118116214239301E-2</v>
      </c>
      <c r="AE45" s="100">
        <v>4.5781873289843099E-4</v>
      </c>
      <c r="AF45" s="100">
        <v>5.0060309901649798E-4</v>
      </c>
      <c r="AG45" s="100">
        <v>9.4512871214787005E-5</v>
      </c>
      <c r="AH45" s="100">
        <v>4.1235262742240499E-4</v>
      </c>
      <c r="AI45" s="100">
        <v>8.5350114360766504E-4</v>
      </c>
      <c r="AJ45" s="100">
        <v>2.6181697184061899E-4</v>
      </c>
      <c r="AK45" s="100">
        <v>4.0364061209956599E-3</v>
      </c>
      <c r="AL45" s="100">
        <v>1.95311005363877E-4</v>
      </c>
      <c r="AM45" s="100">
        <v>5.4611134969841303E-5</v>
      </c>
      <c r="AN45" s="100">
        <v>3.5877092411715997E-5</v>
      </c>
      <c r="AO45" s="100">
        <v>3.9460943146364003E-2</v>
      </c>
      <c r="AP45" s="100">
        <v>8.0601906191127795E-2</v>
      </c>
      <c r="AQ45" s="100">
        <v>1.3021058484825199E-3</v>
      </c>
      <c r="AR45" s="100">
        <v>6.8832928558889303E-4</v>
      </c>
      <c r="AS45" s="100">
        <v>7.63117226947257E-4</v>
      </c>
      <c r="AT45" s="100">
        <v>8.4086502293526197E-4</v>
      </c>
      <c r="AU45" s="100">
        <v>1.03957055497067E-2</v>
      </c>
      <c r="AV45" s="100">
        <v>9.04443426411272E-3</v>
      </c>
      <c r="AW45" s="100">
        <v>1.8239778297555801E-3</v>
      </c>
      <c r="AX45" s="100">
        <v>5.4071664062051497E-4</v>
      </c>
      <c r="AY45" s="100">
        <v>4.4627044151490701E-3</v>
      </c>
      <c r="AZ45" s="100">
        <v>2.0400434410857898E-2</v>
      </c>
      <c r="BA45" s="100">
        <v>5.07265259565692E-3</v>
      </c>
      <c r="BB45" s="100">
        <v>1.47346738040964E-3</v>
      </c>
      <c r="BC45" s="100">
        <v>2.14157890144265E-3</v>
      </c>
      <c r="BD45" s="100">
        <v>1.4129348127985E-3</v>
      </c>
      <c r="BE45" s="100">
        <v>1.0740335322959701E-2</v>
      </c>
      <c r="BF45" s="100">
        <v>2.4416576724637799E-4</v>
      </c>
      <c r="BG45" s="100">
        <v>3.3240071634129502E-3</v>
      </c>
      <c r="BH45" s="100">
        <v>8.71331611111777E-3</v>
      </c>
      <c r="BI45" s="100">
        <v>4.1437705777312998E-4</v>
      </c>
      <c r="BJ45" s="100">
        <v>1.47677209198039E-2</v>
      </c>
      <c r="BK45" s="100">
        <v>4.2203336750253296E-3</v>
      </c>
      <c r="BL45" s="100">
        <v>3.5205006547108899E-3</v>
      </c>
      <c r="BM45" s="100">
        <v>1.7228704979540699E-2</v>
      </c>
      <c r="BN45" s="100">
        <v>1.3495326465044801E-4</v>
      </c>
      <c r="BO45" s="100">
        <v>4.1618370392349302E-3</v>
      </c>
      <c r="BP45" s="100">
        <v>2.0238485003722302E-3</v>
      </c>
      <c r="BQ45" s="101">
        <v>0</v>
      </c>
    </row>
    <row r="46" spans="1:69" ht="15" customHeight="1" x14ac:dyDescent="0.3">
      <c r="A46" s="33" t="s">
        <v>64</v>
      </c>
      <c r="B46" s="11" t="s">
        <v>132</v>
      </c>
      <c r="C46" s="99">
        <v>4.2747257288436702E-2</v>
      </c>
      <c r="D46" s="100">
        <v>6.59122508660763E-2</v>
      </c>
      <c r="E46" s="100">
        <v>2.4598083572147201E-2</v>
      </c>
      <c r="F46" s="100">
        <v>4.0212164050633603E-2</v>
      </c>
      <c r="G46" s="100">
        <v>2.59343812115575E-2</v>
      </c>
      <c r="H46" s="100">
        <v>4.2192009012612899E-2</v>
      </c>
      <c r="I46" s="100">
        <v>4.9429015596881801E-2</v>
      </c>
      <c r="J46" s="100">
        <v>8.7684306446219107E-2</v>
      </c>
      <c r="K46" s="100">
        <v>2.2044446608693501E-2</v>
      </c>
      <c r="L46" s="100">
        <v>8.7030300743340297E-2</v>
      </c>
      <c r="M46" s="100">
        <v>6.0877540674670098E-2</v>
      </c>
      <c r="N46" s="100">
        <v>6.9340261400812606E-2</v>
      </c>
      <c r="O46" s="100">
        <v>8.3344844758996603E-2</v>
      </c>
      <c r="P46" s="100">
        <v>9.6131466354148098E-2</v>
      </c>
      <c r="Q46" s="100">
        <v>9.0592063644090698E-2</v>
      </c>
      <c r="R46" s="100">
        <v>7.6760693059358995E-2</v>
      </c>
      <c r="S46" s="100">
        <v>9.6536279591084406E-2</v>
      </c>
      <c r="T46" s="100">
        <v>8.8332684513319895E-2</v>
      </c>
      <c r="U46" s="100">
        <v>1.3427700504044E-2</v>
      </c>
      <c r="V46" s="100">
        <v>3.8306547691034899E-2</v>
      </c>
      <c r="W46" s="100">
        <v>5.3154846932853002E-2</v>
      </c>
      <c r="X46" s="100">
        <v>7.5492537170427199E-2</v>
      </c>
      <c r="Y46" s="100">
        <v>8.11964788289367E-2</v>
      </c>
      <c r="Z46" s="100">
        <v>6.0068368945614799E-2</v>
      </c>
      <c r="AA46" s="100">
        <v>8.1493917455128004E-2</v>
      </c>
      <c r="AB46" s="100">
        <v>7.3630265536617306E-2</v>
      </c>
      <c r="AC46" s="100">
        <v>6.5429495797454204E-2</v>
      </c>
      <c r="AD46" s="100">
        <v>0.101558844640101</v>
      </c>
      <c r="AE46" s="100">
        <v>7.4376000094959205E-2</v>
      </c>
      <c r="AF46" s="100">
        <v>7.5690305904473204E-2</v>
      </c>
      <c r="AG46" s="100">
        <v>0.109702235128426</v>
      </c>
      <c r="AH46" s="100">
        <v>0.111832612184978</v>
      </c>
      <c r="AI46" s="100">
        <v>9.0956810000103E-2</v>
      </c>
      <c r="AJ46" s="100">
        <v>8.3904850101422193E-2</v>
      </c>
      <c r="AK46" s="100">
        <v>5.8543338524980303E-2</v>
      </c>
      <c r="AL46" s="100">
        <v>8.8733441398191198E-2</v>
      </c>
      <c r="AM46" s="100">
        <v>8.3300321338302702E-2</v>
      </c>
      <c r="AN46" s="100">
        <v>1.0984811054856001E-2</v>
      </c>
      <c r="AO46" s="100">
        <v>2.8691558668777001E-2</v>
      </c>
      <c r="AP46" s="100">
        <v>5.5091945994671002E-2</v>
      </c>
      <c r="AQ46" s="100">
        <v>2.67450768957526E-2</v>
      </c>
      <c r="AR46" s="100">
        <v>5.2867573000017098E-2</v>
      </c>
      <c r="AS46" s="100">
        <v>2.1473522104932901E-2</v>
      </c>
      <c r="AT46" s="100">
        <v>1.8219485051843901E-2</v>
      </c>
      <c r="AU46" s="100">
        <v>1.28828456777465E-2</v>
      </c>
      <c r="AV46" s="100">
        <v>2.7507641928076601E-2</v>
      </c>
      <c r="AW46" s="100">
        <v>7.4606210415209595E-2</v>
      </c>
      <c r="AX46" s="100">
        <v>7.5384391988690694E-2</v>
      </c>
      <c r="AY46" s="100">
        <v>2.4940737484149801E-2</v>
      </c>
      <c r="AZ46" s="100">
        <v>2.5326150253155402E-2</v>
      </c>
      <c r="BA46" s="100">
        <v>1.68860008079048E-2</v>
      </c>
      <c r="BB46" s="100">
        <v>4.9000167836202096E-3</v>
      </c>
      <c r="BC46" s="100">
        <v>2.2821818702315299E-3</v>
      </c>
      <c r="BD46" s="100">
        <v>1.01375529737056E-2</v>
      </c>
      <c r="BE46" s="100">
        <v>2.5867380612514802E-2</v>
      </c>
      <c r="BF46" s="100">
        <v>3.9689580719227298E-2</v>
      </c>
      <c r="BG46" s="100">
        <v>3.4130597706948602E-2</v>
      </c>
      <c r="BH46" s="100">
        <v>1.8958015737905901E-2</v>
      </c>
      <c r="BI46" s="100">
        <v>1.26317565622357E-2</v>
      </c>
      <c r="BJ46" s="100">
        <v>9.4832198893575401E-3</v>
      </c>
      <c r="BK46" s="100">
        <v>1.3746863720899101E-2</v>
      </c>
      <c r="BL46" s="100">
        <v>1.35220838082049E-2</v>
      </c>
      <c r="BM46" s="100">
        <v>5.2609815193445701E-2</v>
      </c>
      <c r="BN46" s="100">
        <v>4.8258427730729803E-2</v>
      </c>
      <c r="BO46" s="100">
        <v>1.63302471279974E-2</v>
      </c>
      <c r="BP46" s="100">
        <v>2.6699898935546199E-2</v>
      </c>
      <c r="BQ46" s="101">
        <v>0</v>
      </c>
    </row>
    <row r="47" spans="1:69" ht="15" customHeight="1" x14ac:dyDescent="0.3">
      <c r="A47" s="33" t="s">
        <v>65</v>
      </c>
      <c r="B47" s="11" t="s">
        <v>133</v>
      </c>
      <c r="C47" s="99">
        <v>1.5271583835560701E-2</v>
      </c>
      <c r="D47" s="100">
        <v>1.42643363340735E-2</v>
      </c>
      <c r="E47" s="100">
        <v>2.1444212453341101E-2</v>
      </c>
      <c r="F47" s="100">
        <v>4.3636244936003397E-2</v>
      </c>
      <c r="G47" s="100">
        <v>3.1558691029465499E-2</v>
      </c>
      <c r="H47" s="100">
        <v>2.57953904331201E-2</v>
      </c>
      <c r="I47" s="100">
        <v>3.8621612683627397E-2</v>
      </c>
      <c r="J47" s="100">
        <v>4.8933281317847098E-2</v>
      </c>
      <c r="K47" s="100">
        <v>7.0685059581322901E-2</v>
      </c>
      <c r="L47" s="100">
        <v>5.9012531129699501E-2</v>
      </c>
      <c r="M47" s="100">
        <v>5.4880207218779703E-2</v>
      </c>
      <c r="N47" s="100">
        <v>1.6038227852419599E-2</v>
      </c>
      <c r="O47" s="100">
        <v>2.2673037342693301E-2</v>
      </c>
      <c r="P47" s="100">
        <v>2.1962767009916399E-2</v>
      </c>
      <c r="Q47" s="100">
        <v>3.03911853470414E-2</v>
      </c>
      <c r="R47" s="100">
        <v>5.6908729321194999E-2</v>
      </c>
      <c r="S47" s="100">
        <v>6.0213171289079499E-2</v>
      </c>
      <c r="T47" s="100">
        <v>2.01686980160753E-2</v>
      </c>
      <c r="U47" s="100">
        <v>1.0929882122881601E-2</v>
      </c>
      <c r="V47" s="100">
        <v>4.3930814827322098E-2</v>
      </c>
      <c r="W47" s="100">
        <v>3.6240641940655897E-2</v>
      </c>
      <c r="X47" s="100">
        <v>2.9073849280196701E-2</v>
      </c>
      <c r="Y47" s="100">
        <v>3.9065647720272698E-2</v>
      </c>
      <c r="Z47" s="100">
        <v>4.5209923873065903E-2</v>
      </c>
      <c r="AA47" s="100">
        <v>2.7467403280728699E-2</v>
      </c>
      <c r="AB47" s="100">
        <v>4.1540367002101002E-2</v>
      </c>
      <c r="AC47" s="100">
        <v>3.85319224054788E-2</v>
      </c>
      <c r="AD47" s="100">
        <v>2.30410701723733E-2</v>
      </c>
      <c r="AE47" s="100">
        <v>2.81472901472361E-2</v>
      </c>
      <c r="AF47" s="100">
        <v>1.8253583622366901E-2</v>
      </c>
      <c r="AG47" s="100">
        <v>2.0018096968967999E-2</v>
      </c>
      <c r="AH47" s="100">
        <v>2.1441583653103499E-2</v>
      </c>
      <c r="AI47" s="100">
        <v>2.3477756190201201E-2</v>
      </c>
      <c r="AJ47" s="100">
        <v>2.28258375449805E-2</v>
      </c>
      <c r="AK47" s="100">
        <v>1.8867955356262098E-2</v>
      </c>
      <c r="AL47" s="100">
        <v>2.2267350438597799E-2</v>
      </c>
      <c r="AM47" s="100">
        <v>8.0508469237393805E-3</v>
      </c>
      <c r="AN47" s="100">
        <v>1.16989288187854E-2</v>
      </c>
      <c r="AO47" s="100">
        <v>7.6303097506712596E-3</v>
      </c>
      <c r="AP47" s="100">
        <v>9.2291308753784107E-3</v>
      </c>
      <c r="AQ47" s="100">
        <v>3.9835938058020597E-2</v>
      </c>
      <c r="AR47" s="100">
        <v>0.117097171335038</v>
      </c>
      <c r="AS47" s="100">
        <v>6.3357733392731902E-2</v>
      </c>
      <c r="AT47" s="100">
        <v>1.1283224055033099E-2</v>
      </c>
      <c r="AU47" s="100">
        <v>4.6638543699188399E-2</v>
      </c>
      <c r="AV47" s="100">
        <v>1.06760945110978E-2</v>
      </c>
      <c r="AW47" s="100">
        <v>1.7998747082379401E-2</v>
      </c>
      <c r="AX47" s="100">
        <v>2.3359066623214499E-2</v>
      </c>
      <c r="AY47" s="100">
        <v>1.1795794908132399E-2</v>
      </c>
      <c r="AZ47" s="100">
        <v>3.3622729841007899E-3</v>
      </c>
      <c r="BA47" s="100">
        <v>4.7502980010637203E-3</v>
      </c>
      <c r="BB47" s="100">
        <v>3.1267618727081098E-3</v>
      </c>
      <c r="BC47" s="100">
        <v>4.5571105131212802E-4</v>
      </c>
      <c r="BD47" s="100">
        <v>5.0895030267312496E-3</v>
      </c>
      <c r="BE47" s="100">
        <v>1.8054132939706001E-2</v>
      </c>
      <c r="BF47" s="100">
        <v>5.5573344758278699E-3</v>
      </c>
      <c r="BG47" s="100">
        <v>1.07525900232228E-2</v>
      </c>
      <c r="BH47" s="100">
        <v>4.1932689018766697E-3</v>
      </c>
      <c r="BI47" s="100">
        <v>4.9367485139190301E-3</v>
      </c>
      <c r="BJ47" s="100">
        <v>4.2096952681477898E-3</v>
      </c>
      <c r="BK47" s="100">
        <v>5.3150875842826496E-3</v>
      </c>
      <c r="BL47" s="100">
        <v>1.25041798594819E-2</v>
      </c>
      <c r="BM47" s="100">
        <v>1.0506837350792201E-2</v>
      </c>
      <c r="BN47" s="100">
        <v>3.0029180076995201E-3</v>
      </c>
      <c r="BO47" s="100">
        <v>8.6843477520210204E-3</v>
      </c>
      <c r="BP47" s="100">
        <v>1.8086352045859101E-2</v>
      </c>
      <c r="BQ47" s="101">
        <v>0</v>
      </c>
    </row>
    <row r="48" spans="1:69" ht="15" customHeight="1" x14ac:dyDescent="0.3">
      <c r="A48" s="33" t="s">
        <v>66</v>
      </c>
      <c r="B48" s="11" t="s">
        <v>134</v>
      </c>
      <c r="C48" s="99">
        <v>1.2836055308399199E-3</v>
      </c>
      <c r="D48" s="100">
        <v>1.18752500663856E-3</v>
      </c>
      <c r="E48" s="100">
        <v>1.73309640320095E-3</v>
      </c>
      <c r="F48" s="100">
        <v>3.6366361822071699E-3</v>
      </c>
      <c r="G48" s="100">
        <v>2.5240236316615202E-3</v>
      </c>
      <c r="H48" s="100">
        <v>1.77314194750355E-3</v>
      </c>
      <c r="I48" s="100">
        <v>2.7686761877187098E-3</v>
      </c>
      <c r="J48" s="100">
        <v>4.0621328857300201E-3</v>
      </c>
      <c r="K48" s="100">
        <v>5.8304494668392302E-3</v>
      </c>
      <c r="L48" s="100">
        <v>4.8934215611625897E-3</v>
      </c>
      <c r="M48" s="100">
        <v>4.0947323901801003E-3</v>
      </c>
      <c r="N48" s="100">
        <v>1.19366901246048E-3</v>
      </c>
      <c r="O48" s="100">
        <v>1.9207965151015699E-3</v>
      </c>
      <c r="P48" s="100">
        <v>1.6544896056473501E-3</v>
      </c>
      <c r="Q48" s="100">
        <v>2.4374693939086599E-3</v>
      </c>
      <c r="R48" s="100">
        <v>2.6350512973255902E-3</v>
      </c>
      <c r="S48" s="100">
        <v>5.0258264749862497E-3</v>
      </c>
      <c r="T48" s="100">
        <v>1.6776576312701899E-3</v>
      </c>
      <c r="U48" s="100">
        <v>9.1249210146130604E-4</v>
      </c>
      <c r="V48" s="100">
        <v>3.5623460646917902E-3</v>
      </c>
      <c r="W48" s="100">
        <v>2.9900276869651199E-3</v>
      </c>
      <c r="X48" s="100">
        <v>2.3015273985563401E-3</v>
      </c>
      <c r="Y48" s="100">
        <v>3.0849809269188301E-3</v>
      </c>
      <c r="Z48" s="100">
        <v>3.4871330389527602E-3</v>
      </c>
      <c r="AA48" s="100">
        <v>2.1703829660759898E-3</v>
      </c>
      <c r="AB48" s="100">
        <v>3.1980330652655801E-3</v>
      </c>
      <c r="AC48" s="100">
        <v>3.1913483790623198E-3</v>
      </c>
      <c r="AD48" s="100">
        <v>1.9409499075418899E-3</v>
      </c>
      <c r="AE48" s="100">
        <v>2.1569161592444098E-3</v>
      </c>
      <c r="AF48" s="100">
        <v>1.4508072958799099E-3</v>
      </c>
      <c r="AG48" s="100">
        <v>1.5920758128992699E-3</v>
      </c>
      <c r="AH48" s="100">
        <v>1.58915757971296E-3</v>
      </c>
      <c r="AI48" s="100">
        <v>1.82412471178756E-3</v>
      </c>
      <c r="AJ48" s="100">
        <v>1.72007072285936E-3</v>
      </c>
      <c r="AK48" s="100">
        <v>1.549070098336E-3</v>
      </c>
      <c r="AL48" s="100">
        <v>1.8389938551302801E-3</v>
      </c>
      <c r="AM48" s="100">
        <v>6.0253588703293903E-4</v>
      </c>
      <c r="AN48" s="100">
        <v>9.50172284940881E-4</v>
      </c>
      <c r="AO48" s="100">
        <v>6.2921677228649304E-4</v>
      </c>
      <c r="AP48" s="100">
        <v>7.5422549171971396E-4</v>
      </c>
      <c r="AQ48" s="100">
        <v>3.30088901779615E-3</v>
      </c>
      <c r="AR48" s="100">
        <v>9.8706939334116499E-3</v>
      </c>
      <c r="AS48" s="100">
        <v>5.1156152064314999E-3</v>
      </c>
      <c r="AT48" s="100">
        <v>6.5302220822745498E-4</v>
      </c>
      <c r="AU48" s="100">
        <v>3.8500675539196801E-3</v>
      </c>
      <c r="AV48" s="100">
        <v>8.6024264287375303E-4</v>
      </c>
      <c r="AW48" s="100">
        <v>1.5292652846923801E-3</v>
      </c>
      <c r="AX48" s="100">
        <v>1.65282468173381E-3</v>
      </c>
      <c r="AY48" s="100">
        <v>4.4201216601970198E-4</v>
      </c>
      <c r="AZ48" s="100">
        <v>1.69364221546545E-4</v>
      </c>
      <c r="BA48" s="100">
        <v>2.1128525709320799E-4</v>
      </c>
      <c r="BB48" s="100">
        <v>1.1508307546545499E-4</v>
      </c>
      <c r="BC48" s="100">
        <v>2.9261350179384801E-5</v>
      </c>
      <c r="BD48" s="100">
        <v>3.2154248916939398E-4</v>
      </c>
      <c r="BE48" s="100">
        <v>5.9797742849599397E-4</v>
      </c>
      <c r="BF48" s="100">
        <v>2.35457002128532E-4</v>
      </c>
      <c r="BG48" s="100">
        <v>7.4164407696324195E-4</v>
      </c>
      <c r="BH48" s="100">
        <v>2.67408188266735E-4</v>
      </c>
      <c r="BI48" s="100">
        <v>3.1511725762510599E-4</v>
      </c>
      <c r="BJ48" s="100">
        <v>1.69976261486096E-4</v>
      </c>
      <c r="BK48" s="100">
        <v>1.4237039090188899E-4</v>
      </c>
      <c r="BL48" s="100">
        <v>1.9947732044867599E-4</v>
      </c>
      <c r="BM48" s="100">
        <v>4.9282079498439303E-4</v>
      </c>
      <c r="BN48" s="100">
        <v>2.7472133028249901E-4</v>
      </c>
      <c r="BO48" s="100">
        <v>6.4323401932267997E-4</v>
      </c>
      <c r="BP48" s="100">
        <v>4.9941106416603702E-4</v>
      </c>
      <c r="BQ48" s="101">
        <v>0</v>
      </c>
    </row>
    <row r="49" spans="1:69" ht="15" customHeight="1" x14ac:dyDescent="0.3">
      <c r="A49" s="33" t="s">
        <v>67</v>
      </c>
      <c r="B49" s="11" t="s">
        <v>135</v>
      </c>
      <c r="C49" s="99">
        <v>4.34440350592008E-6</v>
      </c>
      <c r="D49" s="100">
        <v>2.6733065357805502E-6</v>
      </c>
      <c r="E49" s="100">
        <v>6.01562691010866E-5</v>
      </c>
      <c r="F49" s="100">
        <v>5.68410865317867E-5</v>
      </c>
      <c r="G49" s="100">
        <v>5.18497955402675E-3</v>
      </c>
      <c r="H49" s="100">
        <v>7.5142063487713696E-5</v>
      </c>
      <c r="I49" s="100">
        <v>9.0466041499843498E-4</v>
      </c>
      <c r="J49" s="100">
        <v>6.05386109027428E-4</v>
      </c>
      <c r="K49" s="100">
        <v>6.1372836428460396E-5</v>
      </c>
      <c r="L49" s="100">
        <v>4.5426391647070997E-4</v>
      </c>
      <c r="M49" s="100">
        <v>3.7996187112332799E-4</v>
      </c>
      <c r="N49" s="100">
        <v>1.27736582854386E-3</v>
      </c>
      <c r="O49" s="100">
        <v>2.9908727177626601E-4</v>
      </c>
      <c r="P49" s="100">
        <v>3.0164148636693502E-4</v>
      </c>
      <c r="Q49" s="100">
        <v>5.3455401358016099E-4</v>
      </c>
      <c r="R49" s="100">
        <v>1.00108405699321E-3</v>
      </c>
      <c r="S49" s="100">
        <v>6.62265485475149E-4</v>
      </c>
      <c r="T49" s="100">
        <v>4.57206766124177E-4</v>
      </c>
      <c r="U49" s="100">
        <v>7.3880759684988301E-5</v>
      </c>
      <c r="V49" s="100">
        <v>1.22137784246898E-4</v>
      </c>
      <c r="W49" s="100">
        <v>9.65315653559063E-4</v>
      </c>
      <c r="X49" s="100">
        <v>1.8878964783593699E-3</v>
      </c>
      <c r="Y49" s="100">
        <v>1.6056139512446801E-4</v>
      </c>
      <c r="Z49" s="100">
        <v>1.1913420032777201E-3</v>
      </c>
      <c r="AA49" s="100">
        <v>2.2003531859577901E-4</v>
      </c>
      <c r="AB49" s="100">
        <v>7.11653982246168E-4</v>
      </c>
      <c r="AC49" s="100">
        <v>2.6698845664614902E-4</v>
      </c>
      <c r="AD49" s="100">
        <v>1.06246264280587E-4</v>
      </c>
      <c r="AE49" s="100">
        <v>2.4015613562182499E-4</v>
      </c>
      <c r="AF49" s="100">
        <v>1.0328877645119799E-3</v>
      </c>
      <c r="AG49" s="100">
        <v>9.9501331801846605E-4</v>
      </c>
      <c r="AH49" s="100">
        <v>6.9909395663827405E-4</v>
      </c>
      <c r="AI49" s="100">
        <v>5.2787345245493495E-4</v>
      </c>
      <c r="AJ49" s="100">
        <v>5.0335907294663201E-4</v>
      </c>
      <c r="AK49" s="100">
        <v>3.4593775393506303E-4</v>
      </c>
      <c r="AL49" s="100">
        <v>3.00503877696871E-4</v>
      </c>
      <c r="AM49" s="100">
        <v>4.7738179666979901E-4</v>
      </c>
      <c r="AN49" s="100">
        <v>7.3989058535331702E-4</v>
      </c>
      <c r="AO49" s="100">
        <v>4.1718102362964401E-4</v>
      </c>
      <c r="AP49" s="100">
        <v>1.0438639252439801E-3</v>
      </c>
      <c r="AQ49" s="100">
        <v>1.85455000545589E-3</v>
      </c>
      <c r="AR49" s="100">
        <v>3.4122012985933199E-4</v>
      </c>
      <c r="AS49" s="100">
        <v>3.1368337842167301E-3</v>
      </c>
      <c r="AT49" s="100">
        <v>2.2219199818491301E-4</v>
      </c>
      <c r="AU49" s="100">
        <v>3.1452142007236199E-3</v>
      </c>
      <c r="AV49" s="100">
        <v>1.39538825090847E-3</v>
      </c>
      <c r="AW49" s="100">
        <v>1.6040935270366901E-4</v>
      </c>
      <c r="AX49" s="100">
        <v>5.9607362040868105E-4</v>
      </c>
      <c r="AY49" s="100">
        <v>1.9690477612539902E-3</v>
      </c>
      <c r="AZ49" s="100">
        <v>6.2370003385622298E-4</v>
      </c>
      <c r="BA49" s="100">
        <v>2.68976463186066E-3</v>
      </c>
      <c r="BB49" s="100">
        <v>1.9055590599910801E-3</v>
      </c>
      <c r="BC49" s="100">
        <v>5.8761585710336699E-5</v>
      </c>
      <c r="BD49" s="100">
        <v>2.15005736430251E-3</v>
      </c>
      <c r="BE49" s="100">
        <v>2.7635533086873602E-3</v>
      </c>
      <c r="BF49" s="100">
        <v>3.3245496671770302E-3</v>
      </c>
      <c r="BG49" s="100">
        <v>1.1096896273356501E-3</v>
      </c>
      <c r="BH49" s="100">
        <v>8.2053831483882699E-4</v>
      </c>
      <c r="BI49" s="100">
        <v>4.28466416518269E-4</v>
      </c>
      <c r="BJ49" s="100">
        <v>8.8193314184146295E-4</v>
      </c>
      <c r="BK49" s="100">
        <v>4.2381736219350999E-4</v>
      </c>
      <c r="BL49" s="100">
        <v>9.9281947153538105E-3</v>
      </c>
      <c r="BM49" s="100">
        <v>1.6051730729657501E-3</v>
      </c>
      <c r="BN49" s="100">
        <v>1.5032903509627E-5</v>
      </c>
      <c r="BO49" s="100">
        <v>1.7283388592789399E-3</v>
      </c>
      <c r="BP49" s="100">
        <v>2.4186422150489901E-2</v>
      </c>
      <c r="BQ49" s="101">
        <v>0</v>
      </c>
    </row>
    <row r="50" spans="1:69" ht="15" customHeight="1" x14ac:dyDescent="0.3">
      <c r="A50" s="33" t="s">
        <v>68</v>
      </c>
      <c r="B50" s="11" t="s">
        <v>136</v>
      </c>
      <c r="C50" s="99">
        <v>5.4007153299623399E-3</v>
      </c>
      <c r="D50" s="100">
        <v>3.9831970734903802E-4</v>
      </c>
      <c r="E50" s="100">
        <v>5.8449592148584802E-3</v>
      </c>
      <c r="F50" s="100">
        <v>2.28332979735189E-3</v>
      </c>
      <c r="G50" s="100">
        <v>1.0254596249147801E-2</v>
      </c>
      <c r="H50" s="100">
        <v>1.8617286770884402E-2</v>
      </c>
      <c r="I50" s="100">
        <v>1.8102299705489901E-2</v>
      </c>
      <c r="J50" s="100">
        <v>9.9067207148230505E-3</v>
      </c>
      <c r="K50" s="100">
        <v>4.3788891357647103E-2</v>
      </c>
      <c r="L50" s="100">
        <v>1.00673614296607E-2</v>
      </c>
      <c r="M50" s="100">
        <v>2.7194534688077601E-2</v>
      </c>
      <c r="N50" s="100">
        <v>2.8490373228187301E-3</v>
      </c>
      <c r="O50" s="100">
        <v>3.11075955495509E-3</v>
      </c>
      <c r="P50" s="100">
        <v>2.0231165700216299E-3</v>
      </c>
      <c r="Q50" s="100">
        <v>3.8223020882967901E-3</v>
      </c>
      <c r="R50" s="100">
        <v>8.3998449685522801E-3</v>
      </c>
      <c r="S50" s="100">
        <v>1.6810853791802902E-2</v>
      </c>
      <c r="T50" s="100">
        <v>9.3753203108011204E-3</v>
      </c>
      <c r="U50" s="100">
        <v>1.9960665805227699E-3</v>
      </c>
      <c r="V50" s="100">
        <v>2.3710276379240801E-2</v>
      </c>
      <c r="W50" s="100">
        <v>5.6650747996502904E-3</v>
      </c>
      <c r="X50" s="100">
        <v>9.1477148209303093E-3</v>
      </c>
      <c r="Y50" s="100">
        <v>7.8255411594887903E-3</v>
      </c>
      <c r="Z50" s="100">
        <v>9.4496310534499806E-3</v>
      </c>
      <c r="AA50" s="100">
        <v>2.0895588169835199E-3</v>
      </c>
      <c r="AB50" s="100">
        <v>3.9981501894673201E-3</v>
      </c>
      <c r="AC50" s="100">
        <v>1.4300355430617801E-2</v>
      </c>
      <c r="AD50" s="100">
        <v>2.0595411553223802E-3</v>
      </c>
      <c r="AE50" s="100">
        <v>7.6164420187981204E-3</v>
      </c>
      <c r="AF50" s="100">
        <v>5.7412737806114E-3</v>
      </c>
      <c r="AG50" s="100">
        <v>9.1880270546281506E-3</v>
      </c>
      <c r="AH50" s="100">
        <v>2.1967772359121102E-3</v>
      </c>
      <c r="AI50" s="100">
        <v>1.4274855444859401E-2</v>
      </c>
      <c r="AJ50" s="100">
        <v>5.8725002761752703E-3</v>
      </c>
      <c r="AK50" s="100">
        <v>6.1528196102950596E-3</v>
      </c>
      <c r="AL50" s="100">
        <v>4.9764975107635199E-3</v>
      </c>
      <c r="AM50" s="100">
        <v>2.48505308614587E-3</v>
      </c>
      <c r="AN50" s="100">
        <v>1.2614824231745199E-3</v>
      </c>
      <c r="AO50" s="100">
        <v>3.8324904135543102E-4</v>
      </c>
      <c r="AP50" s="100">
        <v>1.1131133800774201E-3</v>
      </c>
      <c r="AQ50" s="100">
        <v>1.5624404824182101E-2</v>
      </c>
      <c r="AR50" s="100">
        <v>2.4250126877731999E-2</v>
      </c>
      <c r="AS50" s="100">
        <v>0.115996896510814</v>
      </c>
      <c r="AT50" s="100">
        <v>0.117495523512156</v>
      </c>
      <c r="AU50" s="100">
        <v>3.9994407116226802E-2</v>
      </c>
      <c r="AV50" s="100">
        <v>2.60618760344448E-3</v>
      </c>
      <c r="AW50" s="100">
        <v>1.28556497497222E-3</v>
      </c>
      <c r="AX50" s="100">
        <v>3.6944658144353699E-3</v>
      </c>
      <c r="AY50" s="100">
        <v>2.10505871611847E-3</v>
      </c>
      <c r="AZ50" s="100">
        <v>3.3284998661112898E-3</v>
      </c>
      <c r="BA50" s="100">
        <v>1.2505954757299901E-3</v>
      </c>
      <c r="BB50" s="100">
        <v>5.7291681420933004E-3</v>
      </c>
      <c r="BC50" s="100">
        <v>2.9351123628160099E-4</v>
      </c>
      <c r="BD50" s="100">
        <v>3.1014275491221799E-3</v>
      </c>
      <c r="BE50" s="100">
        <v>3.6921467348415898E-3</v>
      </c>
      <c r="BF50" s="100">
        <v>3.1317917408248E-3</v>
      </c>
      <c r="BG50" s="100">
        <v>4.5785309222288904E-3</v>
      </c>
      <c r="BH50" s="100">
        <v>3.6363420838475E-3</v>
      </c>
      <c r="BI50" s="100">
        <v>2.4239890592495199E-3</v>
      </c>
      <c r="BJ50" s="100">
        <v>4.0669021190057903E-3</v>
      </c>
      <c r="BK50" s="100">
        <v>9.6095253518020196E-4</v>
      </c>
      <c r="BL50" s="100">
        <v>4.5212182519173303E-3</v>
      </c>
      <c r="BM50" s="100">
        <v>2.1944102465559102E-3</v>
      </c>
      <c r="BN50" s="100">
        <v>1.0062804858794001E-3</v>
      </c>
      <c r="BO50" s="100">
        <v>2.4616868368374299E-3</v>
      </c>
      <c r="BP50" s="100">
        <v>1.00078277696647E-2</v>
      </c>
      <c r="BQ50" s="101">
        <v>0</v>
      </c>
    </row>
    <row r="51" spans="1:69" ht="15" customHeight="1" x14ac:dyDescent="0.3">
      <c r="A51" s="33" t="s">
        <v>69</v>
      </c>
      <c r="B51" s="11" t="s">
        <v>137</v>
      </c>
      <c r="C51" s="99">
        <v>7.6186568582703403E-6</v>
      </c>
      <c r="D51" s="100">
        <v>6.0732883804344599E-6</v>
      </c>
      <c r="E51" s="100">
        <v>7.0898545304704004E-5</v>
      </c>
      <c r="F51" s="100">
        <v>5.1574051333418104E-4</v>
      </c>
      <c r="G51" s="100">
        <v>7.5712509674655303E-4</v>
      </c>
      <c r="H51" s="100">
        <v>5.9420497037240795E-4</v>
      </c>
      <c r="I51" s="100">
        <v>6.4521245741660301E-4</v>
      </c>
      <c r="J51" s="100">
        <v>8.1269037784164699E-4</v>
      </c>
      <c r="K51" s="100">
        <v>5.5915814628542499E-4</v>
      </c>
      <c r="L51" s="100">
        <v>6.8876797164427704E-4</v>
      </c>
      <c r="M51" s="100">
        <v>5.9006479544433102E-4</v>
      </c>
      <c r="N51" s="100">
        <v>2.2079700823920299E-3</v>
      </c>
      <c r="O51" s="100">
        <v>3.7397785453914799E-4</v>
      </c>
      <c r="P51" s="100">
        <v>2.9544907523100099E-4</v>
      </c>
      <c r="Q51" s="100">
        <v>5.0870702141750303E-4</v>
      </c>
      <c r="R51" s="100">
        <v>2.6616584225027702E-4</v>
      </c>
      <c r="S51" s="100">
        <v>7.2913453905254196E-4</v>
      </c>
      <c r="T51" s="100">
        <v>4.0188349764982197E-4</v>
      </c>
      <c r="U51" s="100">
        <v>5.6974062246725102E-5</v>
      </c>
      <c r="V51" s="100">
        <v>3.4963632651609802E-4</v>
      </c>
      <c r="W51" s="100">
        <v>5.3511621982794098E-4</v>
      </c>
      <c r="X51" s="100">
        <v>1.2604526341904901E-3</v>
      </c>
      <c r="Y51" s="100">
        <v>6.4122811546367202E-4</v>
      </c>
      <c r="Z51" s="100">
        <v>2.3864683875869101E-3</v>
      </c>
      <c r="AA51" s="100">
        <v>6.4945958215017596E-4</v>
      </c>
      <c r="AB51" s="100">
        <v>7.2040096540868903E-4</v>
      </c>
      <c r="AC51" s="100">
        <v>7.2902685055103696E-4</v>
      </c>
      <c r="AD51" s="100">
        <v>4.3296748005084503E-4</v>
      </c>
      <c r="AE51" s="100">
        <v>1.02549369656932E-3</v>
      </c>
      <c r="AF51" s="100">
        <v>9.0337142738583899E-4</v>
      </c>
      <c r="AG51" s="100">
        <v>9.6587035549980502E-4</v>
      </c>
      <c r="AH51" s="100">
        <v>1.5016724763932301E-3</v>
      </c>
      <c r="AI51" s="100">
        <v>5.4052137816976403E-4</v>
      </c>
      <c r="AJ51" s="100">
        <v>6.1707599222990796E-4</v>
      </c>
      <c r="AK51" s="100">
        <v>7.7351471633129896E-4</v>
      </c>
      <c r="AL51" s="100">
        <v>1.21706934395747E-3</v>
      </c>
      <c r="AM51" s="100">
        <v>5.9337191942860398E-4</v>
      </c>
      <c r="AN51" s="100">
        <v>4.2385372405729797E-4</v>
      </c>
      <c r="AO51" s="100">
        <v>1.9685995425699999E-4</v>
      </c>
      <c r="AP51" s="100">
        <v>1.4913896386656801E-3</v>
      </c>
      <c r="AQ51" s="100">
        <v>2.3351411545932598E-3</v>
      </c>
      <c r="AR51" s="100">
        <v>4.4565995141981597E-4</v>
      </c>
      <c r="AS51" s="100">
        <v>1.8792499899051801E-4</v>
      </c>
      <c r="AT51" s="100">
        <v>1.39467937065841E-3</v>
      </c>
      <c r="AU51" s="100">
        <v>1.36732205337747E-3</v>
      </c>
      <c r="AV51" s="100">
        <v>2.0630084408636599E-5</v>
      </c>
      <c r="AW51" s="100">
        <v>1.1725626199248E-4</v>
      </c>
      <c r="AX51" s="100">
        <v>3.21560743784103E-3</v>
      </c>
      <c r="AY51" s="100">
        <v>2.9313542655354098E-3</v>
      </c>
      <c r="AZ51" s="100">
        <v>4.8622212161600998E-4</v>
      </c>
      <c r="BA51" s="100">
        <v>2.9775073777779499E-3</v>
      </c>
      <c r="BB51" s="100">
        <v>1.20481609522217E-3</v>
      </c>
      <c r="BC51" s="100">
        <v>9.1562538730548794E-5</v>
      </c>
      <c r="BD51" s="100">
        <v>1.23151473572004E-3</v>
      </c>
      <c r="BE51" s="100">
        <v>3.7911246172458099E-3</v>
      </c>
      <c r="BF51" s="100">
        <v>1.5807241561346501E-3</v>
      </c>
      <c r="BG51" s="100">
        <v>2.4759973608139301E-3</v>
      </c>
      <c r="BH51" s="100">
        <v>6.5666118163411498E-4</v>
      </c>
      <c r="BI51" s="100">
        <v>1.06313786811247E-3</v>
      </c>
      <c r="BJ51" s="100">
        <v>2.2840346138141201E-3</v>
      </c>
      <c r="BK51" s="100">
        <v>5.5292629397227504E-4</v>
      </c>
      <c r="BL51" s="100">
        <v>2.5292423567288601E-3</v>
      </c>
      <c r="BM51" s="100">
        <v>1.86182814909501E-3</v>
      </c>
      <c r="BN51" s="100">
        <v>5.8573880126995799E-6</v>
      </c>
      <c r="BO51" s="100">
        <v>3.2120878258617E-3</v>
      </c>
      <c r="BP51" s="100">
        <v>3.0622880890423299E-2</v>
      </c>
      <c r="BQ51" s="101">
        <v>0</v>
      </c>
    </row>
    <row r="52" spans="1:69" ht="15" customHeight="1" x14ac:dyDescent="0.3">
      <c r="A52" s="33" t="s">
        <v>70</v>
      </c>
      <c r="B52" s="11" t="s">
        <v>138</v>
      </c>
      <c r="C52" s="99">
        <v>-1.9396992876388199E-6</v>
      </c>
      <c r="D52" s="100">
        <v>-8.8614163228676905E-6</v>
      </c>
      <c r="E52" s="100">
        <v>4.9930325758617799E-5</v>
      </c>
      <c r="F52" s="100">
        <v>9.4879784384359003E-5</v>
      </c>
      <c r="G52" s="100">
        <v>9.8399044514474411E-4</v>
      </c>
      <c r="H52" s="100">
        <v>9.95173260424175E-5</v>
      </c>
      <c r="I52" s="100">
        <v>4.6259448663309199E-4</v>
      </c>
      <c r="J52" s="100">
        <v>7.1672875794544602E-6</v>
      </c>
      <c r="K52" s="100">
        <v>7.12498971888457E-5</v>
      </c>
      <c r="L52" s="100">
        <v>4.2479001477962103E-4</v>
      </c>
      <c r="M52" s="100">
        <v>3.3631178210140198E-5</v>
      </c>
      <c r="N52" s="100">
        <v>1.4066137440196099E-5</v>
      </c>
      <c r="O52" s="100">
        <v>1.8054658712728501E-4</v>
      </c>
      <c r="P52" s="100">
        <v>4.4791701823998499E-5</v>
      </c>
      <c r="Q52" s="100">
        <v>-4.2837682665922002E-7</v>
      </c>
      <c r="R52" s="100">
        <v>1.9401348011311801E-5</v>
      </c>
      <c r="S52" s="100">
        <v>6.4343669485006296E-5</v>
      </c>
      <c r="T52" s="100">
        <v>1.0101049457035801E-3</v>
      </c>
      <c r="U52" s="100">
        <v>7.8751770878303701E-6</v>
      </c>
      <c r="V52" s="100">
        <v>6.4429487100848903E-5</v>
      </c>
      <c r="W52" s="100">
        <v>5.4838732223508096E-4</v>
      </c>
      <c r="X52" s="100">
        <v>1.2627835678827499E-3</v>
      </c>
      <c r="Y52" s="100">
        <v>2.58571202635638E-5</v>
      </c>
      <c r="Z52" s="100">
        <v>3.7872588412305899E-3</v>
      </c>
      <c r="AA52" s="100">
        <v>1.0166675914403E-4</v>
      </c>
      <c r="AB52" s="100">
        <v>2.0714584123428299E-5</v>
      </c>
      <c r="AC52" s="100">
        <v>1.38876439296098E-4</v>
      </c>
      <c r="AD52" s="100">
        <v>7.0706042286126198E-4</v>
      </c>
      <c r="AE52" s="100">
        <v>2.6502808420271701E-4</v>
      </c>
      <c r="AF52" s="100">
        <v>1.3071852802018601E-5</v>
      </c>
      <c r="AG52" s="100">
        <v>-4.0938633404408801E-6</v>
      </c>
      <c r="AH52" s="100">
        <v>6.6884928306846299E-4</v>
      </c>
      <c r="AI52" s="100">
        <v>1.6733031092601199E-3</v>
      </c>
      <c r="AJ52" s="100">
        <v>1.27026884083403E-4</v>
      </c>
      <c r="AK52" s="100">
        <v>3.5951252898516102E-5</v>
      </c>
      <c r="AL52" s="100">
        <v>1.42893597788012E-5</v>
      </c>
      <c r="AM52" s="100">
        <v>9.3558773580703399E-4</v>
      </c>
      <c r="AN52" s="100">
        <v>7.3579371997632204E-4</v>
      </c>
      <c r="AO52" s="100">
        <v>1.7028679672410099E-4</v>
      </c>
      <c r="AP52" s="100">
        <v>1.8669141622915401E-5</v>
      </c>
      <c r="AQ52" s="100">
        <v>8.7243394334115295E-4</v>
      </c>
      <c r="AR52" s="100">
        <v>1.0239080032224701E-4</v>
      </c>
      <c r="AS52" s="100">
        <v>3.9649680893882899E-4</v>
      </c>
      <c r="AT52" s="100">
        <v>1.9857149600669401E-2</v>
      </c>
      <c r="AU52" s="100">
        <v>5.0266281991292105E-4</v>
      </c>
      <c r="AV52" s="100">
        <v>1.1594824061449301E-2</v>
      </c>
      <c r="AW52" s="100">
        <v>1.06522358642993E-4</v>
      </c>
      <c r="AX52" s="100">
        <v>1.6163429791637E-4</v>
      </c>
      <c r="AY52" s="100">
        <v>1.8201823754925201E-2</v>
      </c>
      <c r="AZ52" s="100">
        <v>4.8431249270923201E-4</v>
      </c>
      <c r="BA52" s="100">
        <v>2.5672003180964102E-4</v>
      </c>
      <c r="BB52" s="100">
        <v>4.2549521647253603E-3</v>
      </c>
      <c r="BC52" s="100">
        <v>1.20263099011237E-4</v>
      </c>
      <c r="BD52" s="100">
        <v>6.1856459952698501E-3</v>
      </c>
      <c r="BE52" s="100">
        <v>1.5672129636879899E-4</v>
      </c>
      <c r="BF52" s="100">
        <v>2.3293197613103202E-3</v>
      </c>
      <c r="BG52" s="100">
        <v>2.5839593841613302E-4</v>
      </c>
      <c r="BH52" s="100">
        <v>5.3256712461991103E-3</v>
      </c>
      <c r="BI52" s="100">
        <v>1.65236032284415E-4</v>
      </c>
      <c r="BJ52" s="100">
        <v>1.1183562452028501E-2</v>
      </c>
      <c r="BK52" s="100">
        <v>5.0509316956442096E-3</v>
      </c>
      <c r="BL52" s="100">
        <v>2.3352396193623902E-3</v>
      </c>
      <c r="BM52" s="100">
        <v>2.3762100717584299E-2</v>
      </c>
      <c r="BN52" s="100">
        <v>1.1457251847512701E-2</v>
      </c>
      <c r="BO52" s="100">
        <v>1.8600197402879901E-3</v>
      </c>
      <c r="BP52" s="100">
        <v>6.1179955029201802E-2</v>
      </c>
      <c r="BQ52" s="101">
        <v>0</v>
      </c>
    </row>
    <row r="53" spans="1:69" ht="15" customHeight="1" x14ac:dyDescent="0.3">
      <c r="A53" s="33" t="s">
        <v>71</v>
      </c>
      <c r="B53" s="11" t="s">
        <v>139</v>
      </c>
      <c r="C53" s="99">
        <v>8.9436401345944896E-7</v>
      </c>
      <c r="D53" s="100">
        <v>9.7128124367465196E-7</v>
      </c>
      <c r="E53" s="100">
        <v>1.20879272638099E-6</v>
      </c>
      <c r="F53" s="100">
        <v>1.1797959650920699E-6</v>
      </c>
      <c r="G53" s="100">
        <v>1.7120001165432599E-6</v>
      </c>
      <c r="H53" s="100">
        <v>3.3086616123662099E-6</v>
      </c>
      <c r="I53" s="100">
        <v>4.5723723673400599E-6</v>
      </c>
      <c r="J53" s="100">
        <v>4.7016103141678404E-6</v>
      </c>
      <c r="K53" s="100">
        <v>6.7327657945903603E-6</v>
      </c>
      <c r="L53" s="100">
        <v>4.5574768807192199E-6</v>
      </c>
      <c r="M53" s="100">
        <v>4.42049934834426E-5</v>
      </c>
      <c r="N53" s="100">
        <v>2.6349236624381998E-6</v>
      </c>
      <c r="O53" s="100">
        <v>6.1457506608883299E-6</v>
      </c>
      <c r="P53" s="100">
        <v>6.6225910529709099E-6</v>
      </c>
      <c r="Q53" s="100">
        <v>4.0832574305426698E-6</v>
      </c>
      <c r="R53" s="100">
        <v>1.1240969501609E-5</v>
      </c>
      <c r="S53" s="100">
        <v>2.2763986709786999E-5</v>
      </c>
      <c r="T53" s="100">
        <v>7.7731586655919495E-4</v>
      </c>
      <c r="U53" s="100">
        <v>4.5447348010125198E-7</v>
      </c>
      <c r="V53" s="100">
        <v>5.3423134855884797E-6</v>
      </c>
      <c r="W53" s="100">
        <v>5.7153777772455999E-4</v>
      </c>
      <c r="X53" s="100">
        <v>4.73049503999899E-6</v>
      </c>
      <c r="Y53" s="100">
        <v>3.30947295655391E-6</v>
      </c>
      <c r="Z53" s="100">
        <v>5.7097764784211401E-6</v>
      </c>
      <c r="AA53" s="100">
        <v>5.2904705127828297E-6</v>
      </c>
      <c r="AB53" s="100">
        <v>3.3821321271004801E-6</v>
      </c>
      <c r="AC53" s="100">
        <v>2.8279082506550598E-6</v>
      </c>
      <c r="AD53" s="100">
        <v>2.2688630757665301E-6</v>
      </c>
      <c r="AE53" s="100">
        <v>4.2427748967230204E-6</v>
      </c>
      <c r="AF53" s="100">
        <v>2.1463678374692599E-5</v>
      </c>
      <c r="AG53" s="100">
        <v>3.89516227670601E-6</v>
      </c>
      <c r="AH53" s="100">
        <v>4.2901546358455497E-6</v>
      </c>
      <c r="AI53" s="100">
        <v>3.6234427344331499E-6</v>
      </c>
      <c r="AJ53" s="100">
        <v>2.9014004409638101E-5</v>
      </c>
      <c r="AK53" s="100">
        <v>3.1559129474444998E-6</v>
      </c>
      <c r="AL53" s="100">
        <v>6.5290497904975701E-6</v>
      </c>
      <c r="AM53" s="100">
        <v>1.4140951986784699E-4</v>
      </c>
      <c r="AN53" s="100">
        <v>1.3450307543488201E-4</v>
      </c>
      <c r="AO53" s="100">
        <v>5.1860062399632799E-5</v>
      </c>
      <c r="AP53" s="100">
        <v>2.22493469473067E-6</v>
      </c>
      <c r="AQ53" s="100">
        <v>2.3341060308371199E-4</v>
      </c>
      <c r="AR53" s="100">
        <v>3.6360984809927902E-6</v>
      </c>
      <c r="AS53" s="100">
        <v>2.8650356147539401E-6</v>
      </c>
      <c r="AT53" s="100">
        <v>1.18053149618979E-5</v>
      </c>
      <c r="AU53" s="100">
        <v>1.7968644933696899E-5</v>
      </c>
      <c r="AV53" s="100">
        <v>1.4563554817722899E-3</v>
      </c>
      <c r="AW53" s="100">
        <v>1.3455130114111299E-5</v>
      </c>
      <c r="AX53" s="100">
        <v>1.60461238606642E-3</v>
      </c>
      <c r="AY53" s="100">
        <v>1.13865840412298E-4</v>
      </c>
      <c r="AZ53" s="100">
        <v>4.9856506582551504E-4</v>
      </c>
      <c r="BA53" s="100">
        <v>5.4374497083847701E-5</v>
      </c>
      <c r="BB53" s="100">
        <v>1.3492490500158099E-3</v>
      </c>
      <c r="BC53" s="100">
        <v>5.8799443938168802E-5</v>
      </c>
      <c r="BD53" s="100">
        <v>9.1127064818750101E-4</v>
      </c>
      <c r="BE53" s="100">
        <v>1.4542067157861001E-3</v>
      </c>
      <c r="BF53" s="100">
        <v>2.0345265168045201E-2</v>
      </c>
      <c r="BG53" s="100">
        <v>3.2591985937097399E-4</v>
      </c>
      <c r="BH53" s="100">
        <v>9.0114556481706999E-5</v>
      </c>
      <c r="BI53" s="100">
        <v>4.7187775213562101E-6</v>
      </c>
      <c r="BJ53" s="100">
        <v>1.04548212420018E-3</v>
      </c>
      <c r="BK53" s="100">
        <v>5.88189535316369E-3</v>
      </c>
      <c r="BL53" s="100">
        <v>9.4205722349638994E-3</v>
      </c>
      <c r="BM53" s="100">
        <v>2.0739011533370399E-4</v>
      </c>
      <c r="BN53" s="100">
        <v>2.81937444831074E-4</v>
      </c>
      <c r="BO53" s="100">
        <v>1.5853401497795201E-4</v>
      </c>
      <c r="BP53" s="100">
        <v>6.9447974459236196E-4</v>
      </c>
      <c r="BQ53" s="101">
        <v>0</v>
      </c>
    </row>
    <row r="54" spans="1:69" ht="15" customHeight="1" x14ac:dyDescent="0.3">
      <c r="A54" s="33" t="s">
        <v>72</v>
      </c>
      <c r="B54" s="11" t="s">
        <v>140</v>
      </c>
      <c r="C54" s="99">
        <v>6.8148379119479696E-7</v>
      </c>
      <c r="D54" s="100">
        <v>1.0400827823074101E-6</v>
      </c>
      <c r="E54" s="100">
        <v>4.24052845523941E-7</v>
      </c>
      <c r="F54" s="100">
        <v>7.9059881799594096E-7</v>
      </c>
      <c r="G54" s="100">
        <v>6.0327098948975404E-7</v>
      </c>
      <c r="H54" s="100">
        <v>7.3717753584416695E-7</v>
      </c>
      <c r="I54" s="100">
        <v>9.6245632169550209E-7</v>
      </c>
      <c r="J54" s="100">
        <v>1.6371715367889901E-6</v>
      </c>
      <c r="K54" s="100">
        <v>8.6719640116426902E-7</v>
      </c>
      <c r="L54" s="100">
        <v>1.5021786809942999E-6</v>
      </c>
      <c r="M54" s="100">
        <v>1.04097298991248E-6</v>
      </c>
      <c r="N54" s="100">
        <v>1.4565425824084899E-6</v>
      </c>
      <c r="O54" s="100">
        <v>2.18131138790862E-6</v>
      </c>
      <c r="P54" s="100">
        <v>2.5543520532839099E-6</v>
      </c>
      <c r="Q54" s="100">
        <v>1.82651337092455E-6</v>
      </c>
      <c r="R54" s="100">
        <v>1.4429531356429699E-6</v>
      </c>
      <c r="S54" s="100">
        <v>1.85851411241295E-6</v>
      </c>
      <c r="T54" s="100">
        <v>1.8445613470540199E-6</v>
      </c>
      <c r="U54" s="100">
        <v>1.9118920395906499E-7</v>
      </c>
      <c r="V54" s="100">
        <v>1.16788034431621E-6</v>
      </c>
      <c r="W54" s="100">
        <v>1.03596477495004E-6</v>
      </c>
      <c r="X54" s="100">
        <v>1.4180641558606199E-6</v>
      </c>
      <c r="Y54" s="100">
        <v>1.8126096210092601E-6</v>
      </c>
      <c r="Z54" s="100">
        <v>1.52724222134008E-6</v>
      </c>
      <c r="AA54" s="100">
        <v>1.84745072561073E-6</v>
      </c>
      <c r="AB54" s="100">
        <v>1.5280092991581201E-6</v>
      </c>
      <c r="AC54" s="100">
        <v>1.2838002012507199E-6</v>
      </c>
      <c r="AD54" s="100">
        <v>1.7151633744693101E-6</v>
      </c>
      <c r="AE54" s="100">
        <v>1.53725533086332E-6</v>
      </c>
      <c r="AF54" s="100">
        <v>1.4885823009899799E-6</v>
      </c>
      <c r="AG54" s="100">
        <v>2.0253984124659099E-6</v>
      </c>
      <c r="AH54" s="100">
        <v>2.1013406318985599E-6</v>
      </c>
      <c r="AI54" s="100">
        <v>1.5763241105421001E-6</v>
      </c>
      <c r="AJ54" s="100">
        <v>1.68173636450524E-6</v>
      </c>
      <c r="AK54" s="100">
        <v>1.1330102761553501E-6</v>
      </c>
      <c r="AL54" s="100">
        <v>1.9214340398304699E-6</v>
      </c>
      <c r="AM54" s="100">
        <v>1.4767376542697101E-6</v>
      </c>
      <c r="AN54" s="100">
        <v>4.6300855214918299E-7</v>
      </c>
      <c r="AO54" s="100">
        <v>1.1146321171949599E-6</v>
      </c>
      <c r="AP54" s="100">
        <v>1.13623681255416E-6</v>
      </c>
      <c r="AQ54" s="100">
        <v>5.9646902247597504E-6</v>
      </c>
      <c r="AR54" s="100">
        <v>3.32796316906784E-6</v>
      </c>
      <c r="AS54" s="100">
        <v>8.82413028999358E-7</v>
      </c>
      <c r="AT54" s="100">
        <v>6.9290624926959701E-7</v>
      </c>
      <c r="AU54" s="100">
        <v>4.0769180921093298E-6</v>
      </c>
      <c r="AV54" s="100">
        <v>9.5478280350642206E-5</v>
      </c>
      <c r="AW54" s="100">
        <v>4.0310569614078899E-6</v>
      </c>
      <c r="AX54" s="100">
        <v>4.8381484534337597E-4</v>
      </c>
      <c r="AY54" s="100">
        <v>0.132272464538495</v>
      </c>
      <c r="AZ54" s="100">
        <v>2.5063808507061799E-2</v>
      </c>
      <c r="BA54" s="100">
        <v>5.8864766636655401E-6</v>
      </c>
      <c r="BB54" s="100">
        <v>4.1504707128862903E-6</v>
      </c>
      <c r="BC54" s="100">
        <v>4.6776520488537101E-7</v>
      </c>
      <c r="BD54" s="100">
        <v>3.6674699932913898E-6</v>
      </c>
      <c r="BE54" s="100">
        <v>2.26453316520445E-6</v>
      </c>
      <c r="BF54" s="100">
        <v>0.22196864475398401</v>
      </c>
      <c r="BG54" s="100">
        <v>2.7503876856719301E-6</v>
      </c>
      <c r="BH54" s="100">
        <v>1.2742278747954601E-4</v>
      </c>
      <c r="BI54" s="100">
        <v>5.9444464492011499E-5</v>
      </c>
      <c r="BJ54" s="100">
        <v>5.8617168762472904E-7</v>
      </c>
      <c r="BK54" s="100">
        <v>4.7940400563629596E-7</v>
      </c>
      <c r="BL54" s="100">
        <v>7.0681272044795504E-6</v>
      </c>
      <c r="BM54" s="100">
        <v>1.0739694955612201E-6</v>
      </c>
      <c r="BN54" s="100">
        <v>2.1048664682504002E-6</v>
      </c>
      <c r="BO54" s="100">
        <v>2.4106045049827802E-3</v>
      </c>
      <c r="BP54" s="100">
        <v>4.1019615227941898E-6</v>
      </c>
      <c r="BQ54" s="101">
        <v>0</v>
      </c>
    </row>
    <row r="55" spans="1:69" ht="15" customHeight="1" x14ac:dyDescent="0.3">
      <c r="A55" s="33" t="s">
        <v>73</v>
      </c>
      <c r="B55" s="11" t="s">
        <v>141</v>
      </c>
      <c r="C55" s="99">
        <v>5.10431902161294E-5</v>
      </c>
      <c r="D55" s="100">
        <v>7.6652782894955296E-5</v>
      </c>
      <c r="E55" s="100">
        <v>1.8859983963721399E-4</v>
      </c>
      <c r="F55" s="100">
        <v>1.14447492614862E-3</v>
      </c>
      <c r="G55" s="100">
        <v>2.15792937509072E-3</v>
      </c>
      <c r="H55" s="100">
        <v>9.2562910504505303E-4</v>
      </c>
      <c r="I55" s="100">
        <v>1.1614480199933701E-3</v>
      </c>
      <c r="J55" s="100">
        <v>1.9199728663448299E-3</v>
      </c>
      <c r="K55" s="100">
        <v>3.3638302571601299E-3</v>
      </c>
      <c r="L55" s="100">
        <v>3.12940097786655E-3</v>
      </c>
      <c r="M55" s="100">
        <v>3.9120608455533099E-3</v>
      </c>
      <c r="N55" s="100">
        <v>1.42696687598775E-3</v>
      </c>
      <c r="O55" s="100">
        <v>2.9250376127373701E-3</v>
      </c>
      <c r="P55" s="100">
        <v>7.27938063399224E-3</v>
      </c>
      <c r="Q55" s="100">
        <v>2.9121184630015902E-3</v>
      </c>
      <c r="R55" s="100">
        <v>2.8808575935564801E-3</v>
      </c>
      <c r="S55" s="100">
        <v>3.5622736511873501E-3</v>
      </c>
      <c r="T55" s="100">
        <v>1.40364926007897E-2</v>
      </c>
      <c r="U55" s="100">
        <v>4.1556293666172601E-4</v>
      </c>
      <c r="V55" s="100">
        <v>2.7077694805416499E-3</v>
      </c>
      <c r="W55" s="100">
        <v>1.2918195251298099E-3</v>
      </c>
      <c r="X55" s="100">
        <v>2.33166514086204E-3</v>
      </c>
      <c r="Y55" s="100">
        <v>5.9813628089380201E-4</v>
      </c>
      <c r="Z55" s="100">
        <v>2.8747907721130401E-3</v>
      </c>
      <c r="AA55" s="100">
        <v>2.1809466980621398E-3</v>
      </c>
      <c r="AB55" s="100">
        <v>3.9116111410575499E-3</v>
      </c>
      <c r="AC55" s="100">
        <v>8.1542492754119796E-4</v>
      </c>
      <c r="AD55" s="100">
        <v>8.0487620179091302E-4</v>
      </c>
      <c r="AE55" s="100">
        <v>2.53283247397292E-3</v>
      </c>
      <c r="AF55" s="100">
        <v>5.5755583697770601E-3</v>
      </c>
      <c r="AG55" s="100">
        <v>3.5932143779111901E-3</v>
      </c>
      <c r="AH55" s="100">
        <v>2.50001637286759E-3</v>
      </c>
      <c r="AI55" s="100">
        <v>5.0056901926894002E-3</v>
      </c>
      <c r="AJ55" s="100">
        <v>8.6404572978925707E-3</v>
      </c>
      <c r="AK55" s="100">
        <v>2.8543069312611802E-3</v>
      </c>
      <c r="AL55" s="100">
        <v>4.8601259563676499E-3</v>
      </c>
      <c r="AM55" s="100">
        <v>1.0970331355738699E-3</v>
      </c>
      <c r="AN55" s="100">
        <v>6.2560817884793802E-4</v>
      </c>
      <c r="AO55" s="100">
        <v>1.9600709346107E-3</v>
      </c>
      <c r="AP55" s="100">
        <v>1.1902509216421199E-3</v>
      </c>
      <c r="AQ55" s="100">
        <v>5.2910618702536804E-3</v>
      </c>
      <c r="AR55" s="100">
        <v>1.8947537334291901E-3</v>
      </c>
      <c r="AS55" s="100">
        <v>1.3896620005034901E-3</v>
      </c>
      <c r="AT55" s="100">
        <v>1.11013689268421E-3</v>
      </c>
      <c r="AU55" s="100">
        <v>5.7484814109298697E-3</v>
      </c>
      <c r="AV55" s="100">
        <v>7.4338241519201799E-3</v>
      </c>
      <c r="AW55" s="100">
        <v>2.3143729606027201E-3</v>
      </c>
      <c r="AX55" s="100">
        <v>4.0232411728930101E-3</v>
      </c>
      <c r="AY55" s="100">
        <v>6.1855588741382903E-3</v>
      </c>
      <c r="AZ55" s="100">
        <v>0.102626322260956</v>
      </c>
      <c r="BA55" s="100">
        <v>7.8115268021888796E-3</v>
      </c>
      <c r="BB55" s="100">
        <v>7.5803028591545996E-3</v>
      </c>
      <c r="BC55" s="100">
        <v>5.9528194911458296E-4</v>
      </c>
      <c r="BD55" s="100">
        <v>7.7243855595400803E-3</v>
      </c>
      <c r="BE55" s="100">
        <v>4.1080243309715402E-3</v>
      </c>
      <c r="BF55" s="100">
        <v>2.1239270144707299E-2</v>
      </c>
      <c r="BG55" s="100">
        <v>1.6499083879346901E-3</v>
      </c>
      <c r="BH55" s="100">
        <v>5.2911745674422998E-3</v>
      </c>
      <c r="BI55" s="100">
        <v>5.2332768836684997E-3</v>
      </c>
      <c r="BJ55" s="100">
        <v>4.9595999054100502E-3</v>
      </c>
      <c r="BK55" s="100">
        <v>2.7421612247590802E-3</v>
      </c>
      <c r="BL55" s="100">
        <v>7.6444554464231403E-3</v>
      </c>
      <c r="BM55" s="100">
        <v>2.0594297238949498E-3</v>
      </c>
      <c r="BN55" s="100">
        <v>2.2096770837106302E-3</v>
      </c>
      <c r="BO55" s="100">
        <v>4.5441705647758998E-3</v>
      </c>
      <c r="BP55" s="100">
        <v>7.3390012424095798E-3</v>
      </c>
      <c r="BQ55" s="101">
        <v>0</v>
      </c>
    </row>
    <row r="56" spans="1:69" ht="15" customHeight="1" x14ac:dyDescent="0.3">
      <c r="A56" s="33" t="s">
        <v>74</v>
      </c>
      <c r="B56" s="11" t="s">
        <v>142</v>
      </c>
      <c r="C56" s="99">
        <v>1.02138992355296E-4</v>
      </c>
      <c r="D56" s="100">
        <v>1.404189894391E-4</v>
      </c>
      <c r="E56" s="100">
        <v>5.4256082476465602E-5</v>
      </c>
      <c r="F56" s="100">
        <v>9.4817395942561897E-5</v>
      </c>
      <c r="G56" s="100">
        <v>3.7956222467397599E-4</v>
      </c>
      <c r="H56" s="100">
        <v>2.9734394331903499E-3</v>
      </c>
      <c r="I56" s="100">
        <v>1.7717134415174401E-3</v>
      </c>
      <c r="J56" s="100">
        <v>1.6477796179571399E-3</v>
      </c>
      <c r="K56" s="100">
        <v>5.76595184685774E-4</v>
      </c>
      <c r="L56" s="100">
        <v>2.9048031802787698E-3</v>
      </c>
      <c r="M56" s="100">
        <v>1.08130762187917E-3</v>
      </c>
      <c r="N56" s="100">
        <v>3.7506917152812301E-3</v>
      </c>
      <c r="O56" s="100">
        <v>8.3271523698731295E-4</v>
      </c>
      <c r="P56" s="100">
        <v>9.06846636734481E-4</v>
      </c>
      <c r="Q56" s="100">
        <v>4.5738882578559299E-4</v>
      </c>
      <c r="R56" s="100">
        <v>6.77156372197839E-4</v>
      </c>
      <c r="S56" s="100">
        <v>2.7449429593758299E-3</v>
      </c>
      <c r="T56" s="100">
        <v>2.21933010971887E-4</v>
      </c>
      <c r="U56" s="100">
        <v>1.1816793806387701E-4</v>
      </c>
      <c r="V56" s="100">
        <v>9.0186710770841902E-5</v>
      </c>
      <c r="W56" s="100">
        <v>2.3166660780753602E-3</v>
      </c>
      <c r="X56" s="100">
        <v>3.0016827920501701E-3</v>
      </c>
      <c r="Y56" s="100">
        <v>6.58769729237077E-4</v>
      </c>
      <c r="Z56" s="100">
        <v>6.5665843280501403E-3</v>
      </c>
      <c r="AA56" s="100">
        <v>1.38190095349641E-3</v>
      </c>
      <c r="AB56" s="100">
        <v>1.1762683900369999E-3</v>
      </c>
      <c r="AC56" s="100">
        <v>1.11686262235541E-3</v>
      </c>
      <c r="AD56" s="100">
        <v>5.82803435188596E-4</v>
      </c>
      <c r="AE56" s="100">
        <v>1.1388979652010901E-3</v>
      </c>
      <c r="AF56" s="100">
        <v>1.9061138884494599E-3</v>
      </c>
      <c r="AG56" s="100">
        <v>3.77895878787579E-3</v>
      </c>
      <c r="AH56" s="100">
        <v>1.5989643333049501E-3</v>
      </c>
      <c r="AI56" s="100">
        <v>4.4985323553408396E-3</v>
      </c>
      <c r="AJ56" s="100">
        <v>1.54295440335408E-3</v>
      </c>
      <c r="AK56" s="100">
        <v>1.6314326875147499E-3</v>
      </c>
      <c r="AL56" s="100">
        <v>2.1268833482580799E-3</v>
      </c>
      <c r="AM56" s="100">
        <v>1.62754362009192E-3</v>
      </c>
      <c r="AN56" s="100">
        <v>2.9070903281199802E-3</v>
      </c>
      <c r="AO56" s="100">
        <v>5.3804097839960201E-3</v>
      </c>
      <c r="AP56" s="100">
        <v>9.0589077571915201E-4</v>
      </c>
      <c r="AQ56" s="100">
        <v>8.7200532742835804E-3</v>
      </c>
      <c r="AR56" s="100">
        <v>2.9047067030662501E-3</v>
      </c>
      <c r="AS56" s="100">
        <v>6.1494913115653596E-5</v>
      </c>
      <c r="AT56" s="100">
        <v>2.4454060653995201E-2</v>
      </c>
      <c r="AU56" s="100">
        <v>1.22723073500556E-2</v>
      </c>
      <c r="AV56" s="100">
        <v>2.8777016761557099E-3</v>
      </c>
      <c r="AW56" s="100">
        <v>5.9952023277118002E-4</v>
      </c>
      <c r="AX56" s="100">
        <v>3.2051643131396503E-2</v>
      </c>
      <c r="AY56" s="100">
        <v>2.9669963531666E-2</v>
      </c>
      <c r="AZ56" s="100">
        <v>1.8746469908634301E-2</v>
      </c>
      <c r="BA56" s="100">
        <v>8.3353682091177994E-2</v>
      </c>
      <c r="BB56" s="100">
        <v>2.61426498833775E-2</v>
      </c>
      <c r="BC56" s="100">
        <v>6.3033868419671104E-4</v>
      </c>
      <c r="BD56" s="100">
        <v>1.4250342722504E-2</v>
      </c>
      <c r="BE56" s="100">
        <v>1.19924080685628E-3</v>
      </c>
      <c r="BF56" s="100">
        <v>0.100547210600026</v>
      </c>
      <c r="BG56" s="100">
        <v>8.4572784620006395E-3</v>
      </c>
      <c r="BH56" s="100">
        <v>5.1899601276276302E-3</v>
      </c>
      <c r="BI56" s="100">
        <v>6.3943841408109197E-3</v>
      </c>
      <c r="BJ56" s="100">
        <v>1.76343184130132E-2</v>
      </c>
      <c r="BK56" s="100">
        <v>4.3263512377298297E-3</v>
      </c>
      <c r="BL56" s="100">
        <v>4.1046606001134203E-3</v>
      </c>
      <c r="BM56" s="100">
        <v>9.47215689560265E-3</v>
      </c>
      <c r="BN56" s="100">
        <v>8.6631309739028403E-5</v>
      </c>
      <c r="BO56" s="100">
        <v>5.1191892939045601E-3</v>
      </c>
      <c r="BP56" s="100">
        <v>1.12827478495131E-2</v>
      </c>
      <c r="BQ56" s="101">
        <v>0</v>
      </c>
    </row>
    <row r="57" spans="1:69" ht="15" customHeight="1" x14ac:dyDescent="0.3">
      <c r="A57" s="33" t="s">
        <v>75</v>
      </c>
      <c r="B57" s="11" t="s">
        <v>143</v>
      </c>
      <c r="C57" s="99">
        <v>8.8076000277648395E-3</v>
      </c>
      <c r="D57" s="100">
        <v>7.9501587538220106E-3</v>
      </c>
      <c r="E57" s="100">
        <v>1.0129940402999599E-2</v>
      </c>
      <c r="F57" s="100">
        <v>2.9424406742565301E-2</v>
      </c>
      <c r="G57" s="100">
        <v>9.9759035740876294E-3</v>
      </c>
      <c r="H57" s="100">
        <v>4.7870705003094198E-3</v>
      </c>
      <c r="I57" s="100">
        <v>1.68054476814673E-2</v>
      </c>
      <c r="J57" s="100">
        <v>1.09218049453327E-2</v>
      </c>
      <c r="K57" s="100">
        <v>2.09271351437985E-2</v>
      </c>
      <c r="L57" s="100">
        <v>1.1251308747605699E-2</v>
      </c>
      <c r="M57" s="100">
        <v>1.34192112869199E-2</v>
      </c>
      <c r="N57" s="100">
        <v>1.4973138195824499E-2</v>
      </c>
      <c r="O57" s="100">
        <v>9.8098773460025303E-3</v>
      </c>
      <c r="P57" s="100">
        <v>1.0195213503674199E-2</v>
      </c>
      <c r="Q57" s="100">
        <v>1.20406149983927E-2</v>
      </c>
      <c r="R57" s="100">
        <v>9.7125621744844105E-3</v>
      </c>
      <c r="S57" s="100">
        <v>1.4640324710278299E-2</v>
      </c>
      <c r="T57" s="100">
        <v>1.2866465095751199E-2</v>
      </c>
      <c r="U57" s="100">
        <v>5.2088891325414799E-3</v>
      </c>
      <c r="V57" s="100">
        <v>1.21686099496911E-2</v>
      </c>
      <c r="W57" s="100">
        <v>1.21806634806968E-2</v>
      </c>
      <c r="X57" s="100">
        <v>1.16441857087911E-2</v>
      </c>
      <c r="Y57" s="100">
        <v>1.22953035025212E-2</v>
      </c>
      <c r="Z57" s="100">
        <v>1.15025217842918E-2</v>
      </c>
      <c r="AA57" s="100">
        <v>9.3775253454663997E-3</v>
      </c>
      <c r="AB57" s="100">
        <v>1.6066731426733701E-2</v>
      </c>
      <c r="AC57" s="100">
        <v>1.2008386494139199E-2</v>
      </c>
      <c r="AD57" s="100">
        <v>1.0881112763630201E-2</v>
      </c>
      <c r="AE57" s="100">
        <v>8.4597545918544802E-3</v>
      </c>
      <c r="AF57" s="100">
        <v>1.44559549241721E-2</v>
      </c>
      <c r="AG57" s="100">
        <v>1.0037591288737499E-2</v>
      </c>
      <c r="AH57" s="100">
        <v>1.03841232174434E-2</v>
      </c>
      <c r="AI57" s="100">
        <v>1.1107834366542699E-2</v>
      </c>
      <c r="AJ57" s="100">
        <v>6.9885798936232197E-3</v>
      </c>
      <c r="AK57" s="100">
        <v>1.21239348033627E-2</v>
      </c>
      <c r="AL57" s="100">
        <v>8.7386000979370396E-3</v>
      </c>
      <c r="AM57" s="100">
        <v>5.3606940664150003E-3</v>
      </c>
      <c r="AN57" s="100">
        <v>1.60866540717205E-2</v>
      </c>
      <c r="AO57" s="100">
        <v>1.0921248474159401E-2</v>
      </c>
      <c r="AP57" s="100">
        <v>1.0156882902267701E-2</v>
      </c>
      <c r="AQ57" s="100">
        <v>1.77364990783263E-2</v>
      </c>
      <c r="AR57" s="100">
        <v>1.5782222822944499E-2</v>
      </c>
      <c r="AS57" s="100">
        <v>1.9506934636622002E-2</v>
      </c>
      <c r="AT57" s="100">
        <v>2.71786073815788E-2</v>
      </c>
      <c r="AU57" s="100">
        <v>1.6643569431185098E-2</v>
      </c>
      <c r="AV57" s="100">
        <v>1.8068772771135701E-2</v>
      </c>
      <c r="AW57" s="100">
        <v>8.0275196936046601E-3</v>
      </c>
      <c r="AX57" s="100">
        <v>2.0470594913155001E-2</v>
      </c>
      <c r="AY57" s="100">
        <v>1.93533694173008E-2</v>
      </c>
      <c r="AZ57" s="100">
        <v>4.4927608596915899E-2</v>
      </c>
      <c r="BA57" s="100">
        <v>1.10481719731493E-2</v>
      </c>
      <c r="BB57" s="100">
        <v>0.153612856059581</v>
      </c>
      <c r="BC57" s="100">
        <v>3.0216099638621201E-2</v>
      </c>
      <c r="BD57" s="100">
        <v>1.40637326375068E-2</v>
      </c>
      <c r="BE57" s="100">
        <v>1.44390231561712E-2</v>
      </c>
      <c r="BF57" s="100">
        <v>6.18596132915308E-3</v>
      </c>
      <c r="BG57" s="100">
        <v>1.9091531544718401E-2</v>
      </c>
      <c r="BH57" s="100">
        <v>1.4151821111516799E-2</v>
      </c>
      <c r="BI57" s="100">
        <v>1.49535192735643E-2</v>
      </c>
      <c r="BJ57" s="100">
        <v>5.2411553226780302E-2</v>
      </c>
      <c r="BK57" s="100">
        <v>2.0949235482478701E-3</v>
      </c>
      <c r="BL57" s="100">
        <v>9.0462803004678505E-3</v>
      </c>
      <c r="BM57" s="100">
        <v>2.1986997371935598E-3</v>
      </c>
      <c r="BN57" s="100">
        <v>1.2063839420180999E-2</v>
      </c>
      <c r="BO57" s="100">
        <v>1.9197225544365499E-2</v>
      </c>
      <c r="BP57" s="100">
        <v>1.2955165298009899E-2</v>
      </c>
      <c r="BQ57" s="101">
        <v>0</v>
      </c>
    </row>
    <row r="58" spans="1:69" ht="15" customHeight="1" x14ac:dyDescent="0.3">
      <c r="A58" s="33" t="s">
        <v>76</v>
      </c>
      <c r="B58" s="11" t="s">
        <v>144</v>
      </c>
      <c r="C58" s="99">
        <v>1.0415434957451E-5</v>
      </c>
      <c r="D58" s="100">
        <v>2.4076509656571999E-5</v>
      </c>
      <c r="E58" s="100">
        <v>1.3303616975615499E-4</v>
      </c>
      <c r="F58" s="100">
        <v>9.0370706915552702E-4</v>
      </c>
      <c r="G58" s="100">
        <v>1.09290647606636E-3</v>
      </c>
      <c r="H58" s="100">
        <v>3.1002206733782799E-4</v>
      </c>
      <c r="I58" s="100">
        <v>9.0783924970270395E-4</v>
      </c>
      <c r="J58" s="100">
        <v>1.8519940762309799E-3</v>
      </c>
      <c r="K58" s="100">
        <v>2.7504088869534202E-3</v>
      </c>
      <c r="L58" s="100">
        <v>1.0637766999940701E-3</v>
      </c>
      <c r="M58" s="100">
        <v>6.8676965023281296E-4</v>
      </c>
      <c r="N58" s="100">
        <v>1.49780303823007E-3</v>
      </c>
      <c r="O58" s="100">
        <v>3.9629524302816797E-3</v>
      </c>
      <c r="P58" s="100">
        <v>4.8311483413814001E-3</v>
      </c>
      <c r="Q58" s="100">
        <v>1.5701093527270701E-3</v>
      </c>
      <c r="R58" s="100">
        <v>9.5738256564176802E-4</v>
      </c>
      <c r="S58" s="100">
        <v>1.4560759737855299E-3</v>
      </c>
      <c r="T58" s="100">
        <v>2.3356983709533598E-3</v>
      </c>
      <c r="U58" s="100">
        <v>3.5763084688153398E-4</v>
      </c>
      <c r="V58" s="100">
        <v>3.50356683024688E-3</v>
      </c>
      <c r="W58" s="100">
        <v>7.9969400257941801E-4</v>
      </c>
      <c r="X58" s="100">
        <v>8.6116761201107304E-4</v>
      </c>
      <c r="Y58" s="100">
        <v>2.6180534407682201E-3</v>
      </c>
      <c r="Z58" s="100">
        <v>2.9294532312618901E-3</v>
      </c>
      <c r="AA58" s="100">
        <v>2.5282968017435199E-3</v>
      </c>
      <c r="AB58" s="100">
        <v>1.71088262496006E-3</v>
      </c>
      <c r="AC58" s="100">
        <v>1.1763020387735E-3</v>
      </c>
      <c r="AD58" s="100">
        <v>1.20173356648433E-4</v>
      </c>
      <c r="AE58" s="100">
        <v>1.5627808969003499E-3</v>
      </c>
      <c r="AF58" s="100">
        <v>1.2407013848775E-3</v>
      </c>
      <c r="AG58" s="100">
        <v>9.5754150738606297E-4</v>
      </c>
      <c r="AH58" s="100">
        <v>1.23802610358899E-3</v>
      </c>
      <c r="AI58" s="100">
        <v>4.3190444391087701E-4</v>
      </c>
      <c r="AJ58" s="100">
        <v>1.5210817123827399E-3</v>
      </c>
      <c r="AK58" s="100">
        <v>8.3071060230808505E-4</v>
      </c>
      <c r="AL58" s="100">
        <v>2.3213890956177699E-3</v>
      </c>
      <c r="AM58" s="100">
        <v>5.1676906700854404E-4</v>
      </c>
      <c r="AN58" s="100">
        <v>1.50560543564748E-3</v>
      </c>
      <c r="AO58" s="100">
        <v>3.4878237242721198E-3</v>
      </c>
      <c r="AP58" s="100">
        <v>1.2651905943628001E-3</v>
      </c>
      <c r="AQ58" s="100">
        <v>2.8596619395545701E-2</v>
      </c>
      <c r="AR58" s="100">
        <v>2.51468383597823E-3</v>
      </c>
      <c r="AS58" s="100">
        <v>3.27173535213105E-3</v>
      </c>
      <c r="AT58" s="100">
        <v>2.53275406027543E-3</v>
      </c>
      <c r="AU58" s="100">
        <v>2.0192419234100398E-2</v>
      </c>
      <c r="AV58" s="100">
        <v>3.4037386091738599E-2</v>
      </c>
      <c r="AW58" s="100">
        <v>1.51144026051141E-2</v>
      </c>
      <c r="AX58" s="100">
        <v>9.5442672049163603E-3</v>
      </c>
      <c r="AY58" s="100">
        <v>9.7538574976852293E-3</v>
      </c>
      <c r="AZ58" s="100">
        <v>1.09406664534487E-2</v>
      </c>
      <c r="BA58" s="100">
        <v>1.0011029034037699E-2</v>
      </c>
      <c r="BB58" s="100">
        <v>6.7114294513888799E-3</v>
      </c>
      <c r="BC58" s="100">
        <v>2.2236104990653398E-3</v>
      </c>
      <c r="BD58" s="100">
        <v>1.8151690513151599E-2</v>
      </c>
      <c r="BE58" s="100">
        <v>9.5989082339188892E-3</v>
      </c>
      <c r="BF58" s="100">
        <v>1.05011035130388E-2</v>
      </c>
      <c r="BG58" s="100">
        <v>1.1509202922022E-2</v>
      </c>
      <c r="BH58" s="100">
        <v>1.03019759229841E-2</v>
      </c>
      <c r="BI58" s="100">
        <v>6.4658432811761498E-3</v>
      </c>
      <c r="BJ58" s="100">
        <v>2.3516183889692498E-3</v>
      </c>
      <c r="BK58" s="100">
        <v>1.40458729603055E-3</v>
      </c>
      <c r="BL58" s="100">
        <v>3.54535112932289E-2</v>
      </c>
      <c r="BM58" s="100">
        <v>1.73485012248058E-3</v>
      </c>
      <c r="BN58" s="100">
        <v>7.0488798610175603E-3</v>
      </c>
      <c r="BO58" s="100">
        <v>8.9750084632246097E-2</v>
      </c>
      <c r="BP58" s="100">
        <v>1.9059328143799899E-2</v>
      </c>
      <c r="BQ58" s="101">
        <v>0</v>
      </c>
    </row>
    <row r="59" spans="1:69" ht="15" customHeight="1" x14ac:dyDescent="0.3">
      <c r="A59" s="33" t="s">
        <v>77</v>
      </c>
      <c r="B59" s="11" t="s">
        <v>145</v>
      </c>
      <c r="C59" s="99">
        <v>5.0177613714611598E-5</v>
      </c>
      <c r="D59" s="100">
        <v>4.97277177815403E-5</v>
      </c>
      <c r="E59" s="100">
        <v>7.4101672922495196E-4</v>
      </c>
      <c r="F59" s="100">
        <v>1.9784063527533001E-2</v>
      </c>
      <c r="G59" s="100">
        <v>2.26474347928718E-2</v>
      </c>
      <c r="H59" s="100">
        <v>1.0054915857058999E-2</v>
      </c>
      <c r="I59" s="100">
        <v>7.8702946003259208E-3</v>
      </c>
      <c r="J59" s="100">
        <v>1.47635897935892E-2</v>
      </c>
      <c r="K59" s="100">
        <v>1.43521094219137E-2</v>
      </c>
      <c r="L59" s="100">
        <v>2.20456041564315E-2</v>
      </c>
      <c r="M59" s="100">
        <v>3.4025997488952998E-2</v>
      </c>
      <c r="N59" s="100">
        <v>4.3356402309307603E-2</v>
      </c>
      <c r="O59" s="100">
        <v>5.6348170068897399E-3</v>
      </c>
      <c r="P59" s="100">
        <v>4.8576904164529403E-3</v>
      </c>
      <c r="Q59" s="100">
        <v>4.8656375017296699E-3</v>
      </c>
      <c r="R59" s="100">
        <v>7.9401234087284698E-3</v>
      </c>
      <c r="S59" s="100">
        <v>2.0855643860723801E-2</v>
      </c>
      <c r="T59" s="100">
        <v>9.7908665408167304E-3</v>
      </c>
      <c r="U59" s="100">
        <v>1.0335567889097501E-2</v>
      </c>
      <c r="V59" s="100">
        <v>1.36026571259109E-2</v>
      </c>
      <c r="W59" s="100">
        <v>1.8529616134495198E-2</v>
      </c>
      <c r="X59" s="100">
        <v>3.5123003184335498E-2</v>
      </c>
      <c r="Y59" s="100">
        <v>3.2873183730294797E-2</v>
      </c>
      <c r="Z59" s="100">
        <v>4.3121958011404497E-2</v>
      </c>
      <c r="AA59" s="100">
        <v>1.33236119393679E-2</v>
      </c>
      <c r="AB59" s="100">
        <v>2.2132916428373201E-2</v>
      </c>
      <c r="AC59" s="100">
        <v>6.9347224808505997E-3</v>
      </c>
      <c r="AD59" s="100">
        <v>7.0299791459832702E-3</v>
      </c>
      <c r="AE59" s="100">
        <v>5.3893903968819197E-3</v>
      </c>
      <c r="AF59" s="100">
        <v>2.2325025663865398E-2</v>
      </c>
      <c r="AG59" s="100">
        <v>1.249787458695E-2</v>
      </c>
      <c r="AH59" s="100">
        <v>1.0695454408505899E-2</v>
      </c>
      <c r="AI59" s="100">
        <v>1.3642673386013399E-2</v>
      </c>
      <c r="AJ59" s="100">
        <v>9.3982568583461205E-3</v>
      </c>
      <c r="AK59" s="100">
        <v>1.07334305350238E-2</v>
      </c>
      <c r="AL59" s="100">
        <v>6.1171068123152504E-3</v>
      </c>
      <c r="AM59" s="100">
        <v>9.3663082143417807E-3</v>
      </c>
      <c r="AN59" s="100">
        <v>1.9973591708870499E-3</v>
      </c>
      <c r="AO59" s="100">
        <v>1.95907982139924E-2</v>
      </c>
      <c r="AP59" s="100">
        <v>6.8047414537743198E-3</v>
      </c>
      <c r="AQ59" s="100">
        <v>2.6921530919369899E-2</v>
      </c>
      <c r="AR59" s="100">
        <v>6.2816659516997803E-3</v>
      </c>
      <c r="AS59" s="100">
        <v>7.6843839948110802E-3</v>
      </c>
      <c r="AT59" s="100">
        <v>1.44183903809689E-2</v>
      </c>
      <c r="AU59" s="100">
        <v>1.77087772462887E-2</v>
      </c>
      <c r="AV59" s="100">
        <v>9.0824524651974201E-3</v>
      </c>
      <c r="AW59" s="100">
        <v>4.5126277494365197E-3</v>
      </c>
      <c r="AX59" s="100">
        <v>2.4761204063678301E-2</v>
      </c>
      <c r="AY59" s="100">
        <v>6.4934575412703199E-2</v>
      </c>
      <c r="AZ59" s="100">
        <v>1.82677794657829E-2</v>
      </c>
      <c r="BA59" s="100">
        <v>2.12615205170993E-2</v>
      </c>
      <c r="BB59" s="100">
        <v>2.3146849498689899E-2</v>
      </c>
      <c r="BC59" s="100">
        <v>4.0465956957648104E-3</v>
      </c>
      <c r="BD59" s="100">
        <v>6.8294883103703602E-2</v>
      </c>
      <c r="BE59" s="100">
        <v>7.4408754541695404E-2</v>
      </c>
      <c r="BF59" s="100">
        <v>5.4488648405541301E-3</v>
      </c>
      <c r="BG59" s="100">
        <v>1.7455767284810301E-2</v>
      </c>
      <c r="BH59" s="100">
        <v>1.80653164529932E-2</v>
      </c>
      <c r="BI59" s="100">
        <v>4.3622040083930599E-2</v>
      </c>
      <c r="BJ59" s="100">
        <v>5.2501097737091204E-3</v>
      </c>
      <c r="BK59" s="100">
        <v>3.7038749532305402E-4</v>
      </c>
      <c r="BL59" s="100">
        <v>2.0896250518051499E-2</v>
      </c>
      <c r="BM59" s="100">
        <v>1.31718158929643E-3</v>
      </c>
      <c r="BN59" s="100">
        <v>1.2044849192161099E-2</v>
      </c>
      <c r="BO59" s="100">
        <v>3.1283792183319198E-2</v>
      </c>
      <c r="BP59" s="100">
        <v>2.23134876358696E-2</v>
      </c>
      <c r="BQ59" s="101">
        <v>0</v>
      </c>
    </row>
    <row r="60" spans="1:69" ht="15" customHeight="1" x14ac:dyDescent="0.3">
      <c r="A60" s="33" t="s">
        <v>78</v>
      </c>
      <c r="B60" s="11" t="s">
        <v>146</v>
      </c>
      <c r="C60" s="99">
        <v>1.23839786685326E-3</v>
      </c>
      <c r="D60" s="100">
        <v>1.2771288675238499E-4</v>
      </c>
      <c r="E60" s="100">
        <v>6.7412755200044498E-6</v>
      </c>
      <c r="F60" s="100">
        <v>2.0042658701766702E-3</v>
      </c>
      <c r="G60" s="100">
        <v>4.6444428481702601E-3</v>
      </c>
      <c r="H60" s="100">
        <v>3.94918726965104E-3</v>
      </c>
      <c r="I60" s="100">
        <v>5.41445463174092E-3</v>
      </c>
      <c r="J60" s="100">
        <v>2.8389645938412299E-3</v>
      </c>
      <c r="K60" s="100">
        <v>6.5201550861694497E-3</v>
      </c>
      <c r="L60" s="100">
        <v>2.4336176272920602E-3</v>
      </c>
      <c r="M60" s="100">
        <v>2.25168565477932E-3</v>
      </c>
      <c r="N60" s="100">
        <v>7.6125166029603298E-3</v>
      </c>
      <c r="O60" s="100">
        <v>8.7415457032133696E-4</v>
      </c>
      <c r="P60" s="100">
        <v>2.00945267248126E-3</v>
      </c>
      <c r="Q60" s="100">
        <v>1.8486445749536201E-3</v>
      </c>
      <c r="R60" s="100">
        <v>1.74890943659792E-3</v>
      </c>
      <c r="S60" s="100">
        <v>4.5997279834930497E-3</v>
      </c>
      <c r="T60" s="100">
        <v>1.75218041973686E-3</v>
      </c>
      <c r="U60" s="100">
        <v>3.5688170156308798E-4</v>
      </c>
      <c r="V60" s="100">
        <v>4.8963399646410896E-3</v>
      </c>
      <c r="W60" s="100">
        <v>3.5270592022419102E-3</v>
      </c>
      <c r="X60" s="100">
        <v>5.16778897384581E-3</v>
      </c>
      <c r="Y60" s="100">
        <v>5.99463059890164E-3</v>
      </c>
      <c r="Z60" s="100">
        <v>1.00558484026507E-2</v>
      </c>
      <c r="AA60" s="100">
        <v>5.1427384792551104E-3</v>
      </c>
      <c r="AB60" s="100">
        <v>4.5586245170636799E-3</v>
      </c>
      <c r="AC60" s="100">
        <v>1.59661570966942E-3</v>
      </c>
      <c r="AD60" s="100">
        <v>2.8151908120605698E-3</v>
      </c>
      <c r="AE60" s="100">
        <v>2.8114185889140698E-3</v>
      </c>
      <c r="AF60" s="100">
        <v>3.7600221930999302E-3</v>
      </c>
      <c r="AG60" s="100">
        <v>2.8403955093981798E-3</v>
      </c>
      <c r="AH60" s="100">
        <v>9.3324087997056701E-3</v>
      </c>
      <c r="AI60" s="100">
        <v>5.8908423789319903E-3</v>
      </c>
      <c r="AJ60" s="100">
        <v>4.9496544176776697E-3</v>
      </c>
      <c r="AK60" s="100">
        <v>2.2594449900346899E-3</v>
      </c>
      <c r="AL60" s="100">
        <v>2.5086232843064202E-3</v>
      </c>
      <c r="AM60" s="100">
        <v>2.0786214727618098E-3</v>
      </c>
      <c r="AN60" s="100">
        <v>4.1809849076359599E-3</v>
      </c>
      <c r="AO60" s="100">
        <v>5.1830870894245696E-3</v>
      </c>
      <c r="AP60" s="100">
        <v>3.9116680418079504E-3</v>
      </c>
      <c r="AQ60" s="100">
        <v>1.21728172299455E-3</v>
      </c>
      <c r="AR60" s="100">
        <v>8.4394760221463499E-4</v>
      </c>
      <c r="AS60" s="100">
        <v>8.032753688895E-4</v>
      </c>
      <c r="AT60" s="100">
        <v>1.51943949475933E-5</v>
      </c>
      <c r="AU60" s="100">
        <v>2.7030783979401399E-2</v>
      </c>
      <c r="AV60" s="100">
        <v>3.20504776529544E-4</v>
      </c>
      <c r="AW60" s="100">
        <v>9.4909195070510196E-5</v>
      </c>
      <c r="AX60" s="100">
        <v>7.2591285983781304E-5</v>
      </c>
      <c r="AY60" s="100">
        <v>5.5819949785494701E-5</v>
      </c>
      <c r="AZ60" s="100">
        <v>1.0763753224692299E-4</v>
      </c>
      <c r="BA60" s="100">
        <v>1.92892193795689E-3</v>
      </c>
      <c r="BB60" s="100">
        <v>6.6322651105414003E-4</v>
      </c>
      <c r="BC60" s="100">
        <v>3.1742301354245101E-5</v>
      </c>
      <c r="BD60" s="100">
        <v>1.00358028245432E-4</v>
      </c>
      <c r="BE60" s="100">
        <v>3.4238190534920401E-2</v>
      </c>
      <c r="BF60" s="100">
        <v>6.1353134364734298E-5</v>
      </c>
      <c r="BG60" s="100">
        <v>1.15609788209841E-3</v>
      </c>
      <c r="BH60" s="100">
        <v>1.4342119736014799E-4</v>
      </c>
      <c r="BI60" s="100">
        <v>4.1627477600585999E-5</v>
      </c>
      <c r="BJ60" s="100">
        <v>5.3630302787689398E-3</v>
      </c>
      <c r="BK60" s="100">
        <v>3.3256122527077401E-3</v>
      </c>
      <c r="BL60" s="100">
        <v>9.2700409183479199E-4</v>
      </c>
      <c r="BM60" s="100">
        <v>7.4922170681725004E-3</v>
      </c>
      <c r="BN60" s="100">
        <v>4.6448414156022899E-5</v>
      </c>
      <c r="BO60" s="100">
        <v>4.8804022049243098E-4</v>
      </c>
      <c r="BP60" s="100">
        <v>1.0721464555415499E-4</v>
      </c>
      <c r="BQ60" s="101">
        <v>0</v>
      </c>
    </row>
    <row r="61" spans="1:69" ht="15" customHeight="1" x14ac:dyDescent="0.3">
      <c r="A61" s="33" t="s">
        <v>79</v>
      </c>
      <c r="B61" s="11" t="s">
        <v>147</v>
      </c>
      <c r="C61" s="99">
        <v>3.2148861062328797E-5</v>
      </c>
      <c r="D61" s="100">
        <v>1.9425986082809801E-3</v>
      </c>
      <c r="E61" s="100">
        <v>2.2456328753137399E-3</v>
      </c>
      <c r="F61" s="100">
        <v>1.97960446859889E-3</v>
      </c>
      <c r="G61" s="100">
        <v>2.2814785899036398E-3</v>
      </c>
      <c r="H61" s="100">
        <v>1.4278661085068999E-4</v>
      </c>
      <c r="I61" s="100">
        <v>2.9287221411271502E-5</v>
      </c>
      <c r="J61" s="100">
        <v>7.8387733625077203E-3</v>
      </c>
      <c r="K61" s="100">
        <v>5.41774698252736E-3</v>
      </c>
      <c r="L61" s="100">
        <v>1.01730860667346E-2</v>
      </c>
      <c r="M61" s="100">
        <v>6.5152767492936497E-2</v>
      </c>
      <c r="N61" s="100">
        <v>2.18015202945313E-2</v>
      </c>
      <c r="O61" s="100">
        <v>1.56717620446253E-3</v>
      </c>
      <c r="P61" s="100">
        <v>6.4901967011658504E-3</v>
      </c>
      <c r="Q61" s="100">
        <v>1.76547768301589E-2</v>
      </c>
      <c r="R61" s="100">
        <v>1.42720634774705E-3</v>
      </c>
      <c r="S61" s="100">
        <v>6.0707405804174899E-3</v>
      </c>
      <c r="T61" s="100">
        <v>3.3625841068291402E-3</v>
      </c>
      <c r="U61" s="100">
        <v>5.5364673988848704E-4</v>
      </c>
      <c r="V61" s="100">
        <v>3.0386565010287999E-3</v>
      </c>
      <c r="W61" s="100">
        <v>6.7142974243106798E-4</v>
      </c>
      <c r="X61" s="100">
        <v>5.82115685344282E-3</v>
      </c>
      <c r="Y61" s="100">
        <v>2.5344992348594799E-2</v>
      </c>
      <c r="Z61" s="100">
        <v>2.8707585036715701E-2</v>
      </c>
      <c r="AA61" s="100">
        <v>4.4189488158696E-3</v>
      </c>
      <c r="AB61" s="100">
        <v>3.33896544626686E-3</v>
      </c>
      <c r="AC61" s="100">
        <v>1.2790114825267499E-3</v>
      </c>
      <c r="AD61" s="100">
        <v>2.4206202539576001E-4</v>
      </c>
      <c r="AE61" s="100">
        <v>4.1831337897137496E-3</v>
      </c>
      <c r="AF61" s="100">
        <v>1.20022643405553E-2</v>
      </c>
      <c r="AG61" s="100">
        <v>6.4253674164985704E-3</v>
      </c>
      <c r="AH61" s="100">
        <v>3.4087271891983101E-3</v>
      </c>
      <c r="AI61" s="100">
        <v>1.8135696599548001E-2</v>
      </c>
      <c r="AJ61" s="100">
        <v>1.49044412044668E-3</v>
      </c>
      <c r="AK61" s="100">
        <v>5.9692983667558701E-3</v>
      </c>
      <c r="AL61" s="100">
        <v>5.6978758227599303E-3</v>
      </c>
      <c r="AM61" s="100">
        <v>1.88152931120884E-3</v>
      </c>
      <c r="AN61" s="100">
        <v>6.4622648686833498E-3</v>
      </c>
      <c r="AO61" s="100">
        <v>3.03283824027327E-3</v>
      </c>
      <c r="AP61" s="100">
        <v>2.8789811405713502E-3</v>
      </c>
      <c r="AQ61" s="100">
        <v>1.95569704776383E-2</v>
      </c>
      <c r="AR61" s="100">
        <v>2.3602825252883198E-3</v>
      </c>
      <c r="AS61" s="100">
        <v>2.7310987745632299E-3</v>
      </c>
      <c r="AT61" s="100">
        <v>5.4963883030497698E-3</v>
      </c>
      <c r="AU61" s="100">
        <v>1.2654045031597E-2</v>
      </c>
      <c r="AV61" s="100">
        <v>1.2796140993581199E-2</v>
      </c>
      <c r="AW61" s="100">
        <v>3.4973091242452002E-3</v>
      </c>
      <c r="AX61" s="100">
        <v>4.68058557099909E-2</v>
      </c>
      <c r="AY61" s="100">
        <v>5.0944660296882903E-2</v>
      </c>
      <c r="AZ61" s="100">
        <v>1.8485682593395499E-2</v>
      </c>
      <c r="BA61" s="100">
        <v>1.6386266626460901E-2</v>
      </c>
      <c r="BB61" s="100">
        <v>1.7079897939770699E-2</v>
      </c>
      <c r="BC61" s="100">
        <v>1.5041200620899201E-3</v>
      </c>
      <c r="BD61" s="100">
        <v>2.1500522573854201E-2</v>
      </c>
      <c r="BE61" s="100">
        <v>8.6657032195332894E-3</v>
      </c>
      <c r="BF61" s="100">
        <v>2.9175777848742899E-2</v>
      </c>
      <c r="BG61" s="100">
        <v>2.2350234342631801E-2</v>
      </c>
      <c r="BH61" s="100">
        <v>7.9438699301952794E-3</v>
      </c>
      <c r="BI61" s="100">
        <v>6.5465277926236402E-3</v>
      </c>
      <c r="BJ61" s="100">
        <v>4.1916018354595901E-3</v>
      </c>
      <c r="BK61" s="100">
        <v>1.87356771134855E-3</v>
      </c>
      <c r="BL61" s="100">
        <v>2.5573511002918201E-2</v>
      </c>
      <c r="BM61" s="100">
        <v>5.3865557341978201E-3</v>
      </c>
      <c r="BN61" s="100">
        <v>1.20963073444281E-4</v>
      </c>
      <c r="BO61" s="100">
        <v>4.6149636551116903E-2</v>
      </c>
      <c r="BP61" s="100">
        <v>1.2713439778801501E-2</v>
      </c>
      <c r="BQ61" s="101">
        <v>0</v>
      </c>
    </row>
    <row r="62" spans="1:69" ht="15" customHeight="1" x14ac:dyDescent="0.3">
      <c r="A62" s="33" t="s">
        <v>80</v>
      </c>
      <c r="B62" s="11" t="s">
        <v>148</v>
      </c>
      <c r="C62" s="99">
        <v>4.2777767837288402E-4</v>
      </c>
      <c r="D62" s="100">
        <v>2.88866356958731E-4</v>
      </c>
      <c r="E62" s="100">
        <v>1.6598153512614501E-3</v>
      </c>
      <c r="F62" s="100">
        <v>6.9615051195672101E-3</v>
      </c>
      <c r="G62" s="100">
        <v>1.8409116403577602E-2</v>
      </c>
      <c r="H62" s="100">
        <v>9.69292941482045E-3</v>
      </c>
      <c r="I62" s="100">
        <v>6.7213919461927398E-3</v>
      </c>
      <c r="J62" s="100">
        <v>6.62092948708217E-4</v>
      </c>
      <c r="K62" s="100">
        <v>5.49344203324653E-3</v>
      </c>
      <c r="L62" s="100">
        <v>1.7725522156352401E-3</v>
      </c>
      <c r="M62" s="100">
        <v>2.9057982148819198E-3</v>
      </c>
      <c r="N62" s="100">
        <v>1.628928887692E-3</v>
      </c>
      <c r="O62" s="100">
        <v>7.6414353079429904E-4</v>
      </c>
      <c r="P62" s="100">
        <v>8.6143389256452001E-4</v>
      </c>
      <c r="Q62" s="100">
        <v>8.3870288236771902E-4</v>
      </c>
      <c r="R62" s="100">
        <v>3.1167316265167501E-3</v>
      </c>
      <c r="S62" s="100">
        <v>5.4431801147784798E-3</v>
      </c>
      <c r="T62" s="100">
        <v>5.8423796545439E-3</v>
      </c>
      <c r="U62" s="100">
        <v>6.9767144351151199E-4</v>
      </c>
      <c r="V62" s="100">
        <v>1.3096802456100201E-3</v>
      </c>
      <c r="W62" s="100">
        <v>1.42074680007031E-3</v>
      </c>
      <c r="X62" s="100">
        <v>2.3878044535887099E-3</v>
      </c>
      <c r="Y62" s="100">
        <v>9.9619160280449903E-4</v>
      </c>
      <c r="Z62" s="100">
        <v>1.57048782697738E-3</v>
      </c>
      <c r="AA62" s="100">
        <v>1.8514249503781199E-3</v>
      </c>
      <c r="AB62" s="100">
        <v>2.85420978509629E-3</v>
      </c>
      <c r="AC62" s="100">
        <v>2.37746452131227E-3</v>
      </c>
      <c r="AD62" s="100">
        <v>2.1653248567525302E-3</v>
      </c>
      <c r="AE62" s="100">
        <v>2.84515391452433E-3</v>
      </c>
      <c r="AF62" s="100">
        <v>1.1634290229795301E-3</v>
      </c>
      <c r="AG62" s="100">
        <v>1.12665375833169E-3</v>
      </c>
      <c r="AH62" s="100">
        <v>2.21269007036366E-3</v>
      </c>
      <c r="AI62" s="100">
        <v>2.3363196026223798E-3</v>
      </c>
      <c r="AJ62" s="100">
        <v>2.2213728771863501E-3</v>
      </c>
      <c r="AK62" s="100">
        <v>3.8448978252101601E-3</v>
      </c>
      <c r="AL62" s="100">
        <v>1.7649023088761799E-3</v>
      </c>
      <c r="AM62" s="100">
        <v>2.44632806670169E-3</v>
      </c>
      <c r="AN62" s="100">
        <v>8.6714651556234602E-4</v>
      </c>
      <c r="AO62" s="100">
        <v>1.3155625641023501E-2</v>
      </c>
      <c r="AP62" s="100">
        <v>1.95129491033125E-3</v>
      </c>
      <c r="AQ62" s="100">
        <v>4.3015629742639803E-3</v>
      </c>
      <c r="AR62" s="100">
        <v>5.9076895430939897E-3</v>
      </c>
      <c r="AS62" s="100">
        <v>3.4343431464773803E-2</v>
      </c>
      <c r="AT62" s="100">
        <v>4.5530066237641699E-2</v>
      </c>
      <c r="AU62" s="100">
        <v>1.1345284143493801E-2</v>
      </c>
      <c r="AV62" s="100">
        <v>2.9693671504535898E-3</v>
      </c>
      <c r="AW62" s="100">
        <v>1.9031771315974901E-3</v>
      </c>
      <c r="AX62" s="100">
        <v>1.0975712297248299E-2</v>
      </c>
      <c r="AY62" s="100">
        <v>1.07048241501399E-2</v>
      </c>
      <c r="AZ62" s="100">
        <v>1.12358688227509E-2</v>
      </c>
      <c r="BA62" s="100">
        <v>8.0348482809243504E-3</v>
      </c>
      <c r="BB62" s="100">
        <v>1.0834308078912999E-3</v>
      </c>
      <c r="BC62" s="100">
        <v>3.1553457864642002E-4</v>
      </c>
      <c r="BD62" s="100">
        <v>2.07280895856027E-3</v>
      </c>
      <c r="BE62" s="100">
        <v>7.8154231798356795E-3</v>
      </c>
      <c r="BF62" s="100">
        <v>2.0421540538024898E-3</v>
      </c>
      <c r="BG62" s="100">
        <v>1.7364916248933999E-2</v>
      </c>
      <c r="BH62" s="100">
        <v>2.8453660946962402E-3</v>
      </c>
      <c r="BI62" s="100">
        <v>6.6231877225906904E-3</v>
      </c>
      <c r="BJ62" s="100">
        <v>4.2251617707663204E-3</v>
      </c>
      <c r="BK62" s="100">
        <v>3.6182300926141798E-3</v>
      </c>
      <c r="BL62" s="100">
        <v>8.6391736640531493E-3</v>
      </c>
      <c r="BM62" s="100">
        <v>7.6799370734785101E-3</v>
      </c>
      <c r="BN62" s="100">
        <v>1.5239583691186501E-3</v>
      </c>
      <c r="BO62" s="100">
        <v>8.1464613689071503E-3</v>
      </c>
      <c r="BP62" s="100">
        <v>1.2441388381313899E-3</v>
      </c>
      <c r="BQ62" s="101">
        <v>0</v>
      </c>
    </row>
    <row r="63" spans="1:69" ht="15" customHeight="1" x14ac:dyDescent="0.3">
      <c r="A63" s="33" t="s">
        <v>81</v>
      </c>
      <c r="B63" s="11" t="s">
        <v>149</v>
      </c>
      <c r="C63" s="99">
        <v>6.3906899147235394E-5</v>
      </c>
      <c r="D63" s="100">
        <v>8.8535493128654696E-5</v>
      </c>
      <c r="E63" s="100">
        <v>6.3768312847483299E-4</v>
      </c>
      <c r="F63" s="100">
        <v>3.2476652800094999E-2</v>
      </c>
      <c r="G63" s="100">
        <v>2.8581727389598299E-3</v>
      </c>
      <c r="H63" s="100">
        <v>7.7138392048856901E-3</v>
      </c>
      <c r="I63" s="100">
        <v>1.1581603040789999E-2</v>
      </c>
      <c r="J63" s="100">
        <v>2.6488920772517899E-3</v>
      </c>
      <c r="K63" s="100">
        <v>1.1943505218278701E-2</v>
      </c>
      <c r="L63" s="100">
        <v>3.6814916917598198E-3</v>
      </c>
      <c r="M63" s="100">
        <v>1.45069756290396E-2</v>
      </c>
      <c r="N63" s="100">
        <v>1.6410899461607099E-2</v>
      </c>
      <c r="O63" s="100">
        <v>3.0170614952520301E-3</v>
      </c>
      <c r="P63" s="100">
        <v>3.93834276323756E-3</v>
      </c>
      <c r="Q63" s="100">
        <v>6.7328583351527298E-3</v>
      </c>
      <c r="R63" s="100">
        <v>1.7500894424443199E-3</v>
      </c>
      <c r="S63" s="100">
        <v>6.8846965423132404E-3</v>
      </c>
      <c r="T63" s="100">
        <v>1.7552668911333599E-3</v>
      </c>
      <c r="U63" s="100">
        <v>6.2464238750720201E-4</v>
      </c>
      <c r="V63" s="100">
        <v>1.0554542860419E-2</v>
      </c>
      <c r="W63" s="100">
        <v>2.3245470978836202E-3</v>
      </c>
      <c r="X63" s="100">
        <v>8.0422570670330099E-3</v>
      </c>
      <c r="Y63" s="100">
        <v>6.6376870743648899E-3</v>
      </c>
      <c r="Z63" s="100">
        <v>1.25295421270571E-2</v>
      </c>
      <c r="AA63" s="100">
        <v>4.9420910731274303E-3</v>
      </c>
      <c r="AB63" s="100">
        <v>1.06667328588046E-2</v>
      </c>
      <c r="AC63" s="100">
        <v>2.6828460136583102E-3</v>
      </c>
      <c r="AD63" s="100">
        <v>8.2149779933778193E-3</v>
      </c>
      <c r="AE63" s="100">
        <v>6.5099187802933499E-3</v>
      </c>
      <c r="AF63" s="100">
        <v>8.0270446897022403E-3</v>
      </c>
      <c r="AG63" s="100">
        <v>6.8483544680071496E-3</v>
      </c>
      <c r="AH63" s="100">
        <v>1.3471685716177101E-2</v>
      </c>
      <c r="AI63" s="100">
        <v>6.1987775810168197E-3</v>
      </c>
      <c r="AJ63" s="100">
        <v>3.3315399435389298E-3</v>
      </c>
      <c r="AK63" s="100">
        <v>2.6781377063183299E-3</v>
      </c>
      <c r="AL63" s="100">
        <v>3.5970674732942001E-3</v>
      </c>
      <c r="AM63" s="100">
        <v>4.2750448767716696E-3</v>
      </c>
      <c r="AN63" s="100">
        <v>6.16664791894033E-3</v>
      </c>
      <c r="AO63" s="100">
        <v>5.78531835812565E-3</v>
      </c>
      <c r="AP63" s="100">
        <v>3.4612363447167598E-3</v>
      </c>
      <c r="AQ63" s="100">
        <v>3.1282534588596103E-2</v>
      </c>
      <c r="AR63" s="100">
        <v>6.26197875242053E-3</v>
      </c>
      <c r="AS63" s="100">
        <v>4.9690787786414899E-3</v>
      </c>
      <c r="AT63" s="100">
        <v>2.9775812050906701E-2</v>
      </c>
      <c r="AU63" s="100">
        <v>2.52856526490686E-2</v>
      </c>
      <c r="AV63" s="100">
        <v>3.4104371392825898E-2</v>
      </c>
      <c r="AW63" s="100">
        <v>8.9000317840511201E-3</v>
      </c>
      <c r="AX63" s="100">
        <v>1.42544237346306E-2</v>
      </c>
      <c r="AY63" s="100">
        <v>2.3156348630105801E-2</v>
      </c>
      <c r="AZ63" s="100">
        <v>0.12647186386530501</v>
      </c>
      <c r="BA63" s="100">
        <v>4.9765631222661297E-2</v>
      </c>
      <c r="BB63" s="100">
        <v>3.3661712903191601E-2</v>
      </c>
      <c r="BC63" s="100">
        <v>2.2903608246384499E-3</v>
      </c>
      <c r="BD63" s="100">
        <v>2.1460544114507599E-2</v>
      </c>
      <c r="BE63" s="100">
        <v>1.0030862263382E-2</v>
      </c>
      <c r="BF63" s="100">
        <v>9.5699282573146697E-3</v>
      </c>
      <c r="BG63" s="100">
        <v>1.34935372274107E-2</v>
      </c>
      <c r="BH63" s="100">
        <v>2.6416126600416701E-2</v>
      </c>
      <c r="BI63" s="100">
        <v>1.4213043904655101E-2</v>
      </c>
      <c r="BJ63" s="100">
        <v>2.67379851851977E-2</v>
      </c>
      <c r="BK63" s="100">
        <v>3.2400093225264402E-2</v>
      </c>
      <c r="BL63" s="100">
        <v>3.9959913914235701E-2</v>
      </c>
      <c r="BM63" s="100">
        <v>5.2189849581949797E-2</v>
      </c>
      <c r="BN63" s="100">
        <v>1.1505136275750401E-2</v>
      </c>
      <c r="BO63" s="100">
        <v>3.2593781268016202E-2</v>
      </c>
      <c r="BP63" s="100">
        <v>3.9189685098618698E-2</v>
      </c>
      <c r="BQ63" s="101">
        <v>0</v>
      </c>
    </row>
    <row r="64" spans="1:69" ht="15" customHeight="1" x14ac:dyDescent="0.3">
      <c r="A64" s="33" t="s">
        <v>82</v>
      </c>
      <c r="B64" s="11" t="s">
        <v>150</v>
      </c>
      <c r="C64" s="99">
        <v>5.1711183250754103E-6</v>
      </c>
      <c r="D64" s="100">
        <v>5.9014774561899502E-6</v>
      </c>
      <c r="E64" s="100">
        <v>3.8843238022666099E-5</v>
      </c>
      <c r="F64" s="100">
        <v>3.3622315034587602E-4</v>
      </c>
      <c r="G64" s="100">
        <v>3.5757601070332898E-4</v>
      </c>
      <c r="H64" s="100">
        <v>6.8424036210364505E-4</v>
      </c>
      <c r="I64" s="100">
        <v>8.1877646845303798E-4</v>
      </c>
      <c r="J64" s="100">
        <v>1.0582976835704599E-3</v>
      </c>
      <c r="K64" s="100">
        <v>2.5385257521554701E-3</v>
      </c>
      <c r="L64" s="100">
        <v>7.8648456893495899E-4</v>
      </c>
      <c r="M64" s="100">
        <v>1.32827634873279E-3</v>
      </c>
      <c r="N64" s="100">
        <v>9.4152596183434793E-3</v>
      </c>
      <c r="O64" s="100">
        <v>4.4246019968602102E-4</v>
      </c>
      <c r="P64" s="100">
        <v>4.3511655414721698E-4</v>
      </c>
      <c r="Q64" s="100">
        <v>7.2941745885737701E-4</v>
      </c>
      <c r="R64" s="100">
        <v>1.6398624672055401E-3</v>
      </c>
      <c r="S64" s="100">
        <v>4.6265242102882199E-3</v>
      </c>
      <c r="T64" s="100">
        <v>7.2511785286303297E-4</v>
      </c>
      <c r="U64" s="100">
        <v>2.5482515723605499E-4</v>
      </c>
      <c r="V64" s="100">
        <v>4.1716886877741898E-5</v>
      </c>
      <c r="W64" s="100">
        <v>1.2942437344064101E-3</v>
      </c>
      <c r="X64" s="100">
        <v>1.6200440332218801E-3</v>
      </c>
      <c r="Y64" s="100">
        <v>5.69348874459654E-4</v>
      </c>
      <c r="Z64" s="100">
        <v>2.8476574064830599E-3</v>
      </c>
      <c r="AA64" s="100">
        <v>1.33964023121895E-3</v>
      </c>
      <c r="AB64" s="100">
        <v>3.8709146021701098E-3</v>
      </c>
      <c r="AC64" s="100">
        <v>3.3547114031177397E-4</v>
      </c>
      <c r="AD64" s="100">
        <v>7.5568071312813597E-4</v>
      </c>
      <c r="AE64" s="100">
        <v>1.2715663663651199E-3</v>
      </c>
      <c r="AF64" s="100">
        <v>9.36045503327856E-4</v>
      </c>
      <c r="AG64" s="100">
        <v>8.03325924623906E-4</v>
      </c>
      <c r="AH64" s="100">
        <v>1.41829364981951E-3</v>
      </c>
      <c r="AI64" s="100">
        <v>1.9820675617838899E-3</v>
      </c>
      <c r="AJ64" s="100">
        <v>2.2197961631955599E-3</v>
      </c>
      <c r="AK64" s="100">
        <v>1.5476070942057401E-3</v>
      </c>
      <c r="AL64" s="100">
        <v>5.2590829161569899E-4</v>
      </c>
      <c r="AM64" s="100">
        <v>1.84976216347358E-3</v>
      </c>
      <c r="AN64" s="100">
        <v>5.6982884824097104E-4</v>
      </c>
      <c r="AO64" s="100">
        <v>6.0298768186652797E-3</v>
      </c>
      <c r="AP64" s="100">
        <v>8.4976943770987095E-4</v>
      </c>
      <c r="AQ64" s="100">
        <v>4.1605769173676697E-3</v>
      </c>
      <c r="AR64" s="100">
        <v>3.7539585675357102E-3</v>
      </c>
      <c r="AS64" s="100">
        <v>1.2414207321312001E-3</v>
      </c>
      <c r="AT64" s="100">
        <v>4.7259916362709896E-3</v>
      </c>
      <c r="AU64" s="100">
        <v>2.0642423811745001E-2</v>
      </c>
      <c r="AV64" s="100">
        <v>2.9686322641750201E-3</v>
      </c>
      <c r="AW64" s="100">
        <v>2.1543521867400202E-3</v>
      </c>
      <c r="AX64" s="100">
        <v>1.5907742710697E-3</v>
      </c>
      <c r="AY64" s="100">
        <v>5.65922656832577E-3</v>
      </c>
      <c r="AZ64" s="100">
        <v>2.8105549783193902E-3</v>
      </c>
      <c r="BA64" s="100">
        <v>3.31456457979587E-3</v>
      </c>
      <c r="BB64" s="100">
        <v>5.7093970128059201E-3</v>
      </c>
      <c r="BC64" s="100">
        <v>2.5660819843569498E-4</v>
      </c>
      <c r="BD64" s="100">
        <v>3.1258799728798299E-3</v>
      </c>
      <c r="BE64" s="100">
        <v>2.0510391629640601E-4</v>
      </c>
      <c r="BF64" s="100">
        <v>2.1800960814924901E-3</v>
      </c>
      <c r="BG64" s="100">
        <v>1.9824021128900301E-3</v>
      </c>
      <c r="BH64" s="100">
        <v>2.7243988714449E-3</v>
      </c>
      <c r="BI64" s="100">
        <v>1.1956875104096301E-3</v>
      </c>
      <c r="BJ64" s="100">
        <v>8.3358270238138698E-3</v>
      </c>
      <c r="BK64" s="100">
        <v>9.69050673999171E-3</v>
      </c>
      <c r="BL64" s="100">
        <v>1.0611227690282599E-2</v>
      </c>
      <c r="BM64" s="100">
        <v>6.6822899060041997E-3</v>
      </c>
      <c r="BN64" s="100">
        <v>6.42065712276032E-6</v>
      </c>
      <c r="BO64" s="100">
        <v>3.7614937052293101E-3</v>
      </c>
      <c r="BP64" s="100">
        <v>1.9106838594553499E-5</v>
      </c>
      <c r="BQ64" s="101">
        <v>0</v>
      </c>
    </row>
    <row r="65" spans="1:69" ht="15" customHeight="1" x14ac:dyDescent="0.3">
      <c r="A65" s="33" t="s">
        <v>83</v>
      </c>
      <c r="B65" s="11" t="s">
        <v>151</v>
      </c>
      <c r="C65" s="99">
        <v>3.8683654628630698E-4</v>
      </c>
      <c r="D65" s="100">
        <v>3.8621096199257198E-4</v>
      </c>
      <c r="E65" s="100">
        <v>3.2915264923972701E-4</v>
      </c>
      <c r="F65" s="100">
        <v>1.2577432032399301E-3</v>
      </c>
      <c r="G65" s="100">
        <v>1.2523259261512699E-3</v>
      </c>
      <c r="H65" s="100">
        <v>1.44058675210106E-3</v>
      </c>
      <c r="I65" s="100">
        <v>1.37335971945967E-3</v>
      </c>
      <c r="J65" s="100">
        <v>1.30226484555026E-3</v>
      </c>
      <c r="K65" s="100">
        <v>1.86224576034282E-3</v>
      </c>
      <c r="L65" s="100">
        <v>1.75207243494348E-3</v>
      </c>
      <c r="M65" s="100">
        <v>5.7890183241017202E-3</v>
      </c>
      <c r="N65" s="100">
        <v>4.2472467595902202E-3</v>
      </c>
      <c r="O65" s="100">
        <v>5.5625589775518797E-4</v>
      </c>
      <c r="P65" s="100">
        <v>8.1178694662888595E-4</v>
      </c>
      <c r="Q65" s="100">
        <v>1.48685569862888E-3</v>
      </c>
      <c r="R65" s="100">
        <v>2.0541447184209902E-3</v>
      </c>
      <c r="S65" s="100">
        <v>2.4494099140718599E-3</v>
      </c>
      <c r="T65" s="100">
        <v>7.2767887285812003E-4</v>
      </c>
      <c r="U65" s="100">
        <v>3.9907904480629202E-4</v>
      </c>
      <c r="V65" s="100">
        <v>1.36974268900043E-3</v>
      </c>
      <c r="W65" s="100">
        <v>3.2469259294351698E-3</v>
      </c>
      <c r="X65" s="100">
        <v>2.63744513144339E-3</v>
      </c>
      <c r="Y65" s="100">
        <v>3.37674561761806E-3</v>
      </c>
      <c r="Z65" s="100">
        <v>3.9880519362924102E-3</v>
      </c>
      <c r="AA65" s="100">
        <v>1.28441561351963E-3</v>
      </c>
      <c r="AB65" s="100">
        <v>2.2350087640366201E-3</v>
      </c>
      <c r="AC65" s="100">
        <v>2.08630587664609E-3</v>
      </c>
      <c r="AD65" s="100">
        <v>2.36868319853652E-3</v>
      </c>
      <c r="AE65" s="100">
        <v>1.0782278606763301E-3</v>
      </c>
      <c r="AF65" s="100">
        <v>1.5737856369607199E-3</v>
      </c>
      <c r="AG65" s="100">
        <v>1.3708474329033799E-3</v>
      </c>
      <c r="AH65" s="100">
        <v>1.4139152412017499E-3</v>
      </c>
      <c r="AI65" s="100">
        <v>2.1399615704516799E-3</v>
      </c>
      <c r="AJ65" s="100">
        <v>1.1483739956980701E-3</v>
      </c>
      <c r="AK65" s="100">
        <v>1.15995186292092E-3</v>
      </c>
      <c r="AL65" s="100">
        <v>9.0263381646111596E-4</v>
      </c>
      <c r="AM65" s="100">
        <v>8.0090970377067199E-4</v>
      </c>
      <c r="AN65" s="100">
        <v>1.2655600420791999E-3</v>
      </c>
      <c r="AO65" s="100">
        <v>2.3223182870594E-3</v>
      </c>
      <c r="AP65" s="100">
        <v>6.7964282473498099E-4</v>
      </c>
      <c r="AQ65" s="100">
        <v>2.97179862415436E-3</v>
      </c>
      <c r="AR65" s="100">
        <v>1.0449698178667799E-3</v>
      </c>
      <c r="AS65" s="100">
        <v>2.6509297859253198E-3</v>
      </c>
      <c r="AT65" s="100">
        <v>3.1072703592132998E-3</v>
      </c>
      <c r="AU65" s="100">
        <v>3.63589468734455E-3</v>
      </c>
      <c r="AV65" s="100">
        <v>3.4874593626456302E-3</v>
      </c>
      <c r="AW65" s="100">
        <v>9.2547992637915903E-4</v>
      </c>
      <c r="AX65" s="100">
        <v>3.8913737734779501E-3</v>
      </c>
      <c r="AY65" s="100">
        <v>6.3225008325003898E-3</v>
      </c>
      <c r="AZ65" s="100">
        <v>2.6207192405243002E-3</v>
      </c>
      <c r="BA65" s="100">
        <v>2.7631411031598702E-3</v>
      </c>
      <c r="BB65" s="100">
        <v>2.3446327031142401E-3</v>
      </c>
      <c r="BC65" s="100">
        <v>2.9290230607283602E-4</v>
      </c>
      <c r="BD65" s="100">
        <v>3.9755054997801104E-3</v>
      </c>
      <c r="BE65" s="100">
        <v>6.1421780196487703E-3</v>
      </c>
      <c r="BF65" s="100">
        <v>4.0008339533882196E-3</v>
      </c>
      <c r="BG65" s="100">
        <v>2.2879327522920801E-3</v>
      </c>
      <c r="BH65" s="100">
        <v>3.2291135459991101E-3</v>
      </c>
      <c r="BI65" s="100">
        <v>1.89166287774903E-3</v>
      </c>
      <c r="BJ65" s="100">
        <v>2.00139911204656E-3</v>
      </c>
      <c r="BK65" s="100">
        <v>1.1031873868650201E-3</v>
      </c>
      <c r="BL65" s="100">
        <v>3.4674334931563099E-3</v>
      </c>
      <c r="BM65" s="100">
        <v>2.11342028678302E-3</v>
      </c>
      <c r="BN65" s="100">
        <v>1.4043639908492599E-3</v>
      </c>
      <c r="BO65" s="100">
        <v>5.4880443343731204E-3</v>
      </c>
      <c r="BP65" s="100">
        <v>4.7847277395564004E-3</v>
      </c>
      <c r="BQ65" s="101">
        <v>0</v>
      </c>
    </row>
    <row r="66" spans="1:69" ht="15" customHeight="1" x14ac:dyDescent="0.3">
      <c r="A66" s="33" t="s">
        <v>84</v>
      </c>
      <c r="B66" s="11" t="s">
        <v>152</v>
      </c>
      <c r="C66" s="99">
        <v>1.61819143871247E-6</v>
      </c>
      <c r="D66" s="100">
        <v>6.7047957543875301E-7</v>
      </c>
      <c r="E66" s="100">
        <v>1.02027475845428E-6</v>
      </c>
      <c r="F66" s="100">
        <v>6.0143972433056703E-5</v>
      </c>
      <c r="G66" s="100">
        <v>1.29482353804225E-5</v>
      </c>
      <c r="H66" s="100">
        <v>3.1725945836628798E-4</v>
      </c>
      <c r="I66" s="100">
        <v>2.7424147880513299E-5</v>
      </c>
      <c r="J66" s="100">
        <v>7.1049454380018003E-5</v>
      </c>
      <c r="K66" s="100">
        <v>6.7221751653180804E-5</v>
      </c>
      <c r="L66" s="100">
        <v>3.5505736059455201E-5</v>
      </c>
      <c r="M66" s="100">
        <v>2.47976923535025E-4</v>
      </c>
      <c r="N66" s="100">
        <v>3.9274518844569498E-4</v>
      </c>
      <c r="O66" s="100">
        <v>7.2479028854932898E-6</v>
      </c>
      <c r="P66" s="100">
        <v>6.6442603775222701E-5</v>
      </c>
      <c r="Q66" s="100">
        <v>1.3254716639059599E-4</v>
      </c>
      <c r="R66" s="100">
        <v>9.1813948891205E-5</v>
      </c>
      <c r="S66" s="100">
        <v>8.9467917394931603E-5</v>
      </c>
      <c r="T66" s="100">
        <v>1.8159058477699401E-5</v>
      </c>
      <c r="U66" s="100">
        <v>3.2908578336430398E-6</v>
      </c>
      <c r="V66" s="100">
        <v>1.0844590259906301E-5</v>
      </c>
      <c r="W66" s="100">
        <v>9.9119110035789695E-5</v>
      </c>
      <c r="X66" s="100">
        <v>7.8150173786204302E-5</v>
      </c>
      <c r="Y66" s="100">
        <v>2.7342376389774401E-4</v>
      </c>
      <c r="Z66" s="100">
        <v>6.7521890035115604E-4</v>
      </c>
      <c r="AA66" s="100">
        <v>6.3460833876601103E-5</v>
      </c>
      <c r="AB66" s="100">
        <v>9.3831809555087697E-5</v>
      </c>
      <c r="AC66" s="100">
        <v>4.28086136608104E-5</v>
      </c>
      <c r="AD66" s="100">
        <v>3.1456861869344098E-4</v>
      </c>
      <c r="AE66" s="100">
        <v>3.1270077253629103E-5</v>
      </c>
      <c r="AF66" s="100">
        <v>9.2861852414617994E-5</v>
      </c>
      <c r="AG66" s="100">
        <v>3.0486885014400399E-4</v>
      </c>
      <c r="AH66" s="100">
        <v>2.0982932120184E-4</v>
      </c>
      <c r="AI66" s="100">
        <v>2.6757924305670301E-4</v>
      </c>
      <c r="AJ66" s="100">
        <v>2.6192725780921198E-4</v>
      </c>
      <c r="AK66" s="100">
        <v>1.4930971964623901E-4</v>
      </c>
      <c r="AL66" s="100">
        <v>6.7131883095220896E-5</v>
      </c>
      <c r="AM66" s="100">
        <v>1.20045091516243E-5</v>
      </c>
      <c r="AN66" s="100">
        <v>4.6979976574390702E-5</v>
      </c>
      <c r="AO66" s="100">
        <v>3.8524722023851703E-5</v>
      </c>
      <c r="AP66" s="100">
        <v>1.67062609757466E-5</v>
      </c>
      <c r="AQ66" s="100">
        <v>9.05868481275023E-5</v>
      </c>
      <c r="AR66" s="100">
        <v>2.9861991251159701E-5</v>
      </c>
      <c r="AS66" s="100">
        <v>3.9132454221902303E-5</v>
      </c>
      <c r="AT66" s="100">
        <v>2.85724471104171E-5</v>
      </c>
      <c r="AU66" s="100">
        <v>6.7842383106402401E-5</v>
      </c>
      <c r="AV66" s="100">
        <v>5.0921365612347298E-5</v>
      </c>
      <c r="AW66" s="100">
        <v>1.46395318819423E-5</v>
      </c>
      <c r="AX66" s="100">
        <v>5.7334527226138998E-5</v>
      </c>
      <c r="AY66" s="100">
        <v>3.4581915249219898E-5</v>
      </c>
      <c r="AZ66" s="100">
        <v>2.2701154672910499E-4</v>
      </c>
      <c r="BA66" s="100">
        <v>2.2032474013863599E-4</v>
      </c>
      <c r="BB66" s="100">
        <v>6.7941707767633596E-5</v>
      </c>
      <c r="BC66" s="100">
        <v>3.36199920991261E-6</v>
      </c>
      <c r="BD66" s="100">
        <v>1.20082161242856E-4</v>
      </c>
      <c r="BE66" s="100">
        <v>2.7604732428861498E-3</v>
      </c>
      <c r="BF66" s="100">
        <v>7.1772376899464997E-5</v>
      </c>
      <c r="BG66" s="100">
        <v>1.6509024549472799E-4</v>
      </c>
      <c r="BH66" s="100">
        <v>9.3388116983421195E-5</v>
      </c>
      <c r="BI66" s="100">
        <v>5.8119019165968797E-5</v>
      </c>
      <c r="BJ66" s="100">
        <v>3.1787785909819203E-5</v>
      </c>
      <c r="BK66" s="100">
        <v>3.2400610177931397E-5</v>
      </c>
      <c r="BL66" s="100">
        <v>5.6529875484325403E-5</v>
      </c>
      <c r="BM66" s="100">
        <v>6.8129356891316099E-5</v>
      </c>
      <c r="BN66" s="100">
        <v>8.6542441778286194E-5</v>
      </c>
      <c r="BO66" s="100">
        <v>8.3483730660444895E-5</v>
      </c>
      <c r="BP66" s="100">
        <v>8.4167417247430396E-5</v>
      </c>
      <c r="BQ66" s="101">
        <v>0</v>
      </c>
    </row>
    <row r="67" spans="1:69" ht="15" customHeight="1" x14ac:dyDescent="0.3">
      <c r="A67" s="33" t="s">
        <v>85</v>
      </c>
      <c r="B67" s="11" t="s">
        <v>153</v>
      </c>
      <c r="C67" s="99">
        <v>1.17605866065752E-5</v>
      </c>
      <c r="D67" s="100">
        <v>1.19432432083168E-5</v>
      </c>
      <c r="E67" s="100">
        <v>3.47919255419559E-6</v>
      </c>
      <c r="F67" s="100">
        <v>3.9784369855586598E-5</v>
      </c>
      <c r="G67" s="100">
        <v>1.92136546555904E-4</v>
      </c>
      <c r="H67" s="100">
        <v>1.9845282575384998E-3</v>
      </c>
      <c r="I67" s="100">
        <v>1.5739255228535401E-3</v>
      </c>
      <c r="J67" s="100">
        <v>2.3461573766490599E-5</v>
      </c>
      <c r="K67" s="100">
        <v>1.11509294458522E-5</v>
      </c>
      <c r="L67" s="100">
        <v>8.5085811669015896E-5</v>
      </c>
      <c r="M67" s="100">
        <v>2.1793064490376099E-5</v>
      </c>
      <c r="N67" s="100">
        <v>3.3709134675312601E-5</v>
      </c>
      <c r="O67" s="100">
        <v>3.0841830128572502E-5</v>
      </c>
      <c r="P67" s="100">
        <v>2.5953387184523301E-5</v>
      </c>
      <c r="Q67" s="100">
        <v>2.2607575493974899E-5</v>
      </c>
      <c r="R67" s="100">
        <v>1.7219724417664699E-5</v>
      </c>
      <c r="S67" s="100">
        <v>5.6542776076363597E-4</v>
      </c>
      <c r="T67" s="100">
        <v>1.65619044432558E-5</v>
      </c>
      <c r="U67" s="100">
        <v>3.00471289439985E-5</v>
      </c>
      <c r="V67" s="100">
        <v>1.08589539176564E-5</v>
      </c>
      <c r="W67" s="100">
        <v>9.00164137560172E-5</v>
      </c>
      <c r="X67" s="100">
        <v>4.12234438480097E-4</v>
      </c>
      <c r="Y67" s="100">
        <v>3.0731286771122902E-5</v>
      </c>
      <c r="Z67" s="100">
        <v>5.1885158398862903E-5</v>
      </c>
      <c r="AA67" s="100">
        <v>2.8820992741741801E-5</v>
      </c>
      <c r="AB67" s="100">
        <v>1.7379119379629399E-5</v>
      </c>
      <c r="AC67" s="100">
        <v>1.1833989087592801E-3</v>
      </c>
      <c r="AD67" s="100">
        <v>1.1544534134985301E-3</v>
      </c>
      <c r="AE67" s="100">
        <v>5.9773116171178502E-4</v>
      </c>
      <c r="AF67" s="100">
        <v>2.3557483309667401E-5</v>
      </c>
      <c r="AG67" s="100">
        <v>3.4162720412507301E-5</v>
      </c>
      <c r="AH67" s="100">
        <v>1.9472528013461901E-4</v>
      </c>
      <c r="AI67" s="100">
        <v>7.1514950189943899E-4</v>
      </c>
      <c r="AJ67" s="100">
        <v>4.2442154802629101E-5</v>
      </c>
      <c r="AK67" s="100">
        <v>1.79960526274813E-5</v>
      </c>
      <c r="AL67" s="100">
        <v>1.9984187105800099E-5</v>
      </c>
      <c r="AM67" s="100">
        <v>1.1920861198085599E-4</v>
      </c>
      <c r="AN67" s="100">
        <v>2.69502061874579E-4</v>
      </c>
      <c r="AO67" s="100">
        <v>2.0890038392174498E-5</v>
      </c>
      <c r="AP67" s="100">
        <v>1.2897809872587599E-5</v>
      </c>
      <c r="AQ67" s="100">
        <v>9.6175115197888103E-4</v>
      </c>
      <c r="AR67" s="100">
        <v>3.7972386223408101E-3</v>
      </c>
      <c r="AS67" s="100">
        <v>5.0132939566183898E-3</v>
      </c>
      <c r="AT67" s="100">
        <v>3.0256378826572298E-4</v>
      </c>
      <c r="AU67" s="100">
        <v>2.6560385357575701E-3</v>
      </c>
      <c r="AV67" s="100">
        <v>1.00753192143995E-4</v>
      </c>
      <c r="AW67" s="100">
        <v>3.8710630020041799E-5</v>
      </c>
      <c r="AX67" s="100">
        <v>3.0431233616216901E-5</v>
      </c>
      <c r="AY67" s="100">
        <v>2.2224258105142401E-5</v>
      </c>
      <c r="AZ67" s="100">
        <v>3.7042946011619002E-4</v>
      </c>
      <c r="BA67" s="100">
        <v>3.11455846208396E-5</v>
      </c>
      <c r="BB67" s="100">
        <v>4.0964221423941804E-3</v>
      </c>
      <c r="BC67" s="100">
        <v>4.6831906250800002E-6</v>
      </c>
      <c r="BD67" s="100">
        <v>1.34320937797393E-2</v>
      </c>
      <c r="BE67" s="100">
        <v>3.4358477436883601E-3</v>
      </c>
      <c r="BF67" s="100">
        <v>9.4033046746446001E-3</v>
      </c>
      <c r="BG67" s="100">
        <v>1.4433556010511499E-3</v>
      </c>
      <c r="BH67" s="100">
        <v>1.07451147370965E-2</v>
      </c>
      <c r="BI67" s="100">
        <v>5.1933562546735701E-3</v>
      </c>
      <c r="BJ67" s="100">
        <v>3.8838691852968998E-4</v>
      </c>
      <c r="BK67" s="100">
        <v>1.3047017704584799E-3</v>
      </c>
      <c r="BL67" s="100">
        <v>7.1625350867727795E-5</v>
      </c>
      <c r="BM67" s="100">
        <v>2.8443515718761399E-3</v>
      </c>
      <c r="BN67" s="100">
        <v>2.0244668582047399E-5</v>
      </c>
      <c r="BO67" s="100">
        <v>1.79188604221285E-4</v>
      </c>
      <c r="BP67" s="100">
        <v>3.6948650513108001E-3</v>
      </c>
      <c r="BQ67" s="101">
        <v>0</v>
      </c>
    </row>
    <row r="68" spans="1:69" ht="15" customHeight="1" x14ac:dyDescent="0.3">
      <c r="A68" s="33" t="s">
        <v>86</v>
      </c>
      <c r="B68" s="11" t="s">
        <v>154</v>
      </c>
      <c r="C68" s="99">
        <v>1.5949353459601099E-8</v>
      </c>
      <c r="D68" s="100">
        <v>1.59684011630947E-9</v>
      </c>
      <c r="E68" s="100">
        <v>6.3078353452410696E-10</v>
      </c>
      <c r="F68" s="100">
        <v>2.46778469016119E-6</v>
      </c>
      <c r="G68" s="100">
        <v>6.4578189722844796E-8</v>
      </c>
      <c r="H68" s="100">
        <v>4.0362933529045601E-5</v>
      </c>
      <c r="I68" s="100">
        <v>7.3376565641774106E-8</v>
      </c>
      <c r="J68" s="100">
        <v>8.4760804196064106E-6</v>
      </c>
      <c r="K68" s="100">
        <v>7.0696728480538696E-6</v>
      </c>
      <c r="L68" s="100">
        <v>3.2470543609333899E-6</v>
      </c>
      <c r="M68" s="100">
        <v>3.0218190157255899E-5</v>
      </c>
      <c r="N68" s="100">
        <v>4.9248750760732601E-5</v>
      </c>
      <c r="O68" s="100">
        <v>2.9637124146097598E-8</v>
      </c>
      <c r="P68" s="100">
        <v>7.7777543390605594E-6</v>
      </c>
      <c r="Q68" s="100">
        <v>1.6652170682541E-5</v>
      </c>
      <c r="R68" s="100">
        <v>1.19477097755276E-5</v>
      </c>
      <c r="S68" s="100">
        <v>1.0113252267989101E-5</v>
      </c>
      <c r="T68" s="100">
        <v>1.6749587046113401E-6</v>
      </c>
      <c r="U68" s="100">
        <v>6.2400587349609198E-9</v>
      </c>
      <c r="V68" s="100">
        <v>7.94932749683679E-8</v>
      </c>
      <c r="W68" s="100">
        <v>1.1726924595691401E-5</v>
      </c>
      <c r="X68" s="100">
        <v>8.0357665265471394E-6</v>
      </c>
      <c r="Y68" s="100">
        <v>3.4698319256228501E-5</v>
      </c>
      <c r="Z68" s="100">
        <v>8.8496288152286701E-5</v>
      </c>
      <c r="AA68" s="100">
        <v>7.3108323972675896E-6</v>
      </c>
      <c r="AB68" s="100">
        <v>1.00659312635533E-5</v>
      </c>
      <c r="AC68" s="100">
        <v>4.1049434460637203E-6</v>
      </c>
      <c r="AD68" s="100">
        <v>4.0588556511123403E-5</v>
      </c>
      <c r="AE68" s="100">
        <v>2.36171466502734E-6</v>
      </c>
      <c r="AF68" s="100">
        <v>1.03243936654834E-5</v>
      </c>
      <c r="AG68" s="100">
        <v>4.0151759285365297E-5</v>
      </c>
      <c r="AH68" s="100">
        <v>2.54755344400553E-5</v>
      </c>
      <c r="AI68" s="100">
        <v>3.4579948161700902E-5</v>
      </c>
      <c r="AJ68" s="100">
        <v>3.46714243519935E-5</v>
      </c>
      <c r="AK68" s="100">
        <v>1.9626325276170898E-5</v>
      </c>
      <c r="AL68" s="100">
        <v>8.1505924502263203E-6</v>
      </c>
      <c r="AM68" s="100">
        <v>3.6662179745259802E-7</v>
      </c>
      <c r="AN68" s="100">
        <v>4.8738077431917603E-6</v>
      </c>
      <c r="AO68" s="100">
        <v>3.50691219896024E-6</v>
      </c>
      <c r="AP68" s="100">
        <v>1.14842083956858E-6</v>
      </c>
      <c r="AQ68" s="100">
        <v>4.6991713291914103E-6</v>
      </c>
      <c r="AR68" s="100">
        <v>2.2560622451486098E-8</v>
      </c>
      <c r="AS68" s="100">
        <v>2.5527648180547001E-8</v>
      </c>
      <c r="AT68" s="100">
        <v>1.2008923359349401E-8</v>
      </c>
      <c r="AU68" s="100">
        <v>4.43276734565836E-7</v>
      </c>
      <c r="AV68" s="100">
        <v>1.63060141367314E-7</v>
      </c>
      <c r="AW68" s="100">
        <v>7.1664166050819296E-8</v>
      </c>
      <c r="AX68" s="100">
        <v>4.2059779446636796E-6</v>
      </c>
      <c r="AY68" s="100">
        <v>4.6247366482174003E-8</v>
      </c>
      <c r="AZ68" s="100">
        <v>1.1411270643500999E-5</v>
      </c>
      <c r="BA68" s="100">
        <v>2.2414972992654399E-5</v>
      </c>
      <c r="BB68" s="100">
        <v>3.4638419314333499E-7</v>
      </c>
      <c r="BC68" s="100">
        <v>1.07839932043588E-8</v>
      </c>
      <c r="BD68" s="100">
        <v>8.6065308396407795E-8</v>
      </c>
      <c r="BE68" s="100">
        <v>3.68119068265988E-4</v>
      </c>
      <c r="BF68" s="100">
        <v>4.9790444620061801E-8</v>
      </c>
      <c r="BG68" s="100">
        <v>1.81088872799249E-5</v>
      </c>
      <c r="BH68" s="100">
        <v>8.5422738393292699E-7</v>
      </c>
      <c r="BI68" s="100">
        <v>3.0657464847733798E-8</v>
      </c>
      <c r="BJ68" s="100">
        <v>5.2730718709823405E-7</v>
      </c>
      <c r="BK68" s="100">
        <v>1.7494678176085199E-7</v>
      </c>
      <c r="BL68" s="100">
        <v>4.21295320606879E-7</v>
      </c>
      <c r="BM68" s="100">
        <v>9.2252305124754997E-7</v>
      </c>
      <c r="BN68" s="100">
        <v>1.05667846957796E-3</v>
      </c>
      <c r="BO68" s="100">
        <v>4.2554542831517501E-7</v>
      </c>
      <c r="BP68" s="100">
        <v>9.0368812976762104E-8</v>
      </c>
      <c r="BQ68" s="101">
        <v>0</v>
      </c>
    </row>
    <row r="69" spans="1:69" ht="15" customHeight="1" x14ac:dyDescent="0.3">
      <c r="A69" s="33" t="s">
        <v>87</v>
      </c>
      <c r="B69" s="11" t="s">
        <v>155</v>
      </c>
      <c r="C69" s="99">
        <v>2.1926428977161201E-8</v>
      </c>
      <c r="D69" s="100">
        <v>5.0685167990747503E-8</v>
      </c>
      <c r="E69" s="100">
        <v>2.8006788932870401E-7</v>
      </c>
      <c r="F69" s="100">
        <v>1.9357611880657098E-6</v>
      </c>
      <c r="G69" s="100">
        <v>2.3007827472926701E-6</v>
      </c>
      <c r="H69" s="100">
        <v>1.20284572384391E-6</v>
      </c>
      <c r="I69" s="100">
        <v>1.91117840411446E-6</v>
      </c>
      <c r="J69" s="100">
        <v>4.0139001136709997E-6</v>
      </c>
      <c r="K69" s="100">
        <v>5.8853397610220397E-6</v>
      </c>
      <c r="L69" s="100">
        <v>2.2832947190073902E-6</v>
      </c>
      <c r="M69" s="100">
        <v>1.85781791485137E-6</v>
      </c>
      <c r="N69" s="100">
        <v>3.8239324946115699E-6</v>
      </c>
      <c r="O69" s="100">
        <v>8.3428203988747001E-6</v>
      </c>
      <c r="P69" s="100">
        <v>1.02760468595592E-5</v>
      </c>
      <c r="Q69" s="100">
        <v>3.5322588573249102E-6</v>
      </c>
      <c r="R69" s="100">
        <v>2.1781944314713802E-6</v>
      </c>
      <c r="S69" s="100">
        <v>3.20246920691823E-6</v>
      </c>
      <c r="T69" s="100">
        <v>4.9395299213221303E-6</v>
      </c>
      <c r="U69" s="100">
        <v>7.5288562684513896E-7</v>
      </c>
      <c r="V69" s="100">
        <v>7.3757171690780002E-6</v>
      </c>
      <c r="W69" s="100">
        <v>1.84290627471712E-6</v>
      </c>
      <c r="X69" s="100">
        <v>1.9216525297272301E-6</v>
      </c>
      <c r="Y69" s="100">
        <v>5.9839153091790797E-6</v>
      </c>
      <c r="Z69" s="100">
        <v>7.3730087795654201E-6</v>
      </c>
      <c r="AA69" s="100">
        <v>5.4213071060717702E-6</v>
      </c>
      <c r="AB69" s="100">
        <v>3.7382356614681201E-6</v>
      </c>
      <c r="AC69" s="100">
        <v>2.5320314356368602E-6</v>
      </c>
      <c r="AD69" s="100">
        <v>8.0647400842379502E-7</v>
      </c>
      <c r="AE69" s="100">
        <v>3.3216348867658002E-6</v>
      </c>
      <c r="AF69" s="100">
        <v>2.7521058289864201E-6</v>
      </c>
      <c r="AG69" s="100">
        <v>2.5632964394568798E-6</v>
      </c>
      <c r="AH69" s="100">
        <v>2.9523180480870101E-6</v>
      </c>
      <c r="AI69" s="100">
        <v>1.38016415553017E-6</v>
      </c>
      <c r="AJ69" s="100">
        <v>3.6744518656252699E-6</v>
      </c>
      <c r="AK69" s="100">
        <v>2.0162349522649701E-6</v>
      </c>
      <c r="AL69" s="100">
        <v>4.9976611746775802E-6</v>
      </c>
      <c r="AM69" s="100">
        <v>1.0925404534481499E-6</v>
      </c>
      <c r="AN69" s="100">
        <v>3.2352964600911099E-6</v>
      </c>
      <c r="AO69" s="100">
        <v>7.3893116063028004E-6</v>
      </c>
      <c r="AP69" s="100">
        <v>2.6781732429072102E-6</v>
      </c>
      <c r="AQ69" s="100">
        <v>6.0263794535927897E-5</v>
      </c>
      <c r="AR69" s="100">
        <v>5.2939203736540402E-6</v>
      </c>
      <c r="AS69" s="100">
        <v>6.8876671868405704E-6</v>
      </c>
      <c r="AT69" s="100">
        <v>5.3319619715511103E-6</v>
      </c>
      <c r="AU69" s="100">
        <v>4.2509136132197999E-5</v>
      </c>
      <c r="AV69" s="100">
        <v>7.1655578287013901E-5</v>
      </c>
      <c r="AW69" s="100">
        <v>3.1818889726563799E-5</v>
      </c>
      <c r="AX69" s="100">
        <v>2.0149408109324099E-5</v>
      </c>
      <c r="AY69" s="100">
        <v>2.0533830718085298E-5</v>
      </c>
      <c r="AZ69" s="100">
        <v>2.3187361080356001E-5</v>
      </c>
      <c r="BA69" s="100">
        <v>2.1380185695486001E-5</v>
      </c>
      <c r="BB69" s="100">
        <v>1.4133104247470101E-5</v>
      </c>
      <c r="BC69" s="100">
        <v>4.6811491363850801E-6</v>
      </c>
      <c r="BD69" s="100">
        <v>3.82129969280051E-5</v>
      </c>
      <c r="BE69" s="100">
        <v>2.5225390966998302E-5</v>
      </c>
      <c r="BF69" s="100">
        <v>2.2106957411307499E-5</v>
      </c>
      <c r="BG69" s="100">
        <v>2.4475424639295801E-5</v>
      </c>
      <c r="BH69" s="100">
        <v>2.16987033062794E-5</v>
      </c>
      <c r="BI69" s="100">
        <v>1.3611914392393801E-5</v>
      </c>
      <c r="BJ69" s="100">
        <v>5.7233064762409003E-5</v>
      </c>
      <c r="BK69" s="100">
        <v>1.7628921990669498E-5</v>
      </c>
      <c r="BL69" s="100">
        <v>7.46401593283597E-5</v>
      </c>
      <c r="BM69" s="100">
        <v>9.9281065922741699E-5</v>
      </c>
      <c r="BN69" s="100">
        <v>0.12346925298519</v>
      </c>
      <c r="BO69" s="100">
        <v>1.88942170171938E-4</v>
      </c>
      <c r="BP69" s="100">
        <v>4.0123752961682298E-5</v>
      </c>
      <c r="BQ69" s="101">
        <v>0</v>
      </c>
    </row>
    <row r="70" spans="1:69" ht="15" customHeight="1" x14ac:dyDescent="0.3">
      <c r="A70" s="33" t="s">
        <v>88</v>
      </c>
      <c r="B70" s="11" t="s">
        <v>156</v>
      </c>
      <c r="C70" s="99">
        <v>2.27877011191578E-6</v>
      </c>
      <c r="D70" s="100">
        <v>2.6874303260812899E-5</v>
      </c>
      <c r="E70" s="100">
        <v>2.8967739506427301E-5</v>
      </c>
      <c r="F70" s="100">
        <v>2.70202190161276E-5</v>
      </c>
      <c r="G70" s="100">
        <v>3.03144749920345E-5</v>
      </c>
      <c r="H70" s="100">
        <v>3.9270566790793104E-6</v>
      </c>
      <c r="I70" s="100">
        <v>3.4009036703307798E-6</v>
      </c>
      <c r="J70" s="100">
        <v>1.0214229198060199E-4</v>
      </c>
      <c r="K70" s="100">
        <v>7.0495706841975706E-5</v>
      </c>
      <c r="L70" s="100">
        <v>1.30271967659649E-4</v>
      </c>
      <c r="M70" s="100">
        <v>8.0806626023310695E-4</v>
      </c>
      <c r="N70" s="100">
        <v>2.7399088175873802E-4</v>
      </c>
      <c r="O70" s="100">
        <v>2.7063235847354201E-5</v>
      </c>
      <c r="P70" s="100">
        <v>8.9281440710898698E-5</v>
      </c>
      <c r="Q70" s="100">
        <v>2.2381148575893899E-4</v>
      </c>
      <c r="R70" s="100">
        <v>2.2015674900911499E-5</v>
      </c>
      <c r="S70" s="100">
        <v>8.0740272566717802E-5</v>
      </c>
      <c r="T70" s="100">
        <v>4.76208792893699E-5</v>
      </c>
      <c r="U70" s="100">
        <v>7.5192989038099101E-6</v>
      </c>
      <c r="V70" s="100">
        <v>4.22542525155253E-5</v>
      </c>
      <c r="W70" s="100">
        <v>1.14902724332057E-5</v>
      </c>
      <c r="X70" s="100">
        <v>7.6189407238442104E-5</v>
      </c>
      <c r="Y70" s="100">
        <v>3.1922694527404701E-4</v>
      </c>
      <c r="Z70" s="100">
        <v>3.6011587707169001E-4</v>
      </c>
      <c r="AA70" s="100">
        <v>6.07616133508167E-5</v>
      </c>
      <c r="AB70" s="100">
        <v>4.61901091344911E-5</v>
      </c>
      <c r="AC70" s="100">
        <v>1.9840033933177499E-5</v>
      </c>
      <c r="AD70" s="100">
        <v>7.7662439718509308E-6</v>
      </c>
      <c r="AE70" s="100">
        <v>5.6581240627833901E-5</v>
      </c>
      <c r="AF70" s="100">
        <v>1.5290802716918999E-4</v>
      </c>
      <c r="AG70" s="100">
        <v>8.5367991431140104E-5</v>
      </c>
      <c r="AH70" s="100">
        <v>4.8429102125407699E-5</v>
      </c>
      <c r="AI70" s="100">
        <v>2.2857722465017199E-4</v>
      </c>
      <c r="AJ70" s="100">
        <v>2.3695569489718501E-5</v>
      </c>
      <c r="AK70" s="100">
        <v>7.7221363474143793E-5</v>
      </c>
      <c r="AL70" s="100">
        <v>7.6676993339037702E-5</v>
      </c>
      <c r="AM70" s="100">
        <v>2.75331833375031E-5</v>
      </c>
      <c r="AN70" s="100">
        <v>8.1754459450013303E-5</v>
      </c>
      <c r="AO70" s="100">
        <v>4.2028972924549002E-5</v>
      </c>
      <c r="AP70" s="100">
        <v>3.9237737404460401E-5</v>
      </c>
      <c r="AQ70" s="100">
        <v>2.7081669325553301E-4</v>
      </c>
      <c r="AR70" s="100">
        <v>3.3964817876627998E-5</v>
      </c>
      <c r="AS70" s="100">
        <v>3.7569244464216298E-5</v>
      </c>
      <c r="AT70" s="100">
        <v>7.0894145800817494E-5</v>
      </c>
      <c r="AU70" s="100">
        <v>1.7618953408550999E-4</v>
      </c>
      <c r="AV70" s="100">
        <v>6.3037677860563904E-4</v>
      </c>
      <c r="AW70" s="100">
        <v>6.0769470623614597E-5</v>
      </c>
      <c r="AX70" s="100">
        <v>5.9076167917249101E-4</v>
      </c>
      <c r="AY70" s="100">
        <v>3.9774229441730202E-2</v>
      </c>
      <c r="AZ70" s="100">
        <v>1.6585585706994799E-3</v>
      </c>
      <c r="BA70" s="100">
        <v>2.12640551666501E-4</v>
      </c>
      <c r="BB70" s="100">
        <v>2.17638973451248E-4</v>
      </c>
      <c r="BC70" s="100">
        <v>2.08208917939916E-5</v>
      </c>
      <c r="BD70" s="100">
        <v>2.8348000814135301E-4</v>
      </c>
      <c r="BE70" s="100">
        <v>1.17397298165798E-4</v>
      </c>
      <c r="BF70" s="100">
        <v>1.0962024295665101E-3</v>
      </c>
      <c r="BG70" s="100">
        <v>2.8861241988922202E-4</v>
      </c>
      <c r="BH70" s="100">
        <v>1.5240836473820099E-4</v>
      </c>
      <c r="BI70" s="100">
        <v>8.7609160428002203E-5</v>
      </c>
      <c r="BJ70" s="100">
        <v>8.7824138917839501E-4</v>
      </c>
      <c r="BK70" s="100">
        <v>2.7273057116004E-4</v>
      </c>
      <c r="BL70" s="100">
        <v>3.50559931437675E-4</v>
      </c>
      <c r="BM70" s="100">
        <v>3.8578207878901198E-4</v>
      </c>
      <c r="BN70" s="100">
        <v>1.0304863071785801E-5</v>
      </c>
      <c r="BO70" s="100">
        <v>1.6864370086423899E-2</v>
      </c>
      <c r="BP70" s="100">
        <v>7.6516846298537496E-3</v>
      </c>
      <c r="BQ70" s="101">
        <v>0</v>
      </c>
    </row>
    <row r="71" spans="1:69" ht="15" customHeight="1" x14ac:dyDescent="0.3">
      <c r="A71" s="33" t="s">
        <v>89</v>
      </c>
      <c r="B71" s="11" t="s">
        <v>157</v>
      </c>
      <c r="C71" s="99">
        <v>2.4447208647725702E-4</v>
      </c>
      <c r="D71" s="100">
        <v>1.85760873609671E-4</v>
      </c>
      <c r="E71" s="100">
        <v>5.4015724898881002E-4</v>
      </c>
      <c r="F71" s="100">
        <v>1.87917716506089E-3</v>
      </c>
      <c r="G71" s="100">
        <v>2.17942798873893E-3</v>
      </c>
      <c r="H71" s="100">
        <v>2.8722514449747499E-3</v>
      </c>
      <c r="I71" s="100">
        <v>2.53814504522067E-3</v>
      </c>
      <c r="J71" s="100">
        <v>7.9018979151906097E-4</v>
      </c>
      <c r="K71" s="100">
        <v>2.06192487498294E-3</v>
      </c>
      <c r="L71" s="100">
        <v>6.5745532353903003E-4</v>
      </c>
      <c r="M71" s="100">
        <v>1.77851172366779E-3</v>
      </c>
      <c r="N71" s="100">
        <v>1.5362071241607799E-3</v>
      </c>
      <c r="O71" s="100">
        <v>1.0018626163149501E-3</v>
      </c>
      <c r="P71" s="100">
        <v>1.69846828557238E-3</v>
      </c>
      <c r="Q71" s="100">
        <v>1.16614837840669E-3</v>
      </c>
      <c r="R71" s="100">
        <v>2.6360641222102398E-3</v>
      </c>
      <c r="S71" s="100">
        <v>1.71503602605177E-3</v>
      </c>
      <c r="T71" s="100">
        <v>2.5007321937010399E-3</v>
      </c>
      <c r="U71" s="100">
        <v>3.5902450715937298E-4</v>
      </c>
      <c r="V71" s="100">
        <v>1.49255988781671E-3</v>
      </c>
      <c r="W71" s="100">
        <v>6.6297015894481296E-4</v>
      </c>
      <c r="X71" s="100">
        <v>6.1555094314232799E-4</v>
      </c>
      <c r="Y71" s="100">
        <v>9.9591631169550091E-4</v>
      </c>
      <c r="Z71" s="100">
        <v>1.62434384372874E-3</v>
      </c>
      <c r="AA71" s="100">
        <v>1.36526983732902E-3</v>
      </c>
      <c r="AB71" s="100">
        <v>1.8211824382947E-3</v>
      </c>
      <c r="AC71" s="100">
        <v>6.8935277840019603E-4</v>
      </c>
      <c r="AD71" s="100">
        <v>7.9024725416403899E-4</v>
      </c>
      <c r="AE71" s="100">
        <v>1.9860447327267202E-3</v>
      </c>
      <c r="AF71" s="100">
        <v>2.01757791641152E-3</v>
      </c>
      <c r="AG71" s="100">
        <v>1.35801490738915E-3</v>
      </c>
      <c r="AH71" s="100">
        <v>1.5033170439086899E-3</v>
      </c>
      <c r="AI71" s="100">
        <v>1.2047366377628699E-3</v>
      </c>
      <c r="AJ71" s="100">
        <v>1.48966015810461E-3</v>
      </c>
      <c r="AK71" s="100">
        <v>1.1560592209319601E-3</v>
      </c>
      <c r="AL71" s="100">
        <v>1.4406794854653899E-3</v>
      </c>
      <c r="AM71" s="100">
        <v>6.6056820788552894E-5</v>
      </c>
      <c r="AN71" s="100">
        <v>9.6738573454182696E-4</v>
      </c>
      <c r="AO71" s="100">
        <v>1.8907633395324498E-5</v>
      </c>
      <c r="AP71" s="100">
        <v>2.15052557134258E-4</v>
      </c>
      <c r="AQ71" s="100">
        <v>2.3287272551886398E-3</v>
      </c>
      <c r="AR71" s="100">
        <v>1.1089268126982701E-3</v>
      </c>
      <c r="AS71" s="100">
        <v>1.9019161691766299E-4</v>
      </c>
      <c r="AT71" s="100">
        <v>1.9086674678597199E-4</v>
      </c>
      <c r="AU71" s="100">
        <v>7.36637466376834E-3</v>
      </c>
      <c r="AV71" s="100">
        <v>5.3654274798504197E-3</v>
      </c>
      <c r="AW71" s="100">
        <v>7.0507129932093602E-4</v>
      </c>
      <c r="AX71" s="100">
        <v>1.9210426488933501E-3</v>
      </c>
      <c r="AY71" s="100">
        <v>3.6988792422364002E-3</v>
      </c>
      <c r="AZ71" s="100">
        <v>1.54484952097138E-2</v>
      </c>
      <c r="BA71" s="100">
        <v>8.1622752395166306E-3</v>
      </c>
      <c r="BB71" s="100">
        <v>2.7948535576622401E-3</v>
      </c>
      <c r="BC71" s="100">
        <v>1.6311860353604199E-4</v>
      </c>
      <c r="BD71" s="100">
        <v>1.82810171861238E-3</v>
      </c>
      <c r="BE71" s="100">
        <v>1.0278692997864401E-3</v>
      </c>
      <c r="BF71" s="100">
        <v>6.8542131111779597E-3</v>
      </c>
      <c r="BG71" s="100">
        <v>2.4608219156602501E-3</v>
      </c>
      <c r="BH71" s="100">
        <v>5.62974094768557E-3</v>
      </c>
      <c r="BI71" s="100">
        <v>1.0756168664117301E-3</v>
      </c>
      <c r="BJ71" s="100">
        <v>7.4284190147245598E-4</v>
      </c>
      <c r="BK71" s="100">
        <v>3.4683939184454698E-4</v>
      </c>
      <c r="BL71" s="100">
        <v>3.9085450485169398E-3</v>
      </c>
      <c r="BM71" s="100">
        <v>7.2900990229981697E-3</v>
      </c>
      <c r="BN71" s="100">
        <v>6.60539663014959E-3</v>
      </c>
      <c r="BO71" s="100">
        <v>4.7348214026413999E-4</v>
      </c>
      <c r="BP71" s="100">
        <v>3.6049969020680501E-3</v>
      </c>
      <c r="BQ71" s="101">
        <v>0</v>
      </c>
    </row>
    <row r="72" spans="1:69" ht="15" customHeight="1" x14ac:dyDescent="0.3">
      <c r="A72" s="34" t="s">
        <v>90</v>
      </c>
      <c r="B72" s="35" t="s">
        <v>158</v>
      </c>
      <c r="C72" s="102">
        <v>0</v>
      </c>
      <c r="D72" s="103">
        <v>0</v>
      </c>
      <c r="E72" s="103">
        <v>0</v>
      </c>
      <c r="F72" s="103">
        <v>0</v>
      </c>
      <c r="G72" s="103">
        <v>0</v>
      </c>
      <c r="H72" s="103">
        <v>0</v>
      </c>
      <c r="I72" s="103">
        <v>0</v>
      </c>
      <c r="J72" s="103">
        <v>0</v>
      </c>
      <c r="K72" s="103">
        <v>0</v>
      </c>
      <c r="L72" s="103">
        <v>0</v>
      </c>
      <c r="M72" s="103">
        <v>0</v>
      </c>
      <c r="N72" s="103">
        <v>0</v>
      </c>
      <c r="O72" s="103">
        <v>0</v>
      </c>
      <c r="P72" s="103">
        <v>0</v>
      </c>
      <c r="Q72" s="103">
        <v>0</v>
      </c>
      <c r="R72" s="103">
        <v>0</v>
      </c>
      <c r="S72" s="103">
        <v>0</v>
      </c>
      <c r="T72" s="103">
        <v>0</v>
      </c>
      <c r="U72" s="103">
        <v>0</v>
      </c>
      <c r="V72" s="103">
        <v>0</v>
      </c>
      <c r="W72" s="103">
        <v>0</v>
      </c>
      <c r="X72" s="103">
        <v>0</v>
      </c>
      <c r="Y72" s="103">
        <v>0</v>
      </c>
      <c r="Z72" s="103">
        <v>0</v>
      </c>
      <c r="AA72" s="103">
        <v>0</v>
      </c>
      <c r="AB72" s="103">
        <v>0</v>
      </c>
      <c r="AC72" s="103">
        <v>0</v>
      </c>
      <c r="AD72" s="103">
        <v>0</v>
      </c>
      <c r="AE72" s="103">
        <v>0</v>
      </c>
      <c r="AF72" s="103">
        <v>0</v>
      </c>
      <c r="AG72" s="103">
        <v>0</v>
      </c>
      <c r="AH72" s="103">
        <v>0</v>
      </c>
      <c r="AI72" s="103">
        <v>0</v>
      </c>
      <c r="AJ72" s="103">
        <v>0</v>
      </c>
      <c r="AK72" s="103">
        <v>0</v>
      </c>
      <c r="AL72" s="103">
        <v>0</v>
      </c>
      <c r="AM72" s="103">
        <v>0</v>
      </c>
      <c r="AN72" s="103">
        <v>0</v>
      </c>
      <c r="AO72" s="103">
        <v>0</v>
      </c>
      <c r="AP72" s="103">
        <v>0</v>
      </c>
      <c r="AQ72" s="103">
        <v>0</v>
      </c>
      <c r="AR72" s="103">
        <v>0</v>
      </c>
      <c r="AS72" s="103">
        <v>0</v>
      </c>
      <c r="AT72" s="103">
        <v>0</v>
      </c>
      <c r="AU72" s="103">
        <v>0</v>
      </c>
      <c r="AV72" s="103">
        <v>0</v>
      </c>
      <c r="AW72" s="103">
        <v>0</v>
      </c>
      <c r="AX72" s="103">
        <v>0</v>
      </c>
      <c r="AY72" s="103">
        <v>0</v>
      </c>
      <c r="AZ72" s="103">
        <v>0</v>
      </c>
      <c r="BA72" s="103">
        <v>0</v>
      </c>
      <c r="BB72" s="103">
        <v>0</v>
      </c>
      <c r="BC72" s="103">
        <v>0</v>
      </c>
      <c r="BD72" s="103">
        <v>0</v>
      </c>
      <c r="BE72" s="103">
        <v>0</v>
      </c>
      <c r="BF72" s="103">
        <v>0</v>
      </c>
      <c r="BG72" s="103">
        <v>0</v>
      </c>
      <c r="BH72" s="103">
        <v>0</v>
      </c>
      <c r="BI72" s="103">
        <v>0</v>
      </c>
      <c r="BJ72" s="103">
        <v>0</v>
      </c>
      <c r="BK72" s="103">
        <v>0</v>
      </c>
      <c r="BL72" s="103">
        <v>0</v>
      </c>
      <c r="BM72" s="103">
        <v>0</v>
      </c>
      <c r="BN72" s="103">
        <v>0</v>
      </c>
      <c r="BO72" s="103">
        <v>0</v>
      </c>
      <c r="BP72" s="103">
        <v>0</v>
      </c>
      <c r="BQ72" s="104">
        <v>0</v>
      </c>
    </row>
    <row r="73" spans="1:69" ht="15" customHeight="1" x14ac:dyDescent="0.3">
      <c r="A73" s="54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</row>
    <row r="74" spans="1:69" ht="15" customHeight="1" x14ac:dyDescent="0.3">
      <c r="A74" s="42"/>
    </row>
    <row r="75" spans="1:69" ht="15" customHeight="1" x14ac:dyDescent="0.2">
      <c r="A75" s="53"/>
    </row>
    <row r="102" ht="15" customHeight="1" x14ac:dyDescent="0.2"/>
  </sheetData>
  <mergeCells count="2">
    <mergeCell ref="A3:A5"/>
    <mergeCell ref="B3:B5"/>
  </mergeCells>
  <pageMargins left="0.196527777777778" right="0" top="0.196527777777778" bottom="0.196527777777778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BQ102"/>
  <sheetViews>
    <sheetView showGridLines="0" zoomScale="90" zoomScaleNormal="90" workbookViewId="0">
      <selection activeCell="E34" sqref="E34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69" width="20.7109375" customWidth="1"/>
  </cols>
  <sheetData>
    <row r="1" spans="1:69" ht="15" customHeight="1" x14ac:dyDescent="0.3">
      <c r="A1" s="12" t="s">
        <v>203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69" ht="15" customHeight="1" x14ac:dyDescent="0.3">
      <c r="A2" s="12" t="s">
        <v>188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</row>
    <row r="3" spans="1:69" ht="15" customHeight="1" x14ac:dyDescent="0.2">
      <c r="A3" s="126" t="s">
        <v>189</v>
      </c>
      <c r="B3" s="126" t="s">
        <v>190</v>
      </c>
      <c r="C3" s="14" t="s">
        <v>191</v>
      </c>
      <c r="D3" s="15"/>
      <c r="E3" s="15"/>
      <c r="F3" s="15"/>
      <c r="G3" s="15"/>
      <c r="H3" s="15"/>
      <c r="I3" s="15"/>
      <c r="J3" s="15"/>
      <c r="K3" s="15"/>
      <c r="L3" s="16" t="str">
        <f>C3</f>
        <v>Atividades</v>
      </c>
      <c r="M3" s="15"/>
      <c r="N3" s="15"/>
      <c r="O3" s="15"/>
      <c r="P3" s="15"/>
      <c r="Q3" s="15"/>
      <c r="R3" s="15"/>
      <c r="S3" s="15"/>
      <c r="T3" s="15"/>
      <c r="U3" s="16" t="str">
        <f>L3</f>
        <v>Atividades</v>
      </c>
      <c r="V3" s="15"/>
      <c r="W3" s="15"/>
      <c r="X3" s="15"/>
      <c r="Y3" s="15"/>
      <c r="Z3" s="15"/>
      <c r="AA3" s="15"/>
      <c r="AB3" s="15"/>
      <c r="AC3" s="15"/>
      <c r="AD3" s="16" t="str">
        <f>U3</f>
        <v>Atividades</v>
      </c>
      <c r="AE3" s="15"/>
      <c r="AF3" s="15"/>
      <c r="AG3" s="15"/>
      <c r="AH3" s="15"/>
      <c r="AI3" s="15"/>
      <c r="AJ3" s="15"/>
      <c r="AK3" s="15"/>
      <c r="AL3" s="15"/>
      <c r="AM3" s="16" t="str">
        <f>AD3</f>
        <v>Atividades</v>
      </c>
      <c r="AN3" s="15"/>
      <c r="AO3" s="15"/>
      <c r="AP3" s="15"/>
      <c r="AQ3" s="15"/>
      <c r="AR3" s="15"/>
      <c r="AS3" s="15"/>
      <c r="AT3" s="15"/>
      <c r="AU3" s="15"/>
      <c r="AV3" s="16" t="str">
        <f>AM3</f>
        <v>Atividades</v>
      </c>
      <c r="AW3" s="15"/>
      <c r="AX3" s="15"/>
      <c r="AY3" s="15"/>
      <c r="AZ3" s="15"/>
      <c r="BA3" s="15"/>
      <c r="BB3" s="15"/>
      <c r="BC3" s="15"/>
      <c r="BD3" s="15"/>
      <c r="BE3" s="16" t="str">
        <f>AV3</f>
        <v>Atividades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59" t="str">
        <f>BE3</f>
        <v>Atividades</v>
      </c>
    </row>
    <row r="4" spans="1:69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</row>
    <row r="5" spans="1:69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</row>
    <row r="6" spans="1:69" ht="15" customHeight="1" x14ac:dyDescent="0.3">
      <c r="A6" s="19" t="s">
        <v>24</v>
      </c>
      <c r="B6" s="11" t="s">
        <v>92</v>
      </c>
      <c r="C6" s="96">
        <v>1.3630644223881899E-3</v>
      </c>
      <c r="D6" s="97">
        <v>4.3859570179776101E-3</v>
      </c>
      <c r="E6" s="97">
        <v>8.5831270229950497E-4</v>
      </c>
      <c r="F6" s="97">
        <v>2.3031961569295901E-6</v>
      </c>
      <c r="G6" s="97">
        <v>3.4438604281769E-7</v>
      </c>
      <c r="H6" s="97">
        <v>2.7046900285085698E-7</v>
      </c>
      <c r="I6" s="97">
        <v>2.2895052008084699E-7</v>
      </c>
      <c r="J6" s="97">
        <v>7.1521017222787105E-4</v>
      </c>
      <c r="K6" s="97">
        <v>5.8664541134670605E-7</v>
      </c>
      <c r="L6" s="97">
        <v>4.1050614040122398E-2</v>
      </c>
      <c r="M6" s="97">
        <v>5.5603186093747797E-3</v>
      </c>
      <c r="N6" s="97">
        <v>2.7242603854341001E-3</v>
      </c>
      <c r="O6" s="97">
        <v>3.2786307939765202E-3</v>
      </c>
      <c r="P6" s="97">
        <v>1.98041082428885E-3</v>
      </c>
      <c r="Q6" s="97">
        <v>2.3236404890208301E-5</v>
      </c>
      <c r="R6" s="97">
        <v>2.5420074944445602E-5</v>
      </c>
      <c r="S6" s="97">
        <v>2.58862984940406E-5</v>
      </c>
      <c r="T6" s="97">
        <v>2.1496643936895E-7</v>
      </c>
      <c r="U6" s="97">
        <v>2.58540861378456E-7</v>
      </c>
      <c r="V6" s="97">
        <v>2.3914840390845899E-3</v>
      </c>
      <c r="W6" s="97">
        <v>2.87617196369112E-5</v>
      </c>
      <c r="X6" s="97">
        <v>1.0582330053369001E-5</v>
      </c>
      <c r="Y6" s="97">
        <v>5.0727863796840602E-6</v>
      </c>
      <c r="Z6" s="97">
        <v>5.6469285480479301E-5</v>
      </c>
      <c r="AA6" s="97">
        <v>7.4739236798782504E-5</v>
      </c>
      <c r="AB6" s="97">
        <v>6.8525045078458602E-6</v>
      </c>
      <c r="AC6" s="97">
        <v>3.2227663624153702E-6</v>
      </c>
      <c r="AD6" s="97">
        <v>1.68146176136286E-6</v>
      </c>
      <c r="AE6" s="97">
        <v>5.1982699458552699E-6</v>
      </c>
      <c r="AF6" s="97">
        <v>3.5940177778756699E-7</v>
      </c>
      <c r="AG6" s="97">
        <v>5.8538134452820702E-7</v>
      </c>
      <c r="AH6" s="97">
        <v>6.5012350931920296E-7</v>
      </c>
      <c r="AI6" s="97">
        <v>2.27462377699464E-7</v>
      </c>
      <c r="AJ6" s="97">
        <v>3.2168034510623999E-7</v>
      </c>
      <c r="AK6" s="97">
        <v>3.7818493769189101E-7</v>
      </c>
      <c r="AL6" s="97">
        <v>2.0220608353662601E-5</v>
      </c>
      <c r="AM6" s="97">
        <v>2.5335623522677501E-7</v>
      </c>
      <c r="AN6" s="97">
        <v>2.03354779355239E-7</v>
      </c>
      <c r="AO6" s="97">
        <v>4.51168966275617E-5</v>
      </c>
      <c r="AP6" s="97">
        <v>5.6545577226339197E-5</v>
      </c>
      <c r="AQ6" s="97">
        <v>1.07547607217656E-3</v>
      </c>
      <c r="AR6" s="97">
        <v>3.4024422611009402E-7</v>
      </c>
      <c r="AS6" s="97">
        <v>1.18782216968799E-7</v>
      </c>
      <c r="AT6" s="97">
        <v>7.7339504167699605E-7</v>
      </c>
      <c r="AU6" s="97">
        <v>9.6136870605520495E-7</v>
      </c>
      <c r="AV6" s="97">
        <v>6.5638955006281903E-4</v>
      </c>
      <c r="AW6" s="97">
        <v>1.0283500260104799E-3</v>
      </c>
      <c r="AX6" s="97">
        <v>1.47386536171979E-6</v>
      </c>
      <c r="AY6" s="97">
        <v>1.39247035769188E-6</v>
      </c>
      <c r="AZ6" s="97">
        <v>4.1147886751833498E-7</v>
      </c>
      <c r="BA6" s="97">
        <v>1.6749298862421901E-6</v>
      </c>
      <c r="BB6" s="97">
        <v>5.4730359459044999E-7</v>
      </c>
      <c r="BC6" s="97">
        <v>3.8105856909279298E-7</v>
      </c>
      <c r="BD6" s="97">
        <v>1.5982546137700099E-6</v>
      </c>
      <c r="BE6" s="97">
        <v>3.4714025328214201E-6</v>
      </c>
      <c r="BF6" s="97">
        <v>1.3642529426385999E-6</v>
      </c>
      <c r="BG6" s="97">
        <v>4.1710908221355097E-6</v>
      </c>
      <c r="BH6" s="97">
        <v>3.3326888269069097E-5</v>
      </c>
      <c r="BI6" s="97">
        <v>6.0681879895934005E-7</v>
      </c>
      <c r="BJ6" s="97">
        <v>2.4588435081077602E-4</v>
      </c>
      <c r="BK6" s="97">
        <v>8.8664725779165706E-5</v>
      </c>
      <c r="BL6" s="97">
        <v>1.8381816407133401E-5</v>
      </c>
      <c r="BM6" s="97">
        <v>1.5620437747621501E-4</v>
      </c>
      <c r="BN6" s="97">
        <v>4.3962544930574599E-5</v>
      </c>
      <c r="BO6" s="97">
        <v>3.4001003965848E-6</v>
      </c>
      <c r="BP6" s="97">
        <v>1.35530219108941E-4</v>
      </c>
      <c r="BQ6" s="98">
        <v>0</v>
      </c>
    </row>
    <row r="7" spans="1:69" ht="15" customHeight="1" x14ac:dyDescent="0.3">
      <c r="A7" s="19" t="s">
        <v>25</v>
      </c>
      <c r="B7" s="11" t="s">
        <v>93</v>
      </c>
      <c r="C7" s="99">
        <v>1.06106928917514E-4</v>
      </c>
      <c r="D7" s="100">
        <v>5.1078199313718195E-4</v>
      </c>
      <c r="E7" s="100">
        <v>1.5722075364875601E-3</v>
      </c>
      <c r="F7" s="100">
        <v>1.21262591479115E-6</v>
      </c>
      <c r="G7" s="100">
        <v>1.0641493237393901E-6</v>
      </c>
      <c r="H7" s="100">
        <v>8.6659886120884898E-7</v>
      </c>
      <c r="I7" s="100">
        <v>6.8349219484537102E-7</v>
      </c>
      <c r="J7" s="100">
        <v>5.4523062218102898E-4</v>
      </c>
      <c r="K7" s="100">
        <v>1.1569985668531801E-6</v>
      </c>
      <c r="L7" s="100">
        <v>1.4390325465302499E-3</v>
      </c>
      <c r="M7" s="100">
        <v>2.09726913848342E-4</v>
      </c>
      <c r="N7" s="100">
        <v>1.68425449132959E-4</v>
      </c>
      <c r="O7" s="100">
        <v>1.0932888283386899E-3</v>
      </c>
      <c r="P7" s="100">
        <v>9.2505914687145304E-4</v>
      </c>
      <c r="Q7" s="100">
        <v>1.42203790431861E-5</v>
      </c>
      <c r="R7" s="100">
        <v>5.0556101437507599E-5</v>
      </c>
      <c r="S7" s="100">
        <v>2.6378235431165401E-5</v>
      </c>
      <c r="T7" s="100">
        <v>5.5779541391625996E-7</v>
      </c>
      <c r="U7" s="100">
        <v>6.6587675250826599E-8</v>
      </c>
      <c r="V7" s="100">
        <v>9.8112453537014001E-5</v>
      </c>
      <c r="W7" s="100">
        <v>1.3004847073737401E-4</v>
      </c>
      <c r="X7" s="100">
        <v>6.9637360159813197E-6</v>
      </c>
      <c r="Y7" s="100">
        <v>1.6863523568143499E-5</v>
      </c>
      <c r="Z7" s="100">
        <v>2.9101659760047899E-5</v>
      </c>
      <c r="AA7" s="100">
        <v>1.3289789860808899E-4</v>
      </c>
      <c r="AB7" s="100">
        <v>3.5357558053192199E-5</v>
      </c>
      <c r="AC7" s="100">
        <v>8.6739644089977192E-6</v>
      </c>
      <c r="AD7" s="100">
        <v>8.5560159920406003E-6</v>
      </c>
      <c r="AE7" s="100">
        <v>5.1067763102252801E-6</v>
      </c>
      <c r="AF7" s="100">
        <v>1.1631279344700599E-6</v>
      </c>
      <c r="AG7" s="100">
        <v>2.20402534668479E-6</v>
      </c>
      <c r="AH7" s="100">
        <v>2.05059081457726E-6</v>
      </c>
      <c r="AI7" s="100">
        <v>7.3310418747200897E-7</v>
      </c>
      <c r="AJ7" s="100">
        <v>1.07897777698943E-6</v>
      </c>
      <c r="AK7" s="100">
        <v>1.0040929598339601E-6</v>
      </c>
      <c r="AL7" s="100">
        <v>1.1871191834068699E-5</v>
      </c>
      <c r="AM7" s="100">
        <v>8.1937141371191701E-7</v>
      </c>
      <c r="AN7" s="100">
        <v>5.7757123471502501E-7</v>
      </c>
      <c r="AO7" s="100">
        <v>2.2504317110779698E-6</v>
      </c>
      <c r="AP7" s="100">
        <v>1.0758868090077E-4</v>
      </c>
      <c r="AQ7" s="100">
        <v>4.1049860957468898E-5</v>
      </c>
      <c r="AR7" s="100">
        <v>6.4642082139595E-7</v>
      </c>
      <c r="AS7" s="100">
        <v>2.9870698942922398E-7</v>
      </c>
      <c r="AT7" s="100">
        <v>2.1825339663686101E-6</v>
      </c>
      <c r="AU7" s="100">
        <v>2.0987801956446302E-6</v>
      </c>
      <c r="AV7" s="100">
        <v>2.33922528335955E-4</v>
      </c>
      <c r="AW7" s="100">
        <v>2.30862720963095E-4</v>
      </c>
      <c r="AX7" s="100">
        <v>4.5391994574887801E-6</v>
      </c>
      <c r="AY7" s="100">
        <v>3.9395798404821804E-6</v>
      </c>
      <c r="AZ7" s="100">
        <v>7.7697537025355301E-7</v>
      </c>
      <c r="BA7" s="100">
        <v>4.3229717392134303E-6</v>
      </c>
      <c r="BB7" s="100">
        <v>1.6751837436039401E-6</v>
      </c>
      <c r="BC7" s="100">
        <v>2.9999781508688202E-7</v>
      </c>
      <c r="BD7" s="100">
        <v>2.3459744220986902E-6</v>
      </c>
      <c r="BE7" s="100">
        <v>7.16917075064957E-6</v>
      </c>
      <c r="BF7" s="100">
        <v>2.6509208974162199E-6</v>
      </c>
      <c r="BG7" s="100">
        <v>5.2290922846950702E-6</v>
      </c>
      <c r="BH7" s="100">
        <v>2.8422248426591498E-6</v>
      </c>
      <c r="BI7" s="100">
        <v>1.51599488057976E-6</v>
      </c>
      <c r="BJ7" s="100">
        <v>1.1465157298549401E-5</v>
      </c>
      <c r="BK7" s="100">
        <v>6.8440214064813696E-6</v>
      </c>
      <c r="BL7" s="100">
        <v>6.00516129036919E-6</v>
      </c>
      <c r="BM7" s="100">
        <v>1.13225574024455E-5</v>
      </c>
      <c r="BN7" s="100">
        <v>3.0276722832667402E-6</v>
      </c>
      <c r="BO7" s="100">
        <v>5.9412342982865102E-6</v>
      </c>
      <c r="BP7" s="100">
        <v>4.9114823880919099E-5</v>
      </c>
      <c r="BQ7" s="101">
        <v>0</v>
      </c>
    </row>
    <row r="8" spans="1:69" ht="15" customHeight="1" x14ac:dyDescent="0.3">
      <c r="A8" s="19" t="s">
        <v>26</v>
      </c>
      <c r="B8" s="11" t="s">
        <v>94</v>
      </c>
      <c r="C8" s="99">
        <v>6.3113265579410897E-4</v>
      </c>
      <c r="D8" s="100">
        <v>1.6063228290789399E-3</v>
      </c>
      <c r="E8" s="100">
        <v>2.0613961755798701E-2</v>
      </c>
      <c r="F8" s="100">
        <v>4.0960060312541999E-7</v>
      </c>
      <c r="G8" s="100">
        <v>1.26221190696902E-7</v>
      </c>
      <c r="H8" s="100">
        <v>1.02795109947006E-7</v>
      </c>
      <c r="I8" s="100">
        <v>8.11722653050327E-8</v>
      </c>
      <c r="J8" s="100">
        <v>1.65038279014556E-3</v>
      </c>
      <c r="K8" s="100">
        <v>1.15261248791125E-7</v>
      </c>
      <c r="L8" s="100">
        <v>1.36241392390228E-4</v>
      </c>
      <c r="M8" s="100">
        <v>1.2144359480517899E-5</v>
      </c>
      <c r="N8" s="100">
        <v>7.7885682495345101E-5</v>
      </c>
      <c r="O8" s="100">
        <v>1.2257907955715201E-4</v>
      </c>
      <c r="P8" s="100">
        <v>3.0959185475108301E-5</v>
      </c>
      <c r="Q8" s="100">
        <v>3.9641884813792E-5</v>
      </c>
      <c r="R8" s="100">
        <v>5.8760753376850105E-4</v>
      </c>
      <c r="S8" s="100">
        <v>2.3613928348033099E-4</v>
      </c>
      <c r="T8" s="100">
        <v>6.6425034134316203E-8</v>
      </c>
      <c r="U8" s="100">
        <v>7.94831179892732E-9</v>
      </c>
      <c r="V8" s="100">
        <v>3.3026659211401798E-6</v>
      </c>
      <c r="W8" s="100">
        <v>1.64544500162728E-4</v>
      </c>
      <c r="X8" s="100">
        <v>1.9281374163833099E-6</v>
      </c>
      <c r="Y8" s="100">
        <v>2.5368171813907197E-7</v>
      </c>
      <c r="Z8" s="100">
        <v>5.3812387919541695E-7</v>
      </c>
      <c r="AA8" s="100">
        <v>1.5013467971277199E-3</v>
      </c>
      <c r="AB8" s="100">
        <v>2.84480527836447E-6</v>
      </c>
      <c r="AC8" s="100">
        <v>5.8078328410620098E-5</v>
      </c>
      <c r="AD8" s="100">
        <v>6.9983435228448602E-7</v>
      </c>
      <c r="AE8" s="100">
        <v>2.0435018382538601E-5</v>
      </c>
      <c r="AF8" s="100">
        <v>1.3794611404634999E-7</v>
      </c>
      <c r="AG8" s="100">
        <v>2.2773628895461699E-7</v>
      </c>
      <c r="AH8" s="100">
        <v>2.44949337269635E-7</v>
      </c>
      <c r="AI8" s="100">
        <v>8.7387704228703303E-8</v>
      </c>
      <c r="AJ8" s="100">
        <v>1.1925783402391201E-7</v>
      </c>
      <c r="AK8" s="100">
        <v>1.22521053038957E-7</v>
      </c>
      <c r="AL8" s="100">
        <v>7.3135592366234998E-6</v>
      </c>
      <c r="AM8" s="100">
        <v>9.7176909903824599E-8</v>
      </c>
      <c r="AN8" s="100">
        <v>6.97527779665185E-8</v>
      </c>
      <c r="AO8" s="100">
        <v>1.13224665377528E-7</v>
      </c>
      <c r="AP8" s="100">
        <v>8.0207019703008799E-6</v>
      </c>
      <c r="AQ8" s="100">
        <v>4.1372544419023897E-5</v>
      </c>
      <c r="AR8" s="100">
        <v>7.8920315450542104E-8</v>
      </c>
      <c r="AS8" s="100">
        <v>3.5580656932270299E-8</v>
      </c>
      <c r="AT8" s="100">
        <v>2.4150938625382199E-7</v>
      </c>
      <c r="AU8" s="100">
        <v>2.5086518107172999E-7</v>
      </c>
      <c r="AV8" s="100">
        <v>4.3233521880741902E-4</v>
      </c>
      <c r="AW8" s="100">
        <v>5.0708091742855004E-4</v>
      </c>
      <c r="AX8" s="100">
        <v>5.3878053340834605E-7</v>
      </c>
      <c r="AY8" s="100">
        <v>4.7312493148777899E-7</v>
      </c>
      <c r="AZ8" s="100">
        <v>9.3191161436437596E-8</v>
      </c>
      <c r="BA8" s="100">
        <v>5.1485753509730201E-7</v>
      </c>
      <c r="BB8" s="100">
        <v>1.9667304704074201E-7</v>
      </c>
      <c r="BC8" s="100">
        <v>3.8045310862651097E-8</v>
      </c>
      <c r="BD8" s="100">
        <v>2.8369883615603098E-7</v>
      </c>
      <c r="BE8" s="100">
        <v>1.5012230266091499E-5</v>
      </c>
      <c r="BF8" s="100">
        <v>3.1776919913732799E-7</v>
      </c>
      <c r="BG8" s="100">
        <v>6.3594013885280298E-7</v>
      </c>
      <c r="BH8" s="100">
        <v>2.3353889716001099E-7</v>
      </c>
      <c r="BI8" s="100">
        <v>1.80414329896816E-7</v>
      </c>
      <c r="BJ8" s="100">
        <v>3.69788991769646E-5</v>
      </c>
      <c r="BK8" s="100">
        <v>5.6754133370888598E-5</v>
      </c>
      <c r="BL8" s="100">
        <v>1.6602140627926999E-5</v>
      </c>
      <c r="BM8" s="100">
        <v>8.3458604474893994E-5</v>
      </c>
      <c r="BN8" s="100">
        <v>1.36126763056454E-5</v>
      </c>
      <c r="BO8" s="100">
        <v>6.5404657745920005E-7</v>
      </c>
      <c r="BP8" s="100">
        <v>5.4128246098651602E-6</v>
      </c>
      <c r="BQ8" s="101">
        <v>0</v>
      </c>
    </row>
    <row r="9" spans="1:69" ht="15" customHeight="1" x14ac:dyDescent="0.3">
      <c r="A9" s="19" t="s">
        <v>27</v>
      </c>
      <c r="B9" s="11" t="s">
        <v>95</v>
      </c>
      <c r="C9" s="99">
        <v>4.8605971476822401E-5</v>
      </c>
      <c r="D9" s="100">
        <v>3.8596568027210603E-5</v>
      </c>
      <c r="E9" s="100">
        <v>1.21873355730653E-4</v>
      </c>
      <c r="F9" s="100">
        <v>6.4536640726896202E-6</v>
      </c>
      <c r="G9" s="100">
        <v>7.2582422112478301E-6</v>
      </c>
      <c r="H9" s="100">
        <v>2.9320993526615899E-6</v>
      </c>
      <c r="I9" s="100">
        <v>4.0886752066141198E-4</v>
      </c>
      <c r="J9" s="100">
        <v>6.1139968990356905E-5</v>
      </c>
      <c r="K9" s="100">
        <v>4.5479316486018202E-5</v>
      </c>
      <c r="L9" s="100">
        <v>1.41520490364322E-4</v>
      </c>
      <c r="M9" s="100">
        <v>4.33497559462037E-5</v>
      </c>
      <c r="N9" s="100">
        <v>3.6268043994124402E-8</v>
      </c>
      <c r="O9" s="100">
        <v>2.79137570818847E-6</v>
      </c>
      <c r="P9" s="100">
        <v>8.13070293901222E-8</v>
      </c>
      <c r="Q9" s="100">
        <v>4.0953736415112202E-6</v>
      </c>
      <c r="R9" s="100">
        <v>3.6661109004301202E-7</v>
      </c>
      <c r="S9" s="100">
        <v>5.3652005182562801E-5</v>
      </c>
      <c r="T9" s="100">
        <v>2.4114936935682101E-5</v>
      </c>
      <c r="U9" s="100">
        <v>1.21386332569464E-4</v>
      </c>
      <c r="V9" s="100">
        <v>9.2223852029547904E-4</v>
      </c>
      <c r="W9" s="100">
        <v>9.47243144154797E-3</v>
      </c>
      <c r="X9" s="100">
        <v>1.6237424791601201E-4</v>
      </c>
      <c r="Y9" s="100">
        <v>3.1603741464717297E-5</v>
      </c>
      <c r="Z9" s="100">
        <v>4.9977656829286196E-6</v>
      </c>
      <c r="AA9" s="100">
        <v>1.2592337246735399E-5</v>
      </c>
      <c r="AB9" s="100">
        <v>2.7599961668615799E-3</v>
      </c>
      <c r="AC9" s="100">
        <v>4.1321756901593502E-2</v>
      </c>
      <c r="AD9" s="100">
        <v>8.8597610986806807E-3</v>
      </c>
      <c r="AE9" s="100">
        <v>4.7699997901989603E-5</v>
      </c>
      <c r="AF9" s="100">
        <v>4.2812411371768099E-6</v>
      </c>
      <c r="AG9" s="100">
        <v>2.5760127779580301E-4</v>
      </c>
      <c r="AH9" s="100">
        <v>2.9851361574854299E-5</v>
      </c>
      <c r="AI9" s="100">
        <v>2.3175450325429999E-5</v>
      </c>
      <c r="AJ9" s="100">
        <v>7.3797034192467695E-4</v>
      </c>
      <c r="AK9" s="100">
        <v>4.1892712921550697E-5</v>
      </c>
      <c r="AL9" s="100">
        <v>1.29343006374821E-4</v>
      </c>
      <c r="AM9" s="100">
        <v>2.5603973600653699E-5</v>
      </c>
      <c r="AN9" s="100">
        <v>7.6556882517886298E-3</v>
      </c>
      <c r="AO9" s="100">
        <v>1.31673605321063E-5</v>
      </c>
      <c r="AP9" s="100">
        <v>5.0869951893096801E-4</v>
      </c>
      <c r="AQ9" s="100">
        <v>1.4394650175424501E-6</v>
      </c>
      <c r="AR9" s="100">
        <v>1.4394029294001001E-7</v>
      </c>
      <c r="AS9" s="100">
        <v>6.9273325905862696E-7</v>
      </c>
      <c r="AT9" s="100">
        <v>3.94072352439075E-8</v>
      </c>
      <c r="AU9" s="100">
        <v>4.8769720830107801E-7</v>
      </c>
      <c r="AV9" s="100">
        <v>8.4441582934753403E-6</v>
      </c>
      <c r="AW9" s="100">
        <v>3.98893397412398E-6</v>
      </c>
      <c r="AX9" s="100">
        <v>3.5609947156720699E-7</v>
      </c>
      <c r="AY9" s="100">
        <v>1.16574110883785E-7</v>
      </c>
      <c r="AZ9" s="100">
        <v>1.41071130298717E-7</v>
      </c>
      <c r="BA9" s="100">
        <v>2.4199359368379802E-7</v>
      </c>
      <c r="BB9" s="100">
        <v>7.9919478763727402E-9</v>
      </c>
      <c r="BC9" s="100">
        <v>1.2900290537993299E-6</v>
      </c>
      <c r="BD9" s="100">
        <v>3.7376770306728202E-7</v>
      </c>
      <c r="BE9" s="100">
        <v>1.18943315881268E-4</v>
      </c>
      <c r="BF9" s="100">
        <v>2.8034163109695999E-7</v>
      </c>
      <c r="BG9" s="100">
        <v>1.1691176962649199E-6</v>
      </c>
      <c r="BH9" s="100">
        <v>9.2670295663144505E-7</v>
      </c>
      <c r="BI9" s="100">
        <v>1.00950003665965E-7</v>
      </c>
      <c r="BJ9" s="100">
        <v>4.8159732999720799E-7</v>
      </c>
      <c r="BK9" s="100">
        <v>7.25523546302513E-7</v>
      </c>
      <c r="BL9" s="100">
        <v>2.5902722331394699E-7</v>
      </c>
      <c r="BM9" s="100">
        <v>2.5524099929587199E-6</v>
      </c>
      <c r="BN9" s="100">
        <v>7.3952993978602502E-7</v>
      </c>
      <c r="BO9" s="100">
        <v>6.4422101982251296E-7</v>
      </c>
      <c r="BP9" s="100">
        <v>3.5894209657743698E-6</v>
      </c>
      <c r="BQ9" s="101">
        <v>0</v>
      </c>
    </row>
    <row r="10" spans="1:69" ht="15" customHeight="1" x14ac:dyDescent="0.3">
      <c r="A10" s="19" t="s">
        <v>28</v>
      </c>
      <c r="B10" s="11" t="s">
        <v>96</v>
      </c>
      <c r="C10" s="99">
        <v>2.1899466578669999E-5</v>
      </c>
      <c r="D10" s="100">
        <v>3.4784237788755697E-5</v>
      </c>
      <c r="E10" s="100">
        <v>1.57541829375773E-5</v>
      </c>
      <c r="F10" s="100">
        <v>1.12315535452587E-5</v>
      </c>
      <c r="G10" s="100">
        <v>1.78045378431643E-4</v>
      </c>
      <c r="H10" s="100">
        <v>5.2935303333498602E-4</v>
      </c>
      <c r="I10" s="100">
        <v>2.8821880153652999E-4</v>
      </c>
      <c r="J10" s="100">
        <v>1.23107673615036E-4</v>
      </c>
      <c r="K10" s="100">
        <v>8.4043420508813899E-7</v>
      </c>
      <c r="L10" s="100">
        <v>1.12006584635747E-3</v>
      </c>
      <c r="M10" s="100">
        <v>1.08907494939676E-3</v>
      </c>
      <c r="N10" s="100">
        <v>2.6131812736921102E-7</v>
      </c>
      <c r="O10" s="100">
        <v>1.18722833294259E-3</v>
      </c>
      <c r="P10" s="100">
        <v>5.7351758682644205E-7</v>
      </c>
      <c r="Q10" s="100">
        <v>1.62482882707343E-5</v>
      </c>
      <c r="R10" s="100">
        <v>8.8458545529532804E-4</v>
      </c>
      <c r="S10" s="100">
        <v>4.2045529421296203E-3</v>
      </c>
      <c r="T10" s="100">
        <v>2.8981948973842201E-6</v>
      </c>
      <c r="U10" s="100">
        <v>3.9649907360213801E-2</v>
      </c>
      <c r="V10" s="100">
        <v>1.3516802763856401E-6</v>
      </c>
      <c r="W10" s="100">
        <v>4.8970478568613196E-3</v>
      </c>
      <c r="X10" s="100">
        <v>5.3553128566219204E-4</v>
      </c>
      <c r="Y10" s="100">
        <v>2.9707325162827602E-4</v>
      </c>
      <c r="Z10" s="100">
        <v>2.90423350523255E-4</v>
      </c>
      <c r="AA10" s="100">
        <v>4.3542037104988299E-4</v>
      </c>
      <c r="AB10" s="100">
        <v>3.9260296688683801E-3</v>
      </c>
      <c r="AC10" s="100">
        <v>1.0439077934005199E-3</v>
      </c>
      <c r="AD10" s="100">
        <v>2.1355729217008399E-3</v>
      </c>
      <c r="AE10" s="100">
        <v>1.72487767934957E-3</v>
      </c>
      <c r="AF10" s="100">
        <v>1.5847905976743099E-6</v>
      </c>
      <c r="AG10" s="100">
        <v>1.7976848054853799E-4</v>
      </c>
      <c r="AH10" s="100">
        <v>3.73843645245323E-4</v>
      </c>
      <c r="AI10" s="100">
        <v>1.8620789794217201E-4</v>
      </c>
      <c r="AJ10" s="100">
        <v>7.9402160726285405E-4</v>
      </c>
      <c r="AK10" s="100">
        <v>2.3535349731471001E-5</v>
      </c>
      <c r="AL10" s="100">
        <v>7.4664277298300096E-6</v>
      </c>
      <c r="AM10" s="100">
        <v>2.8882833252210098E-4</v>
      </c>
      <c r="AN10" s="100">
        <v>4.3114902963726297E-2</v>
      </c>
      <c r="AO10" s="100">
        <v>1.64967630077674E-5</v>
      </c>
      <c r="AP10" s="100">
        <v>2.6451911900219901E-5</v>
      </c>
      <c r="AQ10" s="100">
        <v>2.8898750436447101E-5</v>
      </c>
      <c r="AR10" s="100">
        <v>6.3860401245540606E-5</v>
      </c>
      <c r="AS10" s="100">
        <v>4.0368502754554097E-5</v>
      </c>
      <c r="AT10" s="100">
        <v>2.4424588015740902E-7</v>
      </c>
      <c r="AU10" s="100">
        <v>1.11960166428838E-5</v>
      </c>
      <c r="AV10" s="100">
        <v>5.4932334180126802E-6</v>
      </c>
      <c r="AW10" s="100">
        <v>3.9307961891804599E-5</v>
      </c>
      <c r="AX10" s="100">
        <v>1.6233180164519801E-6</v>
      </c>
      <c r="AY10" s="100">
        <v>1.9028369521708599E-6</v>
      </c>
      <c r="AZ10" s="100">
        <v>1.5276781210709999E-6</v>
      </c>
      <c r="BA10" s="100">
        <v>2.0004959397311401E-6</v>
      </c>
      <c r="BB10" s="100">
        <v>8.0470147116773798E-8</v>
      </c>
      <c r="BC10" s="100">
        <v>1.22577653349612E-6</v>
      </c>
      <c r="BD10" s="100">
        <v>3.8877719936219202E-6</v>
      </c>
      <c r="BE10" s="100">
        <v>4.0283044758215702E-5</v>
      </c>
      <c r="BF10" s="100">
        <v>3.3098928483018302E-6</v>
      </c>
      <c r="BG10" s="100">
        <v>2.5368404210715499E-5</v>
      </c>
      <c r="BH10" s="100">
        <v>9.3503077477551599E-6</v>
      </c>
      <c r="BI10" s="100">
        <v>7.4808827290499298E-7</v>
      </c>
      <c r="BJ10" s="100">
        <v>4.0182483254368197E-6</v>
      </c>
      <c r="BK10" s="100">
        <v>1.77934535114597E-6</v>
      </c>
      <c r="BL10" s="100">
        <v>2.08525809355313E-6</v>
      </c>
      <c r="BM10" s="100">
        <v>1.4313995390633499E-6</v>
      </c>
      <c r="BN10" s="100">
        <v>1.6159608611263501E-6</v>
      </c>
      <c r="BO10" s="100">
        <v>6.9990164975615899E-6</v>
      </c>
      <c r="BP10" s="100">
        <v>9.3950578802757496E-6</v>
      </c>
      <c r="BQ10" s="101">
        <v>0</v>
      </c>
    </row>
    <row r="11" spans="1:69" ht="15" customHeight="1" x14ac:dyDescent="0.3">
      <c r="A11" s="19" t="s">
        <v>29</v>
      </c>
      <c r="B11" s="11" t="s">
        <v>97</v>
      </c>
      <c r="C11" s="99">
        <v>1.35717923519268E-8</v>
      </c>
      <c r="D11" s="100">
        <v>1.07736216707025E-7</v>
      </c>
      <c r="E11" s="100">
        <v>9.0697822922346497E-8</v>
      </c>
      <c r="F11" s="100">
        <v>2.1877137648192001E-6</v>
      </c>
      <c r="G11" s="100">
        <v>1.9124257157254301E-5</v>
      </c>
      <c r="H11" s="100">
        <v>3.2629215866415999E-5</v>
      </c>
      <c r="I11" s="100">
        <v>2.4606215040649202E-4</v>
      </c>
      <c r="J11" s="100">
        <v>8.0889965526055095E-7</v>
      </c>
      <c r="K11" s="100">
        <v>4.2052412763628998E-9</v>
      </c>
      <c r="L11" s="100">
        <v>1.2867358860040099E-6</v>
      </c>
      <c r="M11" s="100">
        <v>1.30706142746418E-9</v>
      </c>
      <c r="N11" s="100">
        <v>3.0316137233077502E-9</v>
      </c>
      <c r="O11" s="100">
        <v>3.82828828718343E-9</v>
      </c>
      <c r="P11" s="100">
        <v>6.8259463229057698E-9</v>
      </c>
      <c r="Q11" s="100">
        <v>4.4991409204258402E-9</v>
      </c>
      <c r="R11" s="100">
        <v>1.7403408518035001E-6</v>
      </c>
      <c r="S11" s="100">
        <v>2.3116043272968098E-6</v>
      </c>
      <c r="T11" s="100">
        <v>1.2385903376943999E-5</v>
      </c>
      <c r="U11" s="100">
        <v>6.5683524499675196E-10</v>
      </c>
      <c r="V11" s="100">
        <v>5.0197249329984403E-9</v>
      </c>
      <c r="W11" s="100">
        <v>1.13684773585874E-7</v>
      </c>
      <c r="X11" s="100">
        <v>2.0957262622829398E-6</v>
      </c>
      <c r="Y11" s="100">
        <v>3.56666537059881E-9</v>
      </c>
      <c r="Z11" s="100">
        <v>1.0136856553561E-7</v>
      </c>
      <c r="AA11" s="100">
        <v>1.2051233803568201E-6</v>
      </c>
      <c r="AB11" s="100">
        <v>1.9370396133728502E-6</v>
      </c>
      <c r="AC11" s="100">
        <v>1.36940360132353E-4</v>
      </c>
      <c r="AD11" s="100">
        <v>4.2338587965847998E-4</v>
      </c>
      <c r="AE11" s="100">
        <v>2.3297476027279099E-5</v>
      </c>
      <c r="AF11" s="100">
        <v>2.80922707629036E-6</v>
      </c>
      <c r="AG11" s="100">
        <v>1.02914868534909E-4</v>
      </c>
      <c r="AH11" s="100">
        <v>1.2908126088144399E-4</v>
      </c>
      <c r="AI11" s="100">
        <v>8.7597771246646701E-6</v>
      </c>
      <c r="AJ11" s="100">
        <v>2.8406666749597999E-5</v>
      </c>
      <c r="AK11" s="100">
        <v>2.7858969647659702E-5</v>
      </c>
      <c r="AL11" s="100">
        <v>3.96538462903829E-5</v>
      </c>
      <c r="AM11" s="100">
        <v>1.16368552956783E-4</v>
      </c>
      <c r="AN11" s="100">
        <v>9.8436927398873304E-8</v>
      </c>
      <c r="AO11" s="100">
        <v>2.4211059482846598E-6</v>
      </c>
      <c r="AP11" s="100">
        <v>3.5489551610600599E-5</v>
      </c>
      <c r="AQ11" s="100">
        <v>4.3543423946403398E-7</v>
      </c>
      <c r="AR11" s="100">
        <v>1.2743644463567501E-7</v>
      </c>
      <c r="AS11" s="100">
        <v>6.9670960364508403E-6</v>
      </c>
      <c r="AT11" s="100">
        <v>2.5837036681089498E-9</v>
      </c>
      <c r="AU11" s="100">
        <v>1.36557511030404E-6</v>
      </c>
      <c r="AV11" s="100">
        <v>2.4252822350060399E-7</v>
      </c>
      <c r="AW11" s="100">
        <v>8.3013025435884506E-8</v>
      </c>
      <c r="AX11" s="100">
        <v>9.32592157811832E-9</v>
      </c>
      <c r="AY11" s="100">
        <v>1.4101556886866799E-8</v>
      </c>
      <c r="AZ11" s="100">
        <v>2.82159540612914E-7</v>
      </c>
      <c r="BA11" s="100">
        <v>2.9156845751799999E-8</v>
      </c>
      <c r="BB11" s="100">
        <v>7.1154613762260998E-9</v>
      </c>
      <c r="BC11" s="100">
        <v>1.0075438034865501E-7</v>
      </c>
      <c r="BD11" s="100">
        <v>6.5840700645264694E-8</v>
      </c>
      <c r="BE11" s="100">
        <v>1.07739978869852E-7</v>
      </c>
      <c r="BF11" s="100">
        <v>6.9971828261723901E-8</v>
      </c>
      <c r="BG11" s="100">
        <v>1.88486395690274E-7</v>
      </c>
      <c r="BH11" s="100">
        <v>2.3512925090043602E-6</v>
      </c>
      <c r="BI11" s="100">
        <v>8.6221074822440294E-9</v>
      </c>
      <c r="BJ11" s="100">
        <v>5.4986199081299401E-8</v>
      </c>
      <c r="BK11" s="100">
        <v>2.1308805603799399E-8</v>
      </c>
      <c r="BL11" s="100">
        <v>3.6842015787157698E-8</v>
      </c>
      <c r="BM11" s="100">
        <v>2.9898236194830498E-7</v>
      </c>
      <c r="BN11" s="100">
        <v>2.02612713799834E-8</v>
      </c>
      <c r="BO11" s="100">
        <v>9.8114634107739002E-8</v>
      </c>
      <c r="BP11" s="100">
        <v>4.5801479999944402E-8</v>
      </c>
      <c r="BQ11" s="101">
        <v>0</v>
      </c>
    </row>
    <row r="12" spans="1:69" ht="15" customHeight="1" x14ac:dyDescent="0.3">
      <c r="A12" s="19" t="s">
        <v>30</v>
      </c>
      <c r="B12" s="11" t="s">
        <v>98</v>
      </c>
      <c r="C12" s="99">
        <v>3.1048209796119799E-6</v>
      </c>
      <c r="D12" s="100">
        <v>2.2064832027142502E-6</v>
      </c>
      <c r="E12" s="100">
        <v>4.9952608019657305E-7</v>
      </c>
      <c r="F12" s="100">
        <v>4.4950010388808201E-7</v>
      </c>
      <c r="G12" s="100">
        <v>6.2941413914311797E-7</v>
      </c>
      <c r="H12" s="100">
        <v>5.2870394479946898E-5</v>
      </c>
      <c r="I12" s="100">
        <v>2.7740090244029101E-2</v>
      </c>
      <c r="J12" s="100">
        <v>7.1381502160682399E-6</v>
      </c>
      <c r="K12" s="100">
        <v>8.0896945939609597E-7</v>
      </c>
      <c r="L12" s="100">
        <v>1.1884575509658099E-5</v>
      </c>
      <c r="M12" s="100">
        <v>1.63531077914415E-6</v>
      </c>
      <c r="N12" s="100">
        <v>3.3102790434658898E-9</v>
      </c>
      <c r="O12" s="100">
        <v>2.4968537161906599E-7</v>
      </c>
      <c r="P12" s="100">
        <v>2.5332985759889501E-9</v>
      </c>
      <c r="Q12" s="100">
        <v>3.6984278813270501E-7</v>
      </c>
      <c r="R12" s="100">
        <v>1.33213572628535E-8</v>
      </c>
      <c r="S12" s="100">
        <v>2.4528562704114701E-5</v>
      </c>
      <c r="T12" s="100">
        <v>1.09586690956022E-4</v>
      </c>
      <c r="U12" s="100">
        <v>2.6756182760202402E-10</v>
      </c>
      <c r="V12" s="100">
        <v>2.17451957734545E-8</v>
      </c>
      <c r="W12" s="100">
        <v>2.4847740838853301E-5</v>
      </c>
      <c r="X12" s="100">
        <v>2.3084957822049401E-5</v>
      </c>
      <c r="Y12" s="100">
        <v>2.3065334250989498E-6</v>
      </c>
      <c r="Z12" s="100">
        <v>1.2359249660472001E-6</v>
      </c>
      <c r="AA12" s="100">
        <v>6.3022628910207201E-6</v>
      </c>
      <c r="AB12" s="100">
        <v>6.5012218579829306E-5</v>
      </c>
      <c r="AC12" s="100">
        <v>2.7005414156056401E-3</v>
      </c>
      <c r="AD12" s="100">
        <v>3.4203792748506302E-2</v>
      </c>
      <c r="AE12" s="100">
        <v>2.02102692371008E-4</v>
      </c>
      <c r="AF12" s="100">
        <v>2.01746065837688E-5</v>
      </c>
      <c r="AG12" s="100">
        <v>8.7949918960614497E-4</v>
      </c>
      <c r="AH12" s="100">
        <v>8.0737584046397003E-5</v>
      </c>
      <c r="AI12" s="100">
        <v>3.0308204650128399E-5</v>
      </c>
      <c r="AJ12" s="100">
        <v>2.6877242284469602E-4</v>
      </c>
      <c r="AK12" s="100">
        <v>1.6996740224794899E-4</v>
      </c>
      <c r="AL12" s="100">
        <v>3.5138787184758402E-4</v>
      </c>
      <c r="AM12" s="100">
        <v>5.9524498373538701E-5</v>
      </c>
      <c r="AN12" s="100">
        <v>3.1966248168115498E-7</v>
      </c>
      <c r="AO12" s="100">
        <v>1.3801113117541E-5</v>
      </c>
      <c r="AP12" s="100">
        <v>5.07596324758319E-5</v>
      </c>
      <c r="AQ12" s="100">
        <v>2.9616254866566297E-7</v>
      </c>
      <c r="AR12" s="100">
        <v>3.8001590284260698E-7</v>
      </c>
      <c r="AS12" s="100">
        <v>4.2993953367305702E-8</v>
      </c>
      <c r="AT12" s="100">
        <v>0</v>
      </c>
      <c r="AU12" s="100">
        <v>8.2747125811900492E-9</v>
      </c>
      <c r="AV12" s="100">
        <v>3.0602794047413499E-7</v>
      </c>
      <c r="AW12" s="100">
        <v>1.09151615691212E-7</v>
      </c>
      <c r="AX12" s="100">
        <v>4.72823279551627E-9</v>
      </c>
      <c r="AY12" s="100">
        <v>2.8169196836360201E-9</v>
      </c>
      <c r="AZ12" s="100">
        <v>5.3652137527250496E-9</v>
      </c>
      <c r="BA12" s="100">
        <v>5.49079177344658E-10</v>
      </c>
      <c r="BB12" s="100">
        <v>4.9327341719815499E-11</v>
      </c>
      <c r="BC12" s="100">
        <v>7.4255660315437198E-7</v>
      </c>
      <c r="BD12" s="100">
        <v>3.52865085367548E-10</v>
      </c>
      <c r="BE12" s="100">
        <v>9.7340394517965997E-9</v>
      </c>
      <c r="BF12" s="100">
        <v>3.67710264836274E-9</v>
      </c>
      <c r="BG12" s="100">
        <v>0</v>
      </c>
      <c r="BH12" s="100">
        <v>2.8774006786824901E-8</v>
      </c>
      <c r="BI12" s="100">
        <v>3.5008686485215002E-10</v>
      </c>
      <c r="BJ12" s="100">
        <v>1.4617991680007999E-7</v>
      </c>
      <c r="BK12" s="100">
        <v>9.6906250788151096E-8</v>
      </c>
      <c r="BL12" s="100">
        <v>3.3930973017176598E-11</v>
      </c>
      <c r="BM12" s="100">
        <v>9.6306648419675706E-8</v>
      </c>
      <c r="BN12" s="100">
        <v>3.43316585793543E-8</v>
      </c>
      <c r="BO12" s="100">
        <v>9.6154575347986699E-11</v>
      </c>
      <c r="BP12" s="100">
        <v>2.62570673765365E-7</v>
      </c>
      <c r="BQ12" s="101">
        <v>0</v>
      </c>
    </row>
    <row r="13" spans="1:69" ht="15" customHeight="1" x14ac:dyDescent="0.3">
      <c r="A13" s="19" t="s">
        <v>31</v>
      </c>
      <c r="B13" s="11" t="s">
        <v>99</v>
      </c>
      <c r="C13" s="99">
        <v>6.19966677012739E-6</v>
      </c>
      <c r="D13" s="100">
        <v>1.2431153794677499E-3</v>
      </c>
      <c r="E13" s="100">
        <v>2.39984503500461E-5</v>
      </c>
      <c r="F13" s="100">
        <v>1.84725696240145E-4</v>
      </c>
      <c r="G13" s="100">
        <v>2.1100510502765099E-5</v>
      </c>
      <c r="H13" s="100">
        <v>1.5462145810938399E-5</v>
      </c>
      <c r="I13" s="100">
        <v>2.7617494272230201E-5</v>
      </c>
      <c r="J13" s="100">
        <v>2.8888298095067601E-3</v>
      </c>
      <c r="K13" s="100">
        <v>2.84371331044284E-6</v>
      </c>
      <c r="L13" s="100">
        <v>9.1963171657877599E-4</v>
      </c>
      <c r="M13" s="100">
        <v>4.9947330297872401E-5</v>
      </c>
      <c r="N13" s="100">
        <v>2.85259688186764E-6</v>
      </c>
      <c r="O13" s="100">
        <v>5.2366315673289903E-5</v>
      </c>
      <c r="P13" s="100">
        <v>1.17093087799589E-5</v>
      </c>
      <c r="Q13" s="100">
        <v>1.94939985478725E-4</v>
      </c>
      <c r="R13" s="100">
        <v>4.0947908978919701E-5</v>
      </c>
      <c r="S13" s="100">
        <v>6.3790968912766098E-5</v>
      </c>
      <c r="T13" s="100">
        <v>2.3527017996967699E-5</v>
      </c>
      <c r="U13" s="100">
        <v>1.8157915653957201E-6</v>
      </c>
      <c r="V13" s="100">
        <v>1.4206111309970099E-3</v>
      </c>
      <c r="W13" s="100">
        <v>1.65306597623774E-4</v>
      </c>
      <c r="X13" s="100">
        <v>3.2768638211352397E-4</v>
      </c>
      <c r="Y13" s="100">
        <v>6.74230059350929E-3</v>
      </c>
      <c r="Z13" s="100">
        <v>1.8249896595600999E-4</v>
      </c>
      <c r="AA13" s="100">
        <v>5.7659919173912397E-5</v>
      </c>
      <c r="AB13" s="100">
        <v>1.2726688712313401E-5</v>
      </c>
      <c r="AC13" s="100">
        <v>1.18593410983719E-5</v>
      </c>
      <c r="AD13" s="100">
        <v>1.3564948500878601E-5</v>
      </c>
      <c r="AE13" s="100">
        <v>8.4933870410517406E-5</v>
      </c>
      <c r="AF13" s="100">
        <v>2.0273332752751999E-6</v>
      </c>
      <c r="AG13" s="100">
        <v>1.05867314531616E-5</v>
      </c>
      <c r="AH13" s="100">
        <v>1.25347659975512E-5</v>
      </c>
      <c r="AI13" s="100">
        <v>4.6142535906754398E-6</v>
      </c>
      <c r="AJ13" s="100">
        <v>3.0847821702504901E-6</v>
      </c>
      <c r="AK13" s="100">
        <v>5.8559327825627202E-6</v>
      </c>
      <c r="AL13" s="100">
        <v>2.3061590119501199E-5</v>
      </c>
      <c r="AM13" s="100">
        <v>1.5732999377279199E-5</v>
      </c>
      <c r="AN13" s="100">
        <v>1.05957648058659E-6</v>
      </c>
      <c r="AO13" s="100">
        <v>1.24012928074483E-5</v>
      </c>
      <c r="AP13" s="100">
        <v>4.3619887396274903E-6</v>
      </c>
      <c r="AQ13" s="100">
        <v>8.6295748277211806E-6</v>
      </c>
      <c r="AR13" s="100">
        <v>4.94973930098693E-7</v>
      </c>
      <c r="AS13" s="100">
        <v>1.0175382240954599E-6</v>
      </c>
      <c r="AT13" s="100">
        <v>2.6868417205622699E-7</v>
      </c>
      <c r="AU13" s="100">
        <v>1.8586452257732499E-6</v>
      </c>
      <c r="AV13" s="100">
        <v>6.9665347971538101E-4</v>
      </c>
      <c r="AW13" s="100">
        <v>2.8759830814916601E-3</v>
      </c>
      <c r="AX13" s="100">
        <v>2.6008811591687699E-6</v>
      </c>
      <c r="AY13" s="100">
        <v>2.0364593900487402E-6</v>
      </c>
      <c r="AZ13" s="100">
        <v>2.61569624134024E-6</v>
      </c>
      <c r="BA13" s="100">
        <v>1.20129425453257E-6</v>
      </c>
      <c r="BB13" s="100">
        <v>2.1339482153016901E-7</v>
      </c>
      <c r="BC13" s="100">
        <v>7.6020924993011897E-7</v>
      </c>
      <c r="BD13" s="100">
        <v>2.2984257506317099E-6</v>
      </c>
      <c r="BE13" s="100">
        <v>4.4385892637650104E-6</v>
      </c>
      <c r="BF13" s="100">
        <v>3.20867214197028E-6</v>
      </c>
      <c r="BG13" s="100">
        <v>7.0543921783333998E-6</v>
      </c>
      <c r="BH13" s="100">
        <v>3.0421600830275099E-6</v>
      </c>
      <c r="BI13" s="100">
        <v>8.5994452458461998E-7</v>
      </c>
      <c r="BJ13" s="100">
        <v>8.8183808849697797E-5</v>
      </c>
      <c r="BK13" s="100">
        <v>1.1035249511672501E-4</v>
      </c>
      <c r="BL13" s="100">
        <v>6.7323058929071305E-5</v>
      </c>
      <c r="BM13" s="100">
        <v>3.04638027128827E-4</v>
      </c>
      <c r="BN13" s="100">
        <v>8.3926434727089704E-5</v>
      </c>
      <c r="BO13" s="100">
        <v>4.80089782457255E-6</v>
      </c>
      <c r="BP13" s="100">
        <v>6.6019165700131099E-5</v>
      </c>
      <c r="BQ13" s="101">
        <v>0</v>
      </c>
    </row>
    <row r="14" spans="1:69" ht="15" customHeight="1" x14ac:dyDescent="0.3">
      <c r="A14" s="19" t="s">
        <v>32</v>
      </c>
      <c r="B14" s="11" t="s">
        <v>100</v>
      </c>
      <c r="C14" s="99">
        <v>2.0550779443961201E-6</v>
      </c>
      <c r="D14" s="100">
        <v>5.9789587474013202E-6</v>
      </c>
      <c r="E14" s="100">
        <v>3.1688251712375399E-7</v>
      </c>
      <c r="F14" s="100">
        <v>7.7692315698113201E-6</v>
      </c>
      <c r="G14" s="100">
        <v>8.0037775617361102E-5</v>
      </c>
      <c r="H14" s="100">
        <v>1.05938951878039E-4</v>
      </c>
      <c r="I14" s="100">
        <v>1.0093961149923E-4</v>
      </c>
      <c r="J14" s="100">
        <v>9.2819378275013699E-6</v>
      </c>
      <c r="K14" s="100">
        <v>8.3535613204809296E-5</v>
      </c>
      <c r="L14" s="100">
        <v>5.0699576891355701E-5</v>
      </c>
      <c r="M14" s="100">
        <v>5.1649410376883801E-5</v>
      </c>
      <c r="N14" s="100">
        <v>3.9557116313446598E-7</v>
      </c>
      <c r="O14" s="100">
        <v>6.9013295205284603E-7</v>
      </c>
      <c r="P14" s="100">
        <v>7.5527944647105204E-7</v>
      </c>
      <c r="Q14" s="100">
        <v>5.2305490822245799E-7</v>
      </c>
      <c r="R14" s="100">
        <v>6.83446200388473E-6</v>
      </c>
      <c r="S14" s="100">
        <v>1.1969367262121599E-6</v>
      </c>
      <c r="T14" s="100">
        <v>1.8929617299763799E-7</v>
      </c>
      <c r="U14" s="100">
        <v>2.23267514765977E-4</v>
      </c>
      <c r="V14" s="100">
        <v>1.2233270391515799E-4</v>
      </c>
      <c r="W14" s="100">
        <v>8.5136308530874696E-5</v>
      </c>
      <c r="X14" s="100">
        <v>2.7718975098901402E-5</v>
      </c>
      <c r="Y14" s="100">
        <v>1.9945770009021499E-4</v>
      </c>
      <c r="Z14" s="100">
        <v>5.9785079821971201E-5</v>
      </c>
      <c r="AA14" s="100">
        <v>2.3823858843196502E-6</v>
      </c>
      <c r="AB14" s="100">
        <v>8.1663443893588102E-7</v>
      </c>
      <c r="AC14" s="100">
        <v>2.6534731081665502E-7</v>
      </c>
      <c r="AD14" s="100">
        <v>9.6860480027323205E-7</v>
      </c>
      <c r="AE14" s="100">
        <v>5.0893223772055104E-6</v>
      </c>
      <c r="AF14" s="100">
        <v>2.1730558339432298E-6</v>
      </c>
      <c r="AG14" s="100">
        <v>1.27057230924622E-5</v>
      </c>
      <c r="AH14" s="100">
        <v>4.1993033041065597E-4</v>
      </c>
      <c r="AI14" s="100">
        <v>1.8929679075241098E-5</v>
      </c>
      <c r="AJ14" s="100">
        <v>1.6044744032244E-6</v>
      </c>
      <c r="AK14" s="100">
        <v>3.0548293905753697E-5</v>
      </c>
      <c r="AL14" s="100">
        <v>2.8207950686116998E-7</v>
      </c>
      <c r="AM14" s="100">
        <v>3.8357734159589102E-4</v>
      </c>
      <c r="AN14" s="100">
        <v>2.8811767238065998E-7</v>
      </c>
      <c r="AO14" s="100">
        <v>3.9051232859453504E-6</v>
      </c>
      <c r="AP14" s="100">
        <v>2.2293301003180099E-5</v>
      </c>
      <c r="AQ14" s="100">
        <v>7.2875987125615404E-6</v>
      </c>
      <c r="AR14" s="100">
        <v>1.55242067716711E-5</v>
      </c>
      <c r="AS14" s="100">
        <v>2.6786550591475401E-5</v>
      </c>
      <c r="AT14" s="100">
        <v>5.7358221432018803E-8</v>
      </c>
      <c r="AU14" s="100">
        <v>5.7300634790595402E-6</v>
      </c>
      <c r="AV14" s="100">
        <v>7.0030661920355602E-6</v>
      </c>
      <c r="AW14" s="100">
        <v>4.1722673317381001E-5</v>
      </c>
      <c r="AX14" s="100">
        <v>4.12322519472848E-6</v>
      </c>
      <c r="AY14" s="100">
        <v>1.41581607486861E-6</v>
      </c>
      <c r="AZ14" s="100">
        <v>1.9804803541340599E-6</v>
      </c>
      <c r="BA14" s="100">
        <v>8.2372104951804605E-7</v>
      </c>
      <c r="BB14" s="100">
        <v>4.6210743643352297E-6</v>
      </c>
      <c r="BC14" s="100">
        <v>7.2050520895887599E-7</v>
      </c>
      <c r="BD14" s="100">
        <v>1.508749726503E-5</v>
      </c>
      <c r="BE14" s="100">
        <v>3.8496603414379097E-5</v>
      </c>
      <c r="BF14" s="100">
        <v>9.6449958847839297E-6</v>
      </c>
      <c r="BG14" s="100">
        <v>7.7521106776184606E-5</v>
      </c>
      <c r="BH14" s="100">
        <v>2.3739949171655899E-5</v>
      </c>
      <c r="BI14" s="100">
        <v>4.0126926228761503E-5</v>
      </c>
      <c r="BJ14" s="100">
        <v>3.7680426183842099E-6</v>
      </c>
      <c r="BK14" s="100">
        <v>1.19721322182166E-6</v>
      </c>
      <c r="BL14" s="100">
        <v>1.6388489035177101E-6</v>
      </c>
      <c r="BM14" s="100">
        <v>1.6730331055271099E-6</v>
      </c>
      <c r="BN14" s="100">
        <v>5.89352410871164E-6</v>
      </c>
      <c r="BO14" s="100">
        <v>9.0935574124344006E-6</v>
      </c>
      <c r="BP14" s="100">
        <v>3.52977200177296E-5</v>
      </c>
      <c r="BQ14" s="101">
        <v>0</v>
      </c>
    </row>
    <row r="15" spans="1:69" ht="15" customHeight="1" x14ac:dyDescent="0.3">
      <c r="A15" s="19" t="s">
        <v>33</v>
      </c>
      <c r="B15" s="11" t="s">
        <v>101</v>
      </c>
      <c r="C15" s="99">
        <v>3.50492490746485E-4</v>
      </c>
      <c r="D15" s="100">
        <v>2.9431483226758999E-3</v>
      </c>
      <c r="E15" s="100">
        <v>1.14297507326766E-3</v>
      </c>
      <c r="F15" s="100">
        <v>3.2080386197091901E-3</v>
      </c>
      <c r="G15" s="100">
        <v>2.20867854583569E-4</v>
      </c>
      <c r="H15" s="100">
        <v>1.7090541232901799E-4</v>
      </c>
      <c r="I15" s="100">
        <v>3.4193413285243598E-4</v>
      </c>
      <c r="J15" s="100">
        <v>3.5874008900098199E-3</v>
      </c>
      <c r="K15" s="100">
        <v>3.8392962121995702E-5</v>
      </c>
      <c r="L15" s="100">
        <v>1.0609801258787001E-2</v>
      </c>
      <c r="M15" s="100">
        <v>2.17898540974161E-3</v>
      </c>
      <c r="N15" s="100">
        <v>2.2910855913495301E-5</v>
      </c>
      <c r="O15" s="100">
        <v>4.55661484355399E-4</v>
      </c>
      <c r="P15" s="100">
        <v>1.1101149014207E-4</v>
      </c>
      <c r="Q15" s="100">
        <v>3.6671407117821699E-4</v>
      </c>
      <c r="R15" s="100">
        <v>5.8313328728967003E-4</v>
      </c>
      <c r="S15" s="100">
        <v>1.15150971864048E-3</v>
      </c>
      <c r="T15" s="100">
        <v>3.9598254816204198E-4</v>
      </c>
      <c r="U15" s="100">
        <v>1.09111632299759E-4</v>
      </c>
      <c r="V15" s="100">
        <v>3.2581760932683299E-3</v>
      </c>
      <c r="W15" s="100">
        <v>1.7690873307485201E-3</v>
      </c>
      <c r="X15" s="100">
        <v>3.52034440711724E-3</v>
      </c>
      <c r="Y15" s="100">
        <v>4.2866841753880901E-3</v>
      </c>
      <c r="Z15" s="100">
        <v>1.30991758915251E-3</v>
      </c>
      <c r="AA15" s="100">
        <v>5.6918548840420699E-4</v>
      </c>
      <c r="AB15" s="100">
        <v>1.8710978145997499E-4</v>
      </c>
      <c r="AC15" s="100">
        <v>1.5082618037152599E-4</v>
      </c>
      <c r="AD15" s="100">
        <v>1.2932391961897099E-4</v>
      </c>
      <c r="AE15" s="100">
        <v>2.0953044060794901E-4</v>
      </c>
      <c r="AF15" s="100">
        <v>1.0227112945652501E-5</v>
      </c>
      <c r="AG15" s="100">
        <v>9.5424241584587499E-5</v>
      </c>
      <c r="AH15" s="100">
        <v>1.21721378270936E-4</v>
      </c>
      <c r="AI15" s="100">
        <v>4.3604751643463397E-5</v>
      </c>
      <c r="AJ15" s="100">
        <v>5.0881458543152602E-5</v>
      </c>
      <c r="AK15" s="100">
        <v>4.5251521549443299E-5</v>
      </c>
      <c r="AL15" s="100">
        <v>2.5969835726714902E-4</v>
      </c>
      <c r="AM15" s="100">
        <v>1.6686097508174699E-4</v>
      </c>
      <c r="AN15" s="100">
        <v>6.9272975418391403E-6</v>
      </c>
      <c r="AO15" s="100">
        <v>1.5343335278488799E-4</v>
      </c>
      <c r="AP15" s="100">
        <v>5.5420462413376898E-5</v>
      </c>
      <c r="AQ15" s="100">
        <v>1.8968744053486801E-4</v>
      </c>
      <c r="AR15" s="100">
        <v>1.0108672121032901E-5</v>
      </c>
      <c r="AS15" s="100">
        <v>1.31318053767827E-5</v>
      </c>
      <c r="AT15" s="100">
        <v>2.28907157680223E-6</v>
      </c>
      <c r="AU15" s="100">
        <v>2.3267459852046401E-5</v>
      </c>
      <c r="AV15" s="100">
        <v>5.1881753065017601E-4</v>
      </c>
      <c r="AW15" s="100">
        <v>6.8155333725926802E-3</v>
      </c>
      <c r="AX15" s="100">
        <v>1.5287611625766101E-5</v>
      </c>
      <c r="AY15" s="100">
        <v>1.01525801677294E-5</v>
      </c>
      <c r="AZ15" s="100">
        <v>1.8203215177473301E-5</v>
      </c>
      <c r="BA15" s="100">
        <v>5.6807041016888403E-6</v>
      </c>
      <c r="BB15" s="100">
        <v>9.4810789410913901E-6</v>
      </c>
      <c r="BC15" s="100">
        <v>3.9599063242850499E-6</v>
      </c>
      <c r="BD15" s="100">
        <v>1.5690622542865E-5</v>
      </c>
      <c r="BE15" s="100">
        <v>5.5218847282125203E-5</v>
      </c>
      <c r="BF15" s="100">
        <v>3.5055909397511101E-5</v>
      </c>
      <c r="BG15" s="100">
        <v>7.1119488704396607E-5</v>
      </c>
      <c r="BH15" s="100">
        <v>2.9843417838974001E-5</v>
      </c>
      <c r="BI15" s="100">
        <v>1.8174229938418399E-5</v>
      </c>
      <c r="BJ15" s="100">
        <v>3.3825719444814998E-4</v>
      </c>
      <c r="BK15" s="100">
        <v>5.0982373633601697E-4</v>
      </c>
      <c r="BL15" s="100">
        <v>1.6971409607376299E-4</v>
      </c>
      <c r="BM15" s="100">
        <v>1.6070983689629699E-3</v>
      </c>
      <c r="BN15" s="100">
        <v>2.8540653889960602E-4</v>
      </c>
      <c r="BO15" s="100">
        <v>3.8469642392489999E-5</v>
      </c>
      <c r="BP15" s="100">
        <v>2.04025271980647E-4</v>
      </c>
      <c r="BQ15" s="101">
        <v>0</v>
      </c>
    </row>
    <row r="16" spans="1:69" ht="15" customHeight="1" x14ac:dyDescent="0.3">
      <c r="A16" s="19" t="s">
        <v>34</v>
      </c>
      <c r="B16" s="11" t="s">
        <v>102</v>
      </c>
      <c r="C16" s="99">
        <v>9.3478229069765599E-6</v>
      </c>
      <c r="D16" s="100">
        <v>4.7650249302719701E-6</v>
      </c>
      <c r="E16" s="100">
        <v>1.02193828563206E-6</v>
      </c>
      <c r="F16" s="100">
        <v>2.9816352668380399E-4</v>
      </c>
      <c r="G16" s="100">
        <v>1.9876289284383101E-5</v>
      </c>
      <c r="H16" s="100">
        <v>3.5325260426203902E-5</v>
      </c>
      <c r="I16" s="100">
        <v>4.7819797849866602E-5</v>
      </c>
      <c r="J16" s="100">
        <v>2.2988087437924401E-5</v>
      </c>
      <c r="K16" s="100">
        <v>4.1783451220945004E-6</v>
      </c>
      <c r="L16" s="100">
        <v>8.4165707617712301E-5</v>
      </c>
      <c r="M16" s="100">
        <v>8.2616921327399607E-3</v>
      </c>
      <c r="N16" s="100">
        <v>4.4077889734683703E-6</v>
      </c>
      <c r="O16" s="100">
        <v>9.1003835072435107E-6</v>
      </c>
      <c r="P16" s="100">
        <v>3.0411244579145699E-6</v>
      </c>
      <c r="Q16" s="100">
        <v>1.01372652286193E-5</v>
      </c>
      <c r="R16" s="100">
        <v>7.4156939385528199E-5</v>
      </c>
      <c r="S16" s="100">
        <v>2.18146309677378E-5</v>
      </c>
      <c r="T16" s="100">
        <v>3.8698787707977202E-5</v>
      </c>
      <c r="U16" s="100">
        <v>3.6330105750597998E-6</v>
      </c>
      <c r="V16" s="100">
        <v>1.47529177810526E-5</v>
      </c>
      <c r="W16" s="100">
        <v>1.56004745117691E-5</v>
      </c>
      <c r="X16" s="100">
        <v>1.2443885027069E-4</v>
      </c>
      <c r="Y16" s="100">
        <v>6.2261947468150898E-5</v>
      </c>
      <c r="Z16" s="100">
        <v>4.1229274799626903E-5</v>
      </c>
      <c r="AA16" s="100">
        <v>3.2306418351576097E-5</v>
      </c>
      <c r="AB16" s="100">
        <v>1.6386353622025802E-5</v>
      </c>
      <c r="AC16" s="100">
        <v>9.0624712745775298E-6</v>
      </c>
      <c r="AD16" s="100">
        <v>4.6615028000893698E-6</v>
      </c>
      <c r="AE16" s="100">
        <v>3.6644645704283001E-5</v>
      </c>
      <c r="AF16" s="100">
        <v>5.1986707297828896E-6</v>
      </c>
      <c r="AG16" s="100">
        <v>1.7789090312543999E-5</v>
      </c>
      <c r="AH16" s="100">
        <v>1.1214600544156301E-4</v>
      </c>
      <c r="AI16" s="100">
        <v>1.73736152660463E-5</v>
      </c>
      <c r="AJ16" s="100">
        <v>8.2579739415166306E-6</v>
      </c>
      <c r="AK16" s="100">
        <v>2.2222966607765399E-5</v>
      </c>
      <c r="AL16" s="100">
        <v>2.7059512688128899E-5</v>
      </c>
      <c r="AM16" s="100">
        <v>1.13866234129568E-4</v>
      </c>
      <c r="AN16" s="100">
        <v>2.9841801061181198E-6</v>
      </c>
      <c r="AO16" s="100">
        <v>1.1491254460280399E-5</v>
      </c>
      <c r="AP16" s="100">
        <v>1.5609362420894201E-5</v>
      </c>
      <c r="AQ16" s="100">
        <v>1.1369699228389599E-5</v>
      </c>
      <c r="AR16" s="100">
        <v>1.7168495326350999E-6</v>
      </c>
      <c r="AS16" s="100">
        <v>5.5717584921340399E-6</v>
      </c>
      <c r="AT16" s="100">
        <v>6.4381733215681101E-5</v>
      </c>
      <c r="AU16" s="100">
        <v>5.28188417424692E-6</v>
      </c>
      <c r="AV16" s="100">
        <v>3.0337021920879498E-3</v>
      </c>
      <c r="AW16" s="100">
        <v>2.33822843371463E-2</v>
      </c>
      <c r="AX16" s="100">
        <v>3.9481503671558903E-6</v>
      </c>
      <c r="AY16" s="100">
        <v>3.7070050055596398E-6</v>
      </c>
      <c r="AZ16" s="100">
        <v>4.1398917101409604E-6</v>
      </c>
      <c r="BA16" s="100">
        <v>4.2122179586960097E-6</v>
      </c>
      <c r="BB16" s="100">
        <v>1.2595204843931101E-6</v>
      </c>
      <c r="BC16" s="100">
        <v>3.14841799352319E-6</v>
      </c>
      <c r="BD16" s="100">
        <v>9.0592483000697607E-6</v>
      </c>
      <c r="BE16" s="100">
        <v>1.1454229405985599E-5</v>
      </c>
      <c r="BF16" s="100">
        <v>6.4267520211873098E-6</v>
      </c>
      <c r="BG16" s="100">
        <v>2.54010207425485E-5</v>
      </c>
      <c r="BH16" s="100">
        <v>1.23173624460246E-5</v>
      </c>
      <c r="BI16" s="100">
        <v>2.3221378006465399E-6</v>
      </c>
      <c r="BJ16" s="100">
        <v>8.5547278930308005E-6</v>
      </c>
      <c r="BK16" s="100">
        <v>8.8557271604013801E-6</v>
      </c>
      <c r="BL16" s="100">
        <v>7.4328227539741201E-6</v>
      </c>
      <c r="BM16" s="100">
        <v>2.8650863993412102E-5</v>
      </c>
      <c r="BN16" s="100">
        <v>7.3541275168940703E-6</v>
      </c>
      <c r="BO16" s="100">
        <v>2.2968476583251E-4</v>
      </c>
      <c r="BP16" s="100">
        <v>6.98005988780598E-6</v>
      </c>
      <c r="BQ16" s="101">
        <v>0</v>
      </c>
    </row>
    <row r="17" spans="1:69" ht="15" customHeight="1" x14ac:dyDescent="0.3">
      <c r="A17" s="19" t="s">
        <v>35</v>
      </c>
      <c r="B17" s="11" t="s">
        <v>103</v>
      </c>
      <c r="C17" s="99">
        <v>1.59341056943181E-6</v>
      </c>
      <c r="D17" s="100">
        <v>4.5833113085343098E-7</v>
      </c>
      <c r="E17" s="100">
        <v>1.61226222238008E-7</v>
      </c>
      <c r="F17" s="100">
        <v>1.84921665655111E-7</v>
      </c>
      <c r="G17" s="100">
        <v>1.54033043689187E-6</v>
      </c>
      <c r="H17" s="100">
        <v>2.4494429695012802E-6</v>
      </c>
      <c r="I17" s="100">
        <v>2.33506700134215E-6</v>
      </c>
      <c r="J17" s="100">
        <v>1.6565092110426299E-7</v>
      </c>
      <c r="K17" s="100">
        <v>9.8957799508768901E-8</v>
      </c>
      <c r="L17" s="100">
        <v>1.11873726953855E-7</v>
      </c>
      <c r="M17" s="100">
        <v>5.3246892872153502E-8</v>
      </c>
      <c r="N17" s="100">
        <v>5.9084203569268702E-3</v>
      </c>
      <c r="O17" s="100">
        <v>1.15256133755267E-7</v>
      </c>
      <c r="P17" s="100">
        <v>1.0560105239761201E-7</v>
      </c>
      <c r="Q17" s="100">
        <v>1.5997939276621499E-7</v>
      </c>
      <c r="R17" s="100">
        <v>1.05522923765426E-6</v>
      </c>
      <c r="S17" s="100">
        <v>2.6359100027621502E-6</v>
      </c>
      <c r="T17" s="100">
        <v>2.0099435491774E-6</v>
      </c>
      <c r="U17" s="100">
        <v>1.6903981536538099E-8</v>
      </c>
      <c r="V17" s="100">
        <v>8.6770709647217101E-8</v>
      </c>
      <c r="W17" s="100">
        <v>1.46364484626846E-7</v>
      </c>
      <c r="X17" s="100">
        <v>8.5420272723553702E-8</v>
      </c>
      <c r="Y17" s="100">
        <v>1.11939018137359E-7</v>
      </c>
      <c r="Z17" s="100">
        <v>1.5352898996509199E-7</v>
      </c>
      <c r="AA17" s="100">
        <v>4.7412383841312699E-7</v>
      </c>
      <c r="AB17" s="100">
        <v>2.4831008343090902E-7</v>
      </c>
      <c r="AC17" s="100">
        <v>3.9056164830243399E-8</v>
      </c>
      <c r="AD17" s="100">
        <v>3.8955777602647101E-8</v>
      </c>
      <c r="AE17" s="100">
        <v>1.5167213640660599E-7</v>
      </c>
      <c r="AF17" s="100">
        <v>1.3891648825140001E-7</v>
      </c>
      <c r="AG17" s="100">
        <v>4.1271130360572201E-7</v>
      </c>
      <c r="AH17" s="100">
        <v>9.7445470424722393E-6</v>
      </c>
      <c r="AI17" s="100">
        <v>4.8520688505098304E-7</v>
      </c>
      <c r="AJ17" s="100">
        <v>8.16210945569636E-8</v>
      </c>
      <c r="AK17" s="100">
        <v>7.2750652285014004E-7</v>
      </c>
      <c r="AL17" s="100">
        <v>2.5509463610338003E-7</v>
      </c>
      <c r="AM17" s="100">
        <v>8.8074478550079606E-6</v>
      </c>
      <c r="AN17" s="100">
        <v>7.7389428849185708E-9</v>
      </c>
      <c r="AO17" s="100">
        <v>9.5658447568773706E-8</v>
      </c>
      <c r="AP17" s="100">
        <v>2.7743643704515201E-7</v>
      </c>
      <c r="AQ17" s="100">
        <v>1.65395313456912E-7</v>
      </c>
      <c r="AR17" s="100">
        <v>2.17094333178538E-8</v>
      </c>
      <c r="AS17" s="100">
        <v>5.7164437491238301E-7</v>
      </c>
      <c r="AT17" s="100">
        <v>1.8085925676762701E-9</v>
      </c>
      <c r="AU17" s="100">
        <v>1.3888920529200899E-7</v>
      </c>
      <c r="AV17" s="100">
        <v>7.8420642977324796E-8</v>
      </c>
      <c r="AW17" s="100">
        <v>9.1848829601545494E-8</v>
      </c>
      <c r="AX17" s="100">
        <v>1.86022288131308E-6</v>
      </c>
      <c r="AY17" s="100">
        <v>1.93828574028241E-7</v>
      </c>
      <c r="AZ17" s="100">
        <v>1.2216387936695701E-7</v>
      </c>
      <c r="BA17" s="100">
        <v>1.52884440795237E-7</v>
      </c>
      <c r="BB17" s="100">
        <v>7.2291278914909494E-8</v>
      </c>
      <c r="BC17" s="100">
        <v>3.0464464770710702E-8</v>
      </c>
      <c r="BD17" s="100">
        <v>2.0685107793875401E-7</v>
      </c>
      <c r="BE17" s="100">
        <v>2.4122559147079498E-7</v>
      </c>
      <c r="BF17" s="100">
        <v>1.6544537059017201E-7</v>
      </c>
      <c r="BG17" s="100">
        <v>4.22359567099942E-7</v>
      </c>
      <c r="BH17" s="100">
        <v>4.7053963849297697E-7</v>
      </c>
      <c r="BI17" s="100">
        <v>2.75456126640013E-8</v>
      </c>
      <c r="BJ17" s="100">
        <v>2.52010731536681E-8</v>
      </c>
      <c r="BK17" s="100">
        <v>4.5240905131342902E-8</v>
      </c>
      <c r="BL17" s="100">
        <v>1.5036146681076901E-7</v>
      </c>
      <c r="BM17" s="100">
        <v>3.7464339218728599E-8</v>
      </c>
      <c r="BN17" s="100">
        <v>8.2015305761192595E-8</v>
      </c>
      <c r="BO17" s="100">
        <v>7.5812875355665497E-8</v>
      </c>
      <c r="BP17" s="100">
        <v>1.02752881837971E-7</v>
      </c>
      <c r="BQ17" s="101">
        <v>0</v>
      </c>
    </row>
    <row r="18" spans="1:69" ht="15" customHeight="1" x14ac:dyDescent="0.3">
      <c r="A18" s="19" t="s">
        <v>36</v>
      </c>
      <c r="B18" s="11" t="s">
        <v>104</v>
      </c>
      <c r="C18" s="99">
        <v>5.4485410702077202E-4</v>
      </c>
      <c r="D18" s="100">
        <v>4.0509215483003397E-5</v>
      </c>
      <c r="E18" s="100">
        <v>1.39034728987214E-6</v>
      </c>
      <c r="F18" s="100">
        <v>3.21351142315118E-3</v>
      </c>
      <c r="G18" s="100">
        <v>1.93479493819388E-4</v>
      </c>
      <c r="H18" s="100">
        <v>1.6335386047190101E-5</v>
      </c>
      <c r="I18" s="100">
        <v>1.1764418031417899E-4</v>
      </c>
      <c r="J18" s="100">
        <v>3.1031811112742701E-6</v>
      </c>
      <c r="K18" s="100">
        <v>1.05075058770781E-3</v>
      </c>
      <c r="L18" s="100">
        <v>2.3369667790438601E-4</v>
      </c>
      <c r="M18" s="100">
        <v>1.34256005072722E-5</v>
      </c>
      <c r="N18" s="100">
        <v>7.6720174868875504E-6</v>
      </c>
      <c r="O18" s="100">
        <v>4.71781207158537E-2</v>
      </c>
      <c r="P18" s="100">
        <v>5.8239828528985897E-2</v>
      </c>
      <c r="Q18" s="100">
        <v>2.0943494731013899E-2</v>
      </c>
      <c r="R18" s="100">
        <v>9.5336807632687896E-5</v>
      </c>
      <c r="S18" s="100">
        <v>6.0285390854252201E-4</v>
      </c>
      <c r="T18" s="100">
        <v>3.4844519040948202E-5</v>
      </c>
      <c r="U18" s="100">
        <v>2.2955534356948301E-7</v>
      </c>
      <c r="V18" s="100">
        <v>9.6581291922477194E-7</v>
      </c>
      <c r="W18" s="100">
        <v>4.5568714249977903E-5</v>
      </c>
      <c r="X18" s="100">
        <v>2.2006269247485001E-4</v>
      </c>
      <c r="Y18" s="100">
        <v>6.7766404725935696E-5</v>
      </c>
      <c r="Z18" s="100">
        <v>4.2230120317866598E-4</v>
      </c>
      <c r="AA18" s="100">
        <v>2.26532283173997E-3</v>
      </c>
      <c r="AB18" s="100">
        <v>1.7992028854310399E-4</v>
      </c>
      <c r="AC18" s="100">
        <v>6.4347111222191002E-6</v>
      </c>
      <c r="AD18" s="100">
        <v>5.3470197852432403E-5</v>
      </c>
      <c r="AE18" s="100">
        <v>1.1735529129036201E-4</v>
      </c>
      <c r="AF18" s="100">
        <v>4.3980940468436203E-5</v>
      </c>
      <c r="AG18" s="100">
        <v>2.3767815688274799E-4</v>
      </c>
      <c r="AH18" s="100">
        <v>9.50785111101983E-5</v>
      </c>
      <c r="AI18" s="100">
        <v>9.7028353721181502E-5</v>
      </c>
      <c r="AJ18" s="100">
        <v>3.3178207766507198E-3</v>
      </c>
      <c r="AK18" s="100">
        <v>5.07613032646914E-4</v>
      </c>
      <c r="AL18" s="100">
        <v>5.3091789245536397E-3</v>
      </c>
      <c r="AM18" s="100">
        <v>7.8280022610078295E-5</v>
      </c>
      <c r="AN18" s="100">
        <v>2.9187426362150199E-5</v>
      </c>
      <c r="AO18" s="100">
        <v>7.6739944335063703E-5</v>
      </c>
      <c r="AP18" s="100">
        <v>3.5260649169565402E-4</v>
      </c>
      <c r="AQ18" s="100">
        <v>4.3382752966675297E-5</v>
      </c>
      <c r="AR18" s="100">
        <v>6.7420473919995805E-5</v>
      </c>
      <c r="AS18" s="100">
        <v>3.1358409413181898E-4</v>
      </c>
      <c r="AT18" s="100">
        <v>1.20157999453386E-5</v>
      </c>
      <c r="AU18" s="100">
        <v>5.0399028158512499E-6</v>
      </c>
      <c r="AV18" s="100">
        <v>4.1533937066876801E-4</v>
      </c>
      <c r="AW18" s="100">
        <v>1.8042206949037701E-5</v>
      </c>
      <c r="AX18" s="100">
        <v>4.15502980806643E-6</v>
      </c>
      <c r="AY18" s="100">
        <v>2.9631494203127601E-5</v>
      </c>
      <c r="AZ18" s="100">
        <v>5.36648414833007E-6</v>
      </c>
      <c r="BA18" s="100">
        <v>2.6726079981151402E-6</v>
      </c>
      <c r="BB18" s="100">
        <v>8.2615854892707196E-7</v>
      </c>
      <c r="BC18" s="100">
        <v>2.13105072199446E-6</v>
      </c>
      <c r="BD18" s="100">
        <v>8.2373953958243897E-6</v>
      </c>
      <c r="BE18" s="100">
        <v>2.6871743304208098E-5</v>
      </c>
      <c r="BF18" s="100">
        <v>8.3140161953847994E-6</v>
      </c>
      <c r="BG18" s="100">
        <v>3.1435091755256699E-5</v>
      </c>
      <c r="BH18" s="100">
        <v>8.8931226323449097E-6</v>
      </c>
      <c r="BI18" s="100">
        <v>2.4889663249702602E-6</v>
      </c>
      <c r="BJ18" s="100">
        <v>8.3457270899375205E-6</v>
      </c>
      <c r="BK18" s="100">
        <v>1.6984023410862101E-5</v>
      </c>
      <c r="BL18" s="100">
        <v>2.3826965406888502E-6</v>
      </c>
      <c r="BM18" s="100">
        <v>6.3519711542758199E-5</v>
      </c>
      <c r="BN18" s="100">
        <v>6.2877775591335406E-5</v>
      </c>
      <c r="BO18" s="100">
        <v>1.3312975923629199E-5</v>
      </c>
      <c r="BP18" s="100">
        <v>6.0701306744461402E-4</v>
      </c>
      <c r="BQ18" s="101">
        <v>0</v>
      </c>
    </row>
    <row r="19" spans="1:69" ht="15" customHeight="1" x14ac:dyDescent="0.3">
      <c r="A19" s="19" t="s">
        <v>37</v>
      </c>
      <c r="B19" s="11" t="s">
        <v>105</v>
      </c>
      <c r="C19" s="99">
        <v>6.2841840111718999E-6</v>
      </c>
      <c r="D19" s="100">
        <v>2.6120663443643702E-7</v>
      </c>
      <c r="E19" s="100">
        <v>3.3305939535210198E-7</v>
      </c>
      <c r="F19" s="100">
        <v>4.8033102899339202E-5</v>
      </c>
      <c r="G19" s="100">
        <v>1.2903033542860701E-5</v>
      </c>
      <c r="H19" s="100">
        <v>7.01259797757907E-6</v>
      </c>
      <c r="I19" s="100">
        <v>6.8482540240098402E-6</v>
      </c>
      <c r="J19" s="100">
        <v>4.3627112270782099E-7</v>
      </c>
      <c r="K19" s="100">
        <v>1.1699798446501901E-5</v>
      </c>
      <c r="L19" s="100">
        <v>3.3985931308249599E-6</v>
      </c>
      <c r="M19" s="100">
        <v>3.9233879064510202E-7</v>
      </c>
      <c r="N19" s="100">
        <v>7.9912660643606998E-7</v>
      </c>
      <c r="O19" s="100">
        <v>4.5181420195961302E-4</v>
      </c>
      <c r="P19" s="100">
        <v>1.9710443126251202E-3</v>
      </c>
      <c r="Q19" s="100">
        <v>4.7825720668891598E-4</v>
      </c>
      <c r="R19" s="100">
        <v>1.48928717069852E-6</v>
      </c>
      <c r="S19" s="100">
        <v>6.8719578691203896E-6</v>
      </c>
      <c r="T19" s="100">
        <v>2.6425084227735998E-6</v>
      </c>
      <c r="U19" s="100">
        <v>6.4947898876833797E-8</v>
      </c>
      <c r="V19" s="100">
        <v>2.0563956373056E-7</v>
      </c>
      <c r="W19" s="100">
        <v>9.5855692116675805E-7</v>
      </c>
      <c r="X19" s="100">
        <v>2.2848295498768901E-6</v>
      </c>
      <c r="Y19" s="100">
        <v>3.8918205009158498E-7</v>
      </c>
      <c r="Z19" s="100">
        <v>4.0343478289913597E-6</v>
      </c>
      <c r="AA19" s="100">
        <v>1.5657788867862001E-5</v>
      </c>
      <c r="AB19" s="100">
        <v>3.36483244378108E-6</v>
      </c>
      <c r="AC19" s="100">
        <v>3.0138290916583701E-7</v>
      </c>
      <c r="AD19" s="100">
        <v>1.10782812442422E-7</v>
      </c>
      <c r="AE19" s="100">
        <v>1.11037915762379E-5</v>
      </c>
      <c r="AF19" s="100">
        <v>8.7708216470006196E-7</v>
      </c>
      <c r="AG19" s="100">
        <v>1.9430979918251101E-6</v>
      </c>
      <c r="AH19" s="100">
        <v>2.8753447672481199E-5</v>
      </c>
      <c r="AI19" s="100">
        <v>5.7576253967257496E-6</v>
      </c>
      <c r="AJ19" s="100">
        <v>1.00850126789084E-4</v>
      </c>
      <c r="AK19" s="100">
        <v>1.0545631417183101E-5</v>
      </c>
      <c r="AL19" s="100">
        <v>1.2966453150760801E-4</v>
      </c>
      <c r="AM19" s="100">
        <v>2.3959993646636199E-5</v>
      </c>
      <c r="AN19" s="100">
        <v>2.7249454871880099E-6</v>
      </c>
      <c r="AO19" s="100">
        <v>4.5663272384360198E-5</v>
      </c>
      <c r="AP19" s="100">
        <v>4.2611358534110101E-6</v>
      </c>
      <c r="AQ19" s="100">
        <v>4.6791326144143996E-6</v>
      </c>
      <c r="AR19" s="100">
        <v>2.0373099282018201E-5</v>
      </c>
      <c r="AS19" s="100">
        <v>9.8787610406602998E-6</v>
      </c>
      <c r="AT19" s="100">
        <v>1.07589412462236E-4</v>
      </c>
      <c r="AU19" s="100">
        <v>1.9402412979579799E-5</v>
      </c>
      <c r="AV19" s="100">
        <v>7.4904633841410903E-5</v>
      </c>
      <c r="AW19" s="100">
        <v>1.6227014590050999E-5</v>
      </c>
      <c r="AX19" s="100">
        <v>1.8310606109230899E-6</v>
      </c>
      <c r="AY19" s="100">
        <v>7.32367228011878E-5</v>
      </c>
      <c r="AZ19" s="100">
        <v>6.1585230981305601E-6</v>
      </c>
      <c r="BA19" s="100">
        <v>1.2042884425859499E-6</v>
      </c>
      <c r="BB19" s="100">
        <v>1.2835498952486E-5</v>
      </c>
      <c r="BC19" s="100">
        <v>2.49203199802209E-6</v>
      </c>
      <c r="BD19" s="100">
        <v>2.4571450154072899E-6</v>
      </c>
      <c r="BE19" s="100">
        <v>7.0100613997720095E-5</v>
      </c>
      <c r="BF19" s="100">
        <v>2.2228477012728601E-5</v>
      </c>
      <c r="BG19" s="100">
        <v>1.66154332356312E-5</v>
      </c>
      <c r="BH19" s="100">
        <v>2.2208800941065802E-5</v>
      </c>
      <c r="BI19" s="100">
        <v>1.0063950471871001E-4</v>
      </c>
      <c r="BJ19" s="100">
        <v>2.1765895492502901E-7</v>
      </c>
      <c r="BK19" s="100">
        <v>2.9798616998148101E-5</v>
      </c>
      <c r="BL19" s="100">
        <v>8.2496473884099596E-7</v>
      </c>
      <c r="BM19" s="100">
        <v>3.3467665358558299E-5</v>
      </c>
      <c r="BN19" s="100">
        <v>4.9632775396093201E-5</v>
      </c>
      <c r="BO19" s="100">
        <v>9.8131658481242893E-5</v>
      </c>
      <c r="BP19" s="100">
        <v>1.8961963916980701E-4</v>
      </c>
      <c r="BQ19" s="101">
        <v>0</v>
      </c>
    </row>
    <row r="20" spans="1:69" ht="15" customHeight="1" x14ac:dyDescent="0.3">
      <c r="A20" s="19" t="s">
        <v>38</v>
      </c>
      <c r="B20" s="11" t="s">
        <v>106</v>
      </c>
      <c r="C20" s="99">
        <v>7.9946924258917701E-7</v>
      </c>
      <c r="D20" s="100">
        <v>1.69897664752039E-6</v>
      </c>
      <c r="E20" s="100">
        <v>2.1933973437314199E-7</v>
      </c>
      <c r="F20" s="100">
        <v>2.47130709948781E-5</v>
      </c>
      <c r="G20" s="100">
        <v>2.3751824941300199E-6</v>
      </c>
      <c r="H20" s="100">
        <v>4.0336923058605698E-6</v>
      </c>
      <c r="I20" s="100">
        <v>4.1195253399037501E-6</v>
      </c>
      <c r="J20" s="100">
        <v>3.3683368859506999E-6</v>
      </c>
      <c r="K20" s="100">
        <v>1.9609912553277599E-6</v>
      </c>
      <c r="L20" s="100">
        <v>4.5213756955351504E-6</v>
      </c>
      <c r="M20" s="100">
        <v>2.74367480551928E-6</v>
      </c>
      <c r="N20" s="100">
        <v>4.7846652718980201E-6</v>
      </c>
      <c r="O20" s="100">
        <v>5.1449959889370701E-5</v>
      </c>
      <c r="P20" s="100">
        <v>1.08685353682097E-5</v>
      </c>
      <c r="Q20" s="100">
        <v>6.7450376455329298E-3</v>
      </c>
      <c r="R20" s="100">
        <v>1.03598696588868E-5</v>
      </c>
      <c r="S20" s="100">
        <v>2.3332489811622999E-4</v>
      </c>
      <c r="T20" s="100">
        <v>1.10117850073415E-5</v>
      </c>
      <c r="U20" s="100">
        <v>2.29607955454123E-7</v>
      </c>
      <c r="V20" s="100">
        <v>2.8897651475693998E-6</v>
      </c>
      <c r="W20" s="100">
        <v>4.0830931830556698E-6</v>
      </c>
      <c r="X20" s="100">
        <v>1.19566649684068E-5</v>
      </c>
      <c r="Y20" s="100">
        <v>1.7826479546478599E-5</v>
      </c>
      <c r="Z20" s="100">
        <v>3.6015568919314198E-6</v>
      </c>
      <c r="AA20" s="100">
        <v>6.3662109338098798E-5</v>
      </c>
      <c r="AB20" s="100">
        <v>9.4424638378507106E-6</v>
      </c>
      <c r="AC20" s="100">
        <v>1.2250780089608E-6</v>
      </c>
      <c r="AD20" s="100">
        <v>8.2067428175201705E-7</v>
      </c>
      <c r="AE20" s="100">
        <v>2.6011656511074401E-5</v>
      </c>
      <c r="AF20" s="100">
        <v>2.6334591834743699E-6</v>
      </c>
      <c r="AG20" s="100">
        <v>1.00058743474102E-5</v>
      </c>
      <c r="AH20" s="100">
        <v>1.1014835176027599E-5</v>
      </c>
      <c r="AI20" s="100">
        <v>1.3511920393435601E-4</v>
      </c>
      <c r="AJ20" s="100">
        <v>6.8374852457813302E-5</v>
      </c>
      <c r="AK20" s="100">
        <v>6.7227643991752998E-6</v>
      </c>
      <c r="AL20" s="100">
        <v>1.59167697034137E-4</v>
      </c>
      <c r="AM20" s="100">
        <v>1.16225803641924E-5</v>
      </c>
      <c r="AN20" s="100">
        <v>1.4650168057781099E-5</v>
      </c>
      <c r="AO20" s="100">
        <v>2.0516737966300401E-6</v>
      </c>
      <c r="AP20" s="100">
        <v>1.0471819743718899E-5</v>
      </c>
      <c r="AQ20" s="100">
        <v>8.6995219599298008E-6</v>
      </c>
      <c r="AR20" s="100">
        <v>1.94036094983887E-5</v>
      </c>
      <c r="AS20" s="100">
        <v>1.62108722260108E-6</v>
      </c>
      <c r="AT20" s="100">
        <v>3.98266431290316E-6</v>
      </c>
      <c r="AU20" s="100">
        <v>5.3840980170232296E-7</v>
      </c>
      <c r="AV20" s="100">
        <v>1.5478487731573599E-6</v>
      </c>
      <c r="AW20" s="100">
        <v>2.3771093948961601E-6</v>
      </c>
      <c r="AX20" s="100">
        <v>6.07225828384421E-7</v>
      </c>
      <c r="AY20" s="100">
        <v>4.9160655099285001E-7</v>
      </c>
      <c r="AZ20" s="100">
        <v>1.9110364493604401E-7</v>
      </c>
      <c r="BA20" s="100">
        <v>9.1176674731593506E-6</v>
      </c>
      <c r="BB20" s="100">
        <v>1.17291561013781E-7</v>
      </c>
      <c r="BC20" s="100">
        <v>1.2029374518887001E-7</v>
      </c>
      <c r="BD20" s="100">
        <v>5.84761437883995E-7</v>
      </c>
      <c r="BE20" s="100">
        <v>1.45520139610929E-6</v>
      </c>
      <c r="BF20" s="100">
        <v>8.5659965760400396E-7</v>
      </c>
      <c r="BG20" s="100">
        <v>5.05624225332863E-6</v>
      </c>
      <c r="BH20" s="100">
        <v>9.9954051956356791E-7</v>
      </c>
      <c r="BI20" s="100">
        <v>1.86453962026645E-4</v>
      </c>
      <c r="BJ20" s="100">
        <v>7.4759038687315899E-6</v>
      </c>
      <c r="BK20" s="100">
        <v>1.0990904206763901E-6</v>
      </c>
      <c r="BL20" s="100">
        <v>1.38086094289322E-7</v>
      </c>
      <c r="BM20" s="100">
        <v>5.6926313194334599E-6</v>
      </c>
      <c r="BN20" s="100">
        <v>5.9291651407325201E-6</v>
      </c>
      <c r="BO20" s="100">
        <v>1.2128151387448199E-6</v>
      </c>
      <c r="BP20" s="100">
        <v>1.8715601098776401E-6</v>
      </c>
      <c r="BQ20" s="101">
        <v>0</v>
      </c>
    </row>
    <row r="21" spans="1:69" ht="15" customHeight="1" x14ac:dyDescent="0.3">
      <c r="A21" s="19" t="s">
        <v>39</v>
      </c>
      <c r="B21" s="11" t="s">
        <v>107</v>
      </c>
      <c r="C21" s="99">
        <v>5.4854542134187096E-6</v>
      </c>
      <c r="D21" s="100">
        <v>6.1421857943711605E-5</v>
      </c>
      <c r="E21" s="100">
        <v>3.1263065005412398E-5</v>
      </c>
      <c r="F21" s="100">
        <v>1.3762070293499699E-6</v>
      </c>
      <c r="G21" s="100">
        <v>5.9345121559005797E-6</v>
      </c>
      <c r="H21" s="100">
        <v>5.8009748667245801E-6</v>
      </c>
      <c r="I21" s="100">
        <v>6.4533226817991096E-6</v>
      </c>
      <c r="J21" s="100">
        <v>1.1473664087212999E-6</v>
      </c>
      <c r="K21" s="100">
        <v>1.1251734996395901E-6</v>
      </c>
      <c r="L21" s="100">
        <v>4.6803801028306701E-6</v>
      </c>
      <c r="M21" s="100">
        <v>3.4453498904453798E-5</v>
      </c>
      <c r="N21" s="100">
        <v>7.04521857852729E-7</v>
      </c>
      <c r="O21" s="100">
        <v>7.6501817256783505E-7</v>
      </c>
      <c r="P21" s="100">
        <v>2.4118457523824801E-6</v>
      </c>
      <c r="Q21" s="100">
        <v>1.60174307372517E-6</v>
      </c>
      <c r="R21" s="100">
        <v>2.38222248858275E-3</v>
      </c>
      <c r="S21" s="100">
        <v>1.7694785546431001E-4</v>
      </c>
      <c r="T21" s="100">
        <v>3.0430660754048102E-6</v>
      </c>
      <c r="U21" s="100">
        <v>1.6069565014988499E-7</v>
      </c>
      <c r="V21" s="100">
        <v>1.0939850836678E-6</v>
      </c>
      <c r="W21" s="100">
        <v>7.09718640006537E-7</v>
      </c>
      <c r="X21" s="100">
        <v>1.06176502995581E-6</v>
      </c>
      <c r="Y21" s="100">
        <v>1.60321800974826E-6</v>
      </c>
      <c r="Z21" s="100">
        <v>8.9529788769349604E-7</v>
      </c>
      <c r="AA21" s="100">
        <v>7.5155149647113602E-6</v>
      </c>
      <c r="AB21" s="100">
        <v>2.4751147596358499E-6</v>
      </c>
      <c r="AC21" s="100">
        <v>2.9807928625914002E-6</v>
      </c>
      <c r="AD21" s="100">
        <v>1.17832480818989E-6</v>
      </c>
      <c r="AE21" s="100">
        <v>5.8209668173885298E-5</v>
      </c>
      <c r="AF21" s="100">
        <v>2.0972158792310398E-6</v>
      </c>
      <c r="AG21" s="100">
        <v>6.6343462471439498E-6</v>
      </c>
      <c r="AH21" s="100">
        <v>5.6356589148003102E-5</v>
      </c>
      <c r="AI21" s="100">
        <v>1.5208296090577701E-5</v>
      </c>
      <c r="AJ21" s="100">
        <v>1.0808198172948501E-5</v>
      </c>
      <c r="AK21" s="100">
        <v>6.3091564170887697E-5</v>
      </c>
      <c r="AL21" s="100">
        <v>1.61527315835451E-3</v>
      </c>
      <c r="AM21" s="100">
        <v>2.42040055089226E-5</v>
      </c>
      <c r="AN21" s="100">
        <v>2.1436565944964499E-5</v>
      </c>
      <c r="AO21" s="100">
        <v>1.7979111114663299E-6</v>
      </c>
      <c r="AP21" s="100">
        <v>2.7085892320622801E-4</v>
      </c>
      <c r="AQ21" s="100">
        <v>3.5489357240401403E-5</v>
      </c>
      <c r="AR21" s="100">
        <v>1.1366285707592301E-6</v>
      </c>
      <c r="AS21" s="100">
        <v>1.54925583493735E-6</v>
      </c>
      <c r="AT21" s="100">
        <v>3.0555912064260697E-7</v>
      </c>
      <c r="AU21" s="100">
        <v>3.53138316575501E-6</v>
      </c>
      <c r="AV21" s="100">
        <v>6.6378970035322398E-6</v>
      </c>
      <c r="AW21" s="100">
        <v>1.29110342467233E-5</v>
      </c>
      <c r="AX21" s="100">
        <v>1.3152146549755199E-6</v>
      </c>
      <c r="AY21" s="100">
        <v>8.9949019630622407E-5</v>
      </c>
      <c r="AZ21" s="100">
        <v>1.5453289321572999E-6</v>
      </c>
      <c r="BA21" s="100">
        <v>3.1620728315586E-6</v>
      </c>
      <c r="BB21" s="100">
        <v>1.2493059948320799E-7</v>
      </c>
      <c r="BC21" s="100">
        <v>1.40068541905448E-5</v>
      </c>
      <c r="BD21" s="100">
        <v>7.0007602640670103E-6</v>
      </c>
      <c r="BE21" s="100">
        <v>8.5128729739433308E-6</v>
      </c>
      <c r="BF21" s="100">
        <v>4.6014862408889399E-6</v>
      </c>
      <c r="BG21" s="100">
        <v>2.05943323575323E-5</v>
      </c>
      <c r="BH21" s="100">
        <v>2.2176343625406601E-5</v>
      </c>
      <c r="BI21" s="100">
        <v>1.30669707137555E-6</v>
      </c>
      <c r="BJ21" s="100">
        <v>4.7018698045749298E-7</v>
      </c>
      <c r="BK21" s="100">
        <v>5.0930849528420099E-7</v>
      </c>
      <c r="BL21" s="100">
        <v>3.8629903422056198E-6</v>
      </c>
      <c r="BM21" s="100">
        <v>1.9259591110194901E-6</v>
      </c>
      <c r="BN21" s="100">
        <v>4.2897812813946396E-6</v>
      </c>
      <c r="BO21" s="100">
        <v>1.08367067413956E-5</v>
      </c>
      <c r="BP21" s="100">
        <v>8.6567913765651794E-5</v>
      </c>
      <c r="BQ21" s="101">
        <v>0</v>
      </c>
    </row>
    <row r="22" spans="1:69" ht="15" customHeight="1" x14ac:dyDescent="0.3">
      <c r="A22" s="19" t="s">
        <v>40</v>
      </c>
      <c r="B22" s="11" t="s">
        <v>108</v>
      </c>
      <c r="C22" s="99">
        <v>2.1914477550936401E-5</v>
      </c>
      <c r="D22" s="100">
        <v>2.0340862866007999E-5</v>
      </c>
      <c r="E22" s="100">
        <v>2.6182842274241399E-6</v>
      </c>
      <c r="F22" s="100">
        <v>3.8600564077537497E-5</v>
      </c>
      <c r="G22" s="100">
        <v>1.96956146837592E-4</v>
      </c>
      <c r="H22" s="100">
        <v>3.7384858694731701E-4</v>
      </c>
      <c r="I22" s="100">
        <v>3.6540374997969302E-4</v>
      </c>
      <c r="J22" s="100">
        <v>2.0642342126085499E-4</v>
      </c>
      <c r="K22" s="100">
        <v>2.2335064209106699E-5</v>
      </c>
      <c r="L22" s="100">
        <v>1.9519190838694899E-4</v>
      </c>
      <c r="M22" s="100">
        <v>1.7274196307803E-4</v>
      </c>
      <c r="N22" s="100">
        <v>2.7349200350918201E-3</v>
      </c>
      <c r="O22" s="100">
        <v>2.7500464241055999E-4</v>
      </c>
      <c r="P22" s="100">
        <v>1.8676357463124301E-4</v>
      </c>
      <c r="Q22" s="100">
        <v>2.4703770458547902E-4</v>
      </c>
      <c r="R22" s="100">
        <v>3.3763200956581298E-3</v>
      </c>
      <c r="S22" s="100">
        <v>1.8951639235497201E-2</v>
      </c>
      <c r="T22" s="100">
        <v>7.8377951711721804E-3</v>
      </c>
      <c r="U22" s="100">
        <v>4.0246274016251699E-5</v>
      </c>
      <c r="V22" s="100">
        <v>1.17405401600028E-4</v>
      </c>
      <c r="W22" s="100">
        <v>6.1137841925404198E-5</v>
      </c>
      <c r="X22" s="100">
        <v>9.5939443972476097E-5</v>
      </c>
      <c r="Y22" s="100">
        <v>4.93942990916985E-4</v>
      </c>
      <c r="Z22" s="100">
        <v>2.8777853773235998E-4</v>
      </c>
      <c r="AA22" s="100">
        <v>1.5999095617154201E-3</v>
      </c>
      <c r="AB22" s="100">
        <v>7.5246105992786904E-4</v>
      </c>
      <c r="AC22" s="100">
        <v>1.8351148524897999E-5</v>
      </c>
      <c r="AD22" s="100">
        <v>4.7528615210373702E-5</v>
      </c>
      <c r="AE22" s="100">
        <v>2.4918715997216399E-4</v>
      </c>
      <c r="AF22" s="100">
        <v>4.8131484571395697E-4</v>
      </c>
      <c r="AG22" s="100">
        <v>3.7995707232743099E-4</v>
      </c>
      <c r="AH22" s="100">
        <v>1.2018778509813399E-3</v>
      </c>
      <c r="AI22" s="100">
        <v>2.5956545979973899E-4</v>
      </c>
      <c r="AJ22" s="100">
        <v>2.338371927316E-4</v>
      </c>
      <c r="AK22" s="100">
        <v>1.4825214419109201E-4</v>
      </c>
      <c r="AL22" s="100">
        <v>8.6131610819369596E-4</v>
      </c>
      <c r="AM22" s="100">
        <v>1.0574356653668901E-3</v>
      </c>
      <c r="AN22" s="100">
        <v>7.2231072449748798E-6</v>
      </c>
      <c r="AO22" s="100">
        <v>7.93347773785436E-5</v>
      </c>
      <c r="AP22" s="100">
        <v>9.5190920654420296E-5</v>
      </c>
      <c r="AQ22" s="100">
        <v>3.4214651274753599E-4</v>
      </c>
      <c r="AR22" s="100">
        <v>4.2104403814744598E-5</v>
      </c>
      <c r="AS22" s="100">
        <v>1.1420806828077301E-4</v>
      </c>
      <c r="AT22" s="100">
        <v>4.2673170676883303E-6</v>
      </c>
      <c r="AU22" s="100">
        <v>8.2960991257279796E-5</v>
      </c>
      <c r="AV22" s="100">
        <v>1.64762277078959E-4</v>
      </c>
      <c r="AW22" s="100">
        <v>1.5462201612735199E-4</v>
      </c>
      <c r="AX22" s="100">
        <v>6.8371642942803897E-3</v>
      </c>
      <c r="AY22" s="100">
        <v>4.7399094922831599E-4</v>
      </c>
      <c r="AZ22" s="100">
        <v>2.2115810935012E-5</v>
      </c>
      <c r="BA22" s="100">
        <v>5.0101573074571898E-4</v>
      </c>
      <c r="BB22" s="100">
        <v>2.7878027366421402E-4</v>
      </c>
      <c r="BC22" s="100">
        <v>6.64735275482209E-5</v>
      </c>
      <c r="BD22" s="100">
        <v>6.1842129634862898E-4</v>
      </c>
      <c r="BE22" s="100">
        <v>7.3513720399840505E-4</v>
      </c>
      <c r="BF22" s="100">
        <v>5.0605700100587797E-4</v>
      </c>
      <c r="BG22" s="100">
        <v>1.19326399808895E-3</v>
      </c>
      <c r="BH22" s="100">
        <v>9.6919464123787198E-4</v>
      </c>
      <c r="BI22" s="100">
        <v>5.5760124236983197E-5</v>
      </c>
      <c r="BJ22" s="100">
        <v>8.58790602720582E-5</v>
      </c>
      <c r="BK22" s="100">
        <v>1.77467099080268E-4</v>
      </c>
      <c r="BL22" s="100">
        <v>4.9674063607983503E-4</v>
      </c>
      <c r="BM22" s="100">
        <v>9.2880115739941006E-5</v>
      </c>
      <c r="BN22" s="100">
        <v>3.0019112998982901E-4</v>
      </c>
      <c r="BO22" s="100">
        <v>5.9448191140813698E-5</v>
      </c>
      <c r="BP22" s="100">
        <v>3.1672191775728299E-4</v>
      </c>
      <c r="BQ22" s="101">
        <v>0</v>
      </c>
    </row>
    <row r="23" spans="1:69" ht="15" customHeight="1" x14ac:dyDescent="0.3">
      <c r="A23" s="19" t="s">
        <v>41</v>
      </c>
      <c r="B23" s="11" t="s">
        <v>109</v>
      </c>
      <c r="C23" s="99">
        <v>5.36815990324439E-7</v>
      </c>
      <c r="D23" s="100">
        <v>4.9319659467599902E-7</v>
      </c>
      <c r="E23" s="100">
        <v>8.9145592925751598E-7</v>
      </c>
      <c r="F23" s="100">
        <v>1.43330631979417E-5</v>
      </c>
      <c r="G23" s="100">
        <v>9.6280986748894501E-6</v>
      </c>
      <c r="H23" s="100">
        <v>1.5413311986935499E-5</v>
      </c>
      <c r="I23" s="100">
        <v>1.51509790784534E-5</v>
      </c>
      <c r="J23" s="100">
        <v>6.8800287793361803E-6</v>
      </c>
      <c r="K23" s="100">
        <v>1.9396073627227798E-6</v>
      </c>
      <c r="L23" s="100">
        <v>8.9260982896101602E-6</v>
      </c>
      <c r="M23" s="100">
        <v>5.20464687269654E-5</v>
      </c>
      <c r="N23" s="100">
        <v>1.4584049956237001E-5</v>
      </c>
      <c r="O23" s="100">
        <v>1.2391322929249E-5</v>
      </c>
      <c r="P23" s="100">
        <v>3.7565453155186901E-5</v>
      </c>
      <c r="Q23" s="100">
        <v>2.0827847896884999E-5</v>
      </c>
      <c r="R23" s="100">
        <v>2.8091111715786201E-5</v>
      </c>
      <c r="S23" s="100">
        <v>7.2323227422169494E-5</v>
      </c>
      <c r="T23" s="100">
        <v>6.9322149308285704E-4</v>
      </c>
      <c r="U23" s="100">
        <v>5.2166308449739695E-7</v>
      </c>
      <c r="V23" s="100">
        <v>2.0061009438794399E-6</v>
      </c>
      <c r="W23" s="100">
        <v>2.9494030009821101E-6</v>
      </c>
      <c r="X23" s="100">
        <v>7.5579220219937198E-6</v>
      </c>
      <c r="Y23" s="100">
        <v>1.09512896809354E-5</v>
      </c>
      <c r="Z23" s="100">
        <v>6.12236483088582E-6</v>
      </c>
      <c r="AA23" s="100">
        <v>9.08606667396173E-5</v>
      </c>
      <c r="AB23" s="100">
        <v>2.4936780792083901E-5</v>
      </c>
      <c r="AC23" s="100">
        <v>1.6321713488018701E-6</v>
      </c>
      <c r="AD23" s="100">
        <v>1.7809450915099601E-7</v>
      </c>
      <c r="AE23" s="100">
        <v>6.5885916524641898E-6</v>
      </c>
      <c r="AF23" s="100">
        <v>2.1089544275614301E-5</v>
      </c>
      <c r="AG23" s="100">
        <v>1.41764238364541E-5</v>
      </c>
      <c r="AH23" s="100">
        <v>6.6712901527632001E-5</v>
      </c>
      <c r="AI23" s="100">
        <v>1.37813121534251E-5</v>
      </c>
      <c r="AJ23" s="100">
        <v>1.9812532232324899E-5</v>
      </c>
      <c r="AK23" s="100">
        <v>8.6414885920181802E-6</v>
      </c>
      <c r="AL23" s="100">
        <v>4.3557092709406399E-5</v>
      </c>
      <c r="AM23" s="100">
        <v>6.5918341747551998E-5</v>
      </c>
      <c r="AN23" s="100">
        <v>6.6993567968704502E-7</v>
      </c>
      <c r="AO23" s="100">
        <v>5.0988313475247798E-6</v>
      </c>
      <c r="AP23" s="100">
        <v>1.9398308325678898E-5</v>
      </c>
      <c r="AQ23" s="100">
        <v>7.4774025422229696E-5</v>
      </c>
      <c r="AR23" s="100">
        <v>2.54822203140792E-6</v>
      </c>
      <c r="AS23" s="100">
        <v>1.11762157325527E-5</v>
      </c>
      <c r="AT23" s="100">
        <v>1.7699151845250899E-5</v>
      </c>
      <c r="AU23" s="100">
        <v>6.4979571623940098E-6</v>
      </c>
      <c r="AV23" s="100">
        <v>6.2380113370947002E-6</v>
      </c>
      <c r="AW23" s="100">
        <v>1.6489235561305898E-5</v>
      </c>
      <c r="AX23" s="100">
        <v>1.0929590927787299E-3</v>
      </c>
      <c r="AY23" s="100">
        <v>7.6055996190916599E-5</v>
      </c>
      <c r="AZ23" s="100">
        <v>4.6540216467186303E-5</v>
      </c>
      <c r="BA23" s="100">
        <v>9.7547687018837605E-5</v>
      </c>
      <c r="BB23" s="100">
        <v>3.99358725639889E-5</v>
      </c>
      <c r="BC23" s="100">
        <v>2.0823416035587302E-5</v>
      </c>
      <c r="BD23" s="100">
        <v>7.2393443555283997E-5</v>
      </c>
      <c r="BE23" s="100">
        <v>9.5128585371735406E-5</v>
      </c>
      <c r="BF23" s="100">
        <v>5.1078875303237601E-4</v>
      </c>
      <c r="BG23" s="100">
        <v>6.3548136679439002E-5</v>
      </c>
      <c r="BH23" s="100">
        <v>1.2033614899809E-4</v>
      </c>
      <c r="BI23" s="100">
        <v>2.3261772868154101E-6</v>
      </c>
      <c r="BJ23" s="100">
        <v>1.64575943346509E-5</v>
      </c>
      <c r="BK23" s="100">
        <v>1.05176031515944E-5</v>
      </c>
      <c r="BL23" s="100">
        <v>8.0355072918811996E-6</v>
      </c>
      <c r="BM23" s="100">
        <v>3.9671523882023903E-5</v>
      </c>
      <c r="BN23" s="100">
        <v>5.6876448598924001E-5</v>
      </c>
      <c r="BO23" s="100">
        <v>2.7818141695906597E-4</v>
      </c>
      <c r="BP23" s="100">
        <v>4.6834514297608399E-5</v>
      </c>
      <c r="BQ23" s="101">
        <v>0</v>
      </c>
    </row>
    <row r="24" spans="1:69" ht="15" customHeight="1" x14ac:dyDescent="0.3">
      <c r="A24" s="19" t="s">
        <v>42</v>
      </c>
      <c r="B24" s="11" t="s">
        <v>110</v>
      </c>
      <c r="C24" s="99">
        <v>1.3227367865850401E-3</v>
      </c>
      <c r="D24" s="100">
        <v>2.0552381390718699E-3</v>
      </c>
      <c r="E24" s="100">
        <v>9.0328473450371205E-4</v>
      </c>
      <c r="F24" s="100">
        <v>2.3636258329202599E-3</v>
      </c>
      <c r="G24" s="100">
        <v>4.0725043425884396E-3</v>
      </c>
      <c r="H24" s="100">
        <v>2.19134199091692E-3</v>
      </c>
      <c r="I24" s="100">
        <v>2.9759505625630098E-3</v>
      </c>
      <c r="J24" s="100">
        <v>2.3557985440860799E-4</v>
      </c>
      <c r="K24" s="100">
        <v>7.5476788544500899E-6</v>
      </c>
      <c r="L24" s="100">
        <v>7.4688167364133598E-4</v>
      </c>
      <c r="M24" s="100">
        <v>3.5251547223210099E-4</v>
      </c>
      <c r="N24" s="100">
        <v>1.78304599572649E-6</v>
      </c>
      <c r="O24" s="100">
        <v>4.5178918962711899E-4</v>
      </c>
      <c r="P24" s="100">
        <v>2.1472491932628102E-6</v>
      </c>
      <c r="Q24" s="100">
        <v>9.4716053294979601E-4</v>
      </c>
      <c r="R24" s="100">
        <v>1.6586641638415499E-4</v>
      </c>
      <c r="S24" s="100">
        <v>3.4529825092999402E-3</v>
      </c>
      <c r="T24" s="100">
        <v>4.8134212482745703E-5</v>
      </c>
      <c r="U24" s="100">
        <v>6.1798568694302503E-2</v>
      </c>
      <c r="V24" s="100">
        <v>1.7704990295242699E-5</v>
      </c>
      <c r="W24" s="100">
        <v>4.9851852817642303E-2</v>
      </c>
      <c r="X24" s="100">
        <v>3.8348679853661902E-3</v>
      </c>
      <c r="Y24" s="100">
        <v>2.43607014275668E-3</v>
      </c>
      <c r="Z24" s="100">
        <v>1.25760586640902E-4</v>
      </c>
      <c r="AA24" s="100">
        <v>4.3728448572853502E-3</v>
      </c>
      <c r="AB24" s="100">
        <v>1.1518072878924901E-2</v>
      </c>
      <c r="AC24" s="100">
        <v>4.8792190446268896E-3</v>
      </c>
      <c r="AD24" s="100">
        <v>2.78153359815962E-3</v>
      </c>
      <c r="AE24" s="100">
        <v>5.0486608224834504E-4</v>
      </c>
      <c r="AF24" s="100">
        <v>1.93236099553692E-7</v>
      </c>
      <c r="AG24" s="100">
        <v>2.6229388831452301E-3</v>
      </c>
      <c r="AH24" s="100">
        <v>5.1105577735027102E-4</v>
      </c>
      <c r="AI24" s="100">
        <v>1.9618337440855399E-4</v>
      </c>
      <c r="AJ24" s="100">
        <v>9.4082887780410805E-4</v>
      </c>
      <c r="AK24" s="100">
        <v>6.9116096000202207E-5</v>
      </c>
      <c r="AL24" s="100">
        <v>3.7738856175846102E-4</v>
      </c>
      <c r="AM24" s="100">
        <v>1.0587276634809999E-3</v>
      </c>
      <c r="AN24" s="100">
        <v>5.6824437105940204E-4</v>
      </c>
      <c r="AO24" s="100">
        <v>7.9397303975501396E-4</v>
      </c>
      <c r="AP24" s="100">
        <v>1.09592599050604E-3</v>
      </c>
      <c r="AQ24" s="100">
        <v>1.54741715549846E-3</v>
      </c>
      <c r="AR24" s="100">
        <v>3.6976751439144798E-3</v>
      </c>
      <c r="AS24" s="100">
        <v>1.29175952875854E-2</v>
      </c>
      <c r="AT24" s="100">
        <v>0.109494025489024</v>
      </c>
      <c r="AU24" s="100">
        <v>5.8944956031944397E-4</v>
      </c>
      <c r="AV24" s="100">
        <v>1.5067518085829301E-4</v>
      </c>
      <c r="AW24" s="100">
        <v>1.9932594365204299E-3</v>
      </c>
      <c r="AX24" s="100">
        <v>6.5337228928444004E-7</v>
      </c>
      <c r="AY24" s="100">
        <v>5.6225302878824497E-5</v>
      </c>
      <c r="AZ24" s="100">
        <v>4.6778095873593198E-7</v>
      </c>
      <c r="BA24" s="100">
        <v>9.7585193842705007E-7</v>
      </c>
      <c r="BB24" s="100">
        <v>2.2250910202348899E-7</v>
      </c>
      <c r="BC24" s="100">
        <v>8.6618321955843397E-7</v>
      </c>
      <c r="BD24" s="100">
        <v>2.2003732401981901E-6</v>
      </c>
      <c r="BE24" s="100">
        <v>8.8784162023263695E-4</v>
      </c>
      <c r="BF24" s="100">
        <v>4.7919591341566398E-5</v>
      </c>
      <c r="BG24" s="100">
        <v>8.1862067568521399E-4</v>
      </c>
      <c r="BH24" s="100">
        <v>3.5187097820054401E-6</v>
      </c>
      <c r="BI24" s="100">
        <v>2.89262041744742E-7</v>
      </c>
      <c r="BJ24" s="100">
        <v>4.0249318419313202E-4</v>
      </c>
      <c r="BK24" s="100">
        <v>1.04183648143616E-4</v>
      </c>
      <c r="BL24" s="100">
        <v>1.2306477408588E-6</v>
      </c>
      <c r="BM24" s="100">
        <v>6.11212581626292E-5</v>
      </c>
      <c r="BN24" s="100">
        <v>2.8519080283020201E-5</v>
      </c>
      <c r="BO24" s="100">
        <v>5.5858029241392503E-5</v>
      </c>
      <c r="BP24" s="100">
        <v>3.9573929818137698E-4</v>
      </c>
      <c r="BQ24" s="101">
        <v>0</v>
      </c>
    </row>
    <row r="25" spans="1:69" ht="15" customHeight="1" x14ac:dyDescent="0.3">
      <c r="A25" s="19" t="s">
        <v>43</v>
      </c>
      <c r="B25" s="11" t="s">
        <v>111</v>
      </c>
      <c r="C25" s="99">
        <v>5.1046335399898503E-6</v>
      </c>
      <c r="D25" s="100">
        <v>1.5732849307604599E-5</v>
      </c>
      <c r="E25" s="100">
        <v>1.73694799792727E-7</v>
      </c>
      <c r="F25" s="100">
        <v>4.24475332087959E-6</v>
      </c>
      <c r="G25" s="100">
        <v>5.3271571765278399E-5</v>
      </c>
      <c r="H25" s="100">
        <v>2.5522527955719E-5</v>
      </c>
      <c r="I25" s="100">
        <v>2.75867588745225E-5</v>
      </c>
      <c r="J25" s="100">
        <v>5.1962469933097903E-5</v>
      </c>
      <c r="K25" s="100">
        <v>2.49174277796746E-5</v>
      </c>
      <c r="L25" s="100">
        <v>2.6796870819951302E-4</v>
      </c>
      <c r="M25" s="100">
        <v>5.9213088542115802E-5</v>
      </c>
      <c r="N25" s="100">
        <v>2.4925537213606E-7</v>
      </c>
      <c r="O25" s="100">
        <v>2.12796077648024E-5</v>
      </c>
      <c r="P25" s="100">
        <v>4.4309314387059301E-6</v>
      </c>
      <c r="Q25" s="100">
        <v>1.44358482981233E-5</v>
      </c>
      <c r="R25" s="100">
        <v>3.46189978590143E-6</v>
      </c>
      <c r="S25" s="100">
        <v>2.8232382822539199E-5</v>
      </c>
      <c r="T25" s="100">
        <v>3.1737175414959299E-6</v>
      </c>
      <c r="U25" s="100">
        <v>5.6544062172988302E-4</v>
      </c>
      <c r="V25" s="100">
        <v>2.8233773790160301E-4</v>
      </c>
      <c r="W25" s="100">
        <v>2.6966171331802003E-4</v>
      </c>
      <c r="X25" s="100">
        <v>1.5134550898973599E-4</v>
      </c>
      <c r="Y25" s="100">
        <v>6.7037108565983102E-4</v>
      </c>
      <c r="Z25" s="100">
        <v>1.8152887053544701E-4</v>
      </c>
      <c r="AA25" s="100">
        <v>1.4956912159426E-5</v>
      </c>
      <c r="AB25" s="100">
        <v>2.5336867884030601E-6</v>
      </c>
      <c r="AC25" s="100">
        <v>5.0593762299553899E-6</v>
      </c>
      <c r="AD25" s="100">
        <v>6.9044100567600202E-6</v>
      </c>
      <c r="AE25" s="100">
        <v>1.1224283541900501E-5</v>
      </c>
      <c r="AF25" s="100">
        <v>8.8203095357553404E-7</v>
      </c>
      <c r="AG25" s="100">
        <v>3.87213148513193E-6</v>
      </c>
      <c r="AH25" s="100">
        <v>8.0021297202394E-5</v>
      </c>
      <c r="AI25" s="100">
        <v>3.7321373081967002E-6</v>
      </c>
      <c r="AJ25" s="100">
        <v>9.1995299856658695E-7</v>
      </c>
      <c r="AK25" s="100">
        <v>6.1153497361960099E-6</v>
      </c>
      <c r="AL25" s="100">
        <v>4.0807078686468798E-6</v>
      </c>
      <c r="AM25" s="100">
        <v>7.3129113606540297E-5</v>
      </c>
      <c r="AN25" s="100">
        <v>1.5746984351057699E-7</v>
      </c>
      <c r="AO25" s="100">
        <v>5.1252364645675703E-6</v>
      </c>
      <c r="AP25" s="100">
        <v>2.97483844885848E-5</v>
      </c>
      <c r="AQ25" s="100">
        <v>1.5966880882330501E-5</v>
      </c>
      <c r="AR25" s="100">
        <v>3.8387152392563497E-5</v>
      </c>
      <c r="AS25" s="100">
        <v>1.12996464637873E-5</v>
      </c>
      <c r="AT25" s="100">
        <v>2.8025331342390599E-7</v>
      </c>
      <c r="AU25" s="100">
        <v>3.5079490017538399E-6</v>
      </c>
      <c r="AV25" s="100">
        <v>2.5078811553512099E-5</v>
      </c>
      <c r="AW25" s="100">
        <v>2.12028916675612E-4</v>
      </c>
      <c r="AX25" s="100">
        <v>1.04827978121366E-5</v>
      </c>
      <c r="AY25" s="100">
        <v>2.7099643556128401E-6</v>
      </c>
      <c r="AZ25" s="100">
        <v>1.6526592893334101E-6</v>
      </c>
      <c r="BA25" s="100">
        <v>1.0292754826496999E-6</v>
      </c>
      <c r="BB25" s="100">
        <v>1.16191869258719E-5</v>
      </c>
      <c r="BC25" s="100">
        <v>8.2942671980069897E-7</v>
      </c>
      <c r="BD25" s="100">
        <v>3.5358303238987701E-5</v>
      </c>
      <c r="BE25" s="100">
        <v>9.4137562518715293E-5</v>
      </c>
      <c r="BF25" s="100">
        <v>2.2895429643628499E-5</v>
      </c>
      <c r="BG25" s="100">
        <v>1.88639935913447E-4</v>
      </c>
      <c r="BH25" s="100">
        <v>3.9307835305931298E-5</v>
      </c>
      <c r="BI25" s="100">
        <v>1.01395728775137E-4</v>
      </c>
      <c r="BJ25" s="100">
        <v>9.4250255904407894E-6</v>
      </c>
      <c r="BK25" s="100">
        <v>3.3081978363816401E-6</v>
      </c>
      <c r="BL25" s="100">
        <v>2.4435543571806401E-6</v>
      </c>
      <c r="BM25" s="100">
        <v>2.4428841860564001E-6</v>
      </c>
      <c r="BN25" s="100">
        <v>1.4425466478973099E-5</v>
      </c>
      <c r="BO25" s="100">
        <v>2.00569840027524E-5</v>
      </c>
      <c r="BP25" s="100">
        <v>8.8831029198540996E-5</v>
      </c>
      <c r="BQ25" s="101">
        <v>0</v>
      </c>
    </row>
    <row r="26" spans="1:69" ht="15" customHeight="1" x14ac:dyDescent="0.3">
      <c r="A26" s="19" t="s">
        <v>44</v>
      </c>
      <c r="B26" s="32" t="s">
        <v>112</v>
      </c>
      <c r="C26" s="99">
        <v>3.4429411624134897E-2</v>
      </c>
      <c r="D26" s="100">
        <v>1.3930390106369501E-2</v>
      </c>
      <c r="E26" s="100">
        <v>4.1859606454222502E-3</v>
      </c>
      <c r="F26" s="100">
        <v>6.7834640001240201E-3</v>
      </c>
      <c r="G26" s="100">
        <v>1.25283228697142E-2</v>
      </c>
      <c r="H26" s="100">
        <v>3.66452417225806E-3</v>
      </c>
      <c r="I26" s="100">
        <v>7.4934316049437497E-3</v>
      </c>
      <c r="J26" s="100">
        <v>1.28604011393675E-3</v>
      </c>
      <c r="K26" s="100">
        <v>3.7889472257190099E-3</v>
      </c>
      <c r="L26" s="100">
        <v>2.7689655430138101E-3</v>
      </c>
      <c r="M26" s="100">
        <v>4.4227333306191998E-4</v>
      </c>
      <c r="N26" s="100">
        <v>1.35492898167655E-3</v>
      </c>
      <c r="O26" s="100">
        <v>5.5622960769314202E-2</v>
      </c>
      <c r="P26" s="100">
        <v>3.0271822913038901E-3</v>
      </c>
      <c r="Q26" s="100">
        <v>3.0404697122868099E-2</v>
      </c>
      <c r="R26" s="100">
        <v>1.99754042563824E-2</v>
      </c>
      <c r="S26" s="100">
        <v>5.08105248031799E-2</v>
      </c>
      <c r="T26" s="100">
        <v>2.0509348642897499E-3</v>
      </c>
      <c r="U26" s="100">
        <v>1.0459738721087901E-3</v>
      </c>
      <c r="V26" s="100">
        <v>4.4702667845341803E-3</v>
      </c>
      <c r="W26" s="100">
        <v>0.201845848432023</v>
      </c>
      <c r="X26" s="100">
        <v>0.14946590388536399</v>
      </c>
      <c r="Y26" s="100">
        <v>0.101063950232489</v>
      </c>
      <c r="Z26" s="100">
        <v>3.2017851375202799E-2</v>
      </c>
      <c r="AA26" s="100">
        <v>0.117970200012842</v>
      </c>
      <c r="AB26" s="100">
        <v>2.2714064876206499E-2</v>
      </c>
      <c r="AC26" s="100">
        <v>4.2028327714919399E-3</v>
      </c>
      <c r="AD26" s="100">
        <v>1.1590528612971499E-2</v>
      </c>
      <c r="AE26" s="100">
        <v>8.1865989222176805E-3</v>
      </c>
      <c r="AF26" s="100">
        <v>1.1298071558254899E-3</v>
      </c>
      <c r="AG26" s="100">
        <v>2.07256042341218E-2</v>
      </c>
      <c r="AH26" s="100">
        <v>8.8937477532215702E-4</v>
      </c>
      <c r="AI26" s="100">
        <v>4.3374723610437998E-4</v>
      </c>
      <c r="AJ26" s="100">
        <v>8.2562349058947597E-3</v>
      </c>
      <c r="AK26" s="100">
        <v>4.0163479194738703E-3</v>
      </c>
      <c r="AL26" s="100">
        <v>1.9288833882007E-2</v>
      </c>
      <c r="AM26" s="100">
        <v>3.1866780375139201E-4</v>
      </c>
      <c r="AN26" s="100">
        <v>3.0454473064092901E-4</v>
      </c>
      <c r="AO26" s="100">
        <v>7.3209519933513803E-3</v>
      </c>
      <c r="AP26" s="100">
        <v>1.23594166997769E-4</v>
      </c>
      <c r="AQ26" s="100">
        <v>6.5281225955213403E-4</v>
      </c>
      <c r="AR26" s="100">
        <v>1.09923727228404E-4</v>
      </c>
      <c r="AS26" s="100">
        <v>4.0180083397996399E-5</v>
      </c>
      <c r="AT26" s="100">
        <v>4.2640337050420802E-5</v>
      </c>
      <c r="AU26" s="100">
        <v>3.7605854458804801E-5</v>
      </c>
      <c r="AV26" s="100">
        <v>4.9329771435799499E-5</v>
      </c>
      <c r="AW26" s="100">
        <v>7.1229621370988495E-5</v>
      </c>
      <c r="AX26" s="100">
        <v>3.56018392004168E-5</v>
      </c>
      <c r="AY26" s="100">
        <v>1.7904274471606599E-5</v>
      </c>
      <c r="AZ26" s="100">
        <v>9.8100029135426194E-6</v>
      </c>
      <c r="BA26" s="100">
        <v>1.31065579021622E-5</v>
      </c>
      <c r="BB26" s="100">
        <v>4.0075934610507799E-6</v>
      </c>
      <c r="BC26" s="100">
        <v>1.09855088529088E-5</v>
      </c>
      <c r="BD26" s="100">
        <v>3.37801968430597E-5</v>
      </c>
      <c r="BE26" s="100">
        <v>4.4228128382587002E-4</v>
      </c>
      <c r="BF26" s="100">
        <v>8.5543860008003794E-5</v>
      </c>
      <c r="BG26" s="100">
        <v>1.3193071689715499E-4</v>
      </c>
      <c r="BH26" s="100">
        <v>2.41578523847327E-4</v>
      </c>
      <c r="BI26" s="100">
        <v>5.2759567496257503E-6</v>
      </c>
      <c r="BJ26" s="100">
        <v>2.0814363906547299E-5</v>
      </c>
      <c r="BK26" s="100">
        <v>1.45692728592013E-4</v>
      </c>
      <c r="BL26" s="100">
        <v>2.1355737563742999E-5</v>
      </c>
      <c r="BM26" s="100">
        <v>1.14953849390607E-3</v>
      </c>
      <c r="BN26" s="100">
        <v>4.2155072617814802E-4</v>
      </c>
      <c r="BO26" s="100">
        <v>9.0071114609850905E-5</v>
      </c>
      <c r="BP26" s="100">
        <v>1.5086192626169201E-3</v>
      </c>
      <c r="BQ26" s="101">
        <v>0</v>
      </c>
    </row>
    <row r="27" spans="1:69" ht="15" customHeight="1" x14ac:dyDescent="0.3">
      <c r="A27" s="19" t="s">
        <v>45</v>
      </c>
      <c r="B27" s="11" t="s">
        <v>113</v>
      </c>
      <c r="C27" s="99">
        <v>2.39799968609038E-2</v>
      </c>
      <c r="D27" s="100">
        <v>7.2881730670211996E-3</v>
      </c>
      <c r="E27" s="100">
        <v>1.1476923440433601E-3</v>
      </c>
      <c r="F27" s="100">
        <v>3.9599329360656597E-2</v>
      </c>
      <c r="G27" s="100">
        <v>9.2492589790580098E-4</v>
      </c>
      <c r="H27" s="100">
        <v>1.28629110137042E-3</v>
      </c>
      <c r="I27" s="100">
        <v>3.03758028555604E-3</v>
      </c>
      <c r="J27" s="100">
        <v>1.2973054121349799E-3</v>
      </c>
      <c r="K27" s="100">
        <v>6.2846036798203998E-4</v>
      </c>
      <c r="L27" s="100">
        <v>3.1089954863215601E-3</v>
      </c>
      <c r="M27" s="100">
        <v>7.1396671458906198E-4</v>
      </c>
      <c r="N27" s="100">
        <v>2.2069977996937699E-4</v>
      </c>
      <c r="O27" s="100">
        <v>2.9637042880985599E-3</v>
      </c>
      <c r="P27" s="100">
        <v>2.4903956698900701E-4</v>
      </c>
      <c r="Q27" s="100">
        <v>2.1631075173087402E-3</v>
      </c>
      <c r="R27" s="100">
        <v>8.8178507269483404E-3</v>
      </c>
      <c r="S27" s="100">
        <v>5.6910578686979602E-3</v>
      </c>
      <c r="T27" s="100">
        <v>1.0106101859938901E-2</v>
      </c>
      <c r="U27" s="100">
        <v>4.54760601725984E-4</v>
      </c>
      <c r="V27" s="100">
        <v>1.73240420829049E-3</v>
      </c>
      <c r="W27" s="100">
        <v>8.1322999970369608E-3</v>
      </c>
      <c r="X27" s="100">
        <v>8.7244723600790594E-2</v>
      </c>
      <c r="Y27" s="100">
        <v>1.7649175419681699E-2</v>
      </c>
      <c r="Z27" s="100">
        <v>6.5904002426689697E-3</v>
      </c>
      <c r="AA27" s="100">
        <v>8.8627051546173695E-3</v>
      </c>
      <c r="AB27" s="100">
        <v>3.5407129662202701E-3</v>
      </c>
      <c r="AC27" s="100">
        <v>9.9767667307904808E-4</v>
      </c>
      <c r="AD27" s="100">
        <v>6.5028869295074199E-4</v>
      </c>
      <c r="AE27" s="100">
        <v>1.4865271672062899E-3</v>
      </c>
      <c r="AF27" s="100">
        <v>3.1644821547028098E-4</v>
      </c>
      <c r="AG27" s="100">
        <v>1.1503721062164601E-3</v>
      </c>
      <c r="AH27" s="100">
        <v>4.4829987753732198E-4</v>
      </c>
      <c r="AI27" s="100">
        <v>6.3782622015999405E-4</v>
      </c>
      <c r="AJ27" s="100">
        <v>6.3841611782427003E-4</v>
      </c>
      <c r="AK27" s="100">
        <v>6.2524334151908497E-4</v>
      </c>
      <c r="AL27" s="100">
        <v>2.4632326122436001E-3</v>
      </c>
      <c r="AM27" s="100">
        <v>2.2573138513933E-3</v>
      </c>
      <c r="AN27" s="100">
        <v>2.46378372078316E-5</v>
      </c>
      <c r="AO27" s="100">
        <v>1.30849622115706E-3</v>
      </c>
      <c r="AP27" s="100">
        <v>1.61100760784623E-3</v>
      </c>
      <c r="AQ27" s="100">
        <v>7.1599707997126595E-4</v>
      </c>
      <c r="AR27" s="100">
        <v>1.3311018712049499E-4</v>
      </c>
      <c r="AS27" s="100">
        <v>2.5761410592770398E-5</v>
      </c>
      <c r="AT27" s="100">
        <v>2.15685538982145E-5</v>
      </c>
      <c r="AU27" s="100">
        <v>1.34065914367872E-4</v>
      </c>
      <c r="AV27" s="100">
        <v>1.4446598289614301E-4</v>
      </c>
      <c r="AW27" s="100">
        <v>2.8599169848868099E-5</v>
      </c>
      <c r="AX27" s="100">
        <v>1.1635387083393099E-3</v>
      </c>
      <c r="AY27" s="100">
        <v>2.1757210963529701E-5</v>
      </c>
      <c r="AZ27" s="100">
        <v>1.31774293529271E-5</v>
      </c>
      <c r="BA27" s="100">
        <v>1.4978323709202301E-5</v>
      </c>
      <c r="BB27" s="100">
        <v>2.2486007590763299E-5</v>
      </c>
      <c r="BC27" s="100">
        <v>7.9685462573686705E-5</v>
      </c>
      <c r="BD27" s="100">
        <v>1.5479333158257901E-5</v>
      </c>
      <c r="BE27" s="100">
        <v>1.67080186425644E-4</v>
      </c>
      <c r="BF27" s="100">
        <v>1.2307679573868001E-4</v>
      </c>
      <c r="BG27" s="100">
        <v>9.17615800023521E-5</v>
      </c>
      <c r="BH27" s="100">
        <v>2.6089397764919101E-3</v>
      </c>
      <c r="BI27" s="100">
        <v>4.6322363755352399E-6</v>
      </c>
      <c r="BJ27" s="100">
        <v>1.2254709447775E-5</v>
      </c>
      <c r="BK27" s="100">
        <v>3.0341119059932502E-4</v>
      </c>
      <c r="BL27" s="100">
        <v>1.8696133783047901E-5</v>
      </c>
      <c r="BM27" s="100">
        <v>2.20716406963353E-3</v>
      </c>
      <c r="BN27" s="100">
        <v>8.6344101678945901E-5</v>
      </c>
      <c r="BO27" s="100">
        <v>2.5203119469342902E-4</v>
      </c>
      <c r="BP27" s="100">
        <v>1.8664227776769401E-4</v>
      </c>
      <c r="BQ27" s="101">
        <v>0</v>
      </c>
    </row>
    <row r="28" spans="1:69" ht="15" customHeight="1" x14ac:dyDescent="0.3">
      <c r="A28" s="33" t="s">
        <v>46</v>
      </c>
      <c r="B28" s="11" t="s">
        <v>114</v>
      </c>
      <c r="C28" s="99">
        <v>6.6092842946668799E-4</v>
      </c>
      <c r="D28" s="100">
        <v>2.5134101208795198E-4</v>
      </c>
      <c r="E28" s="100">
        <v>4.5604978683701001E-5</v>
      </c>
      <c r="F28" s="100">
        <v>1.08742614336417E-3</v>
      </c>
      <c r="G28" s="100">
        <v>2.7648041190062299E-4</v>
      </c>
      <c r="H28" s="100">
        <v>2.8774070953524602E-4</v>
      </c>
      <c r="I28" s="100">
        <v>3.5899322839192901E-4</v>
      </c>
      <c r="J28" s="100">
        <v>1.0556672066251E-4</v>
      </c>
      <c r="K28" s="100">
        <v>1.3377131637494301E-4</v>
      </c>
      <c r="L28" s="100">
        <v>1.9910142248148101E-4</v>
      </c>
      <c r="M28" s="100">
        <v>1.13547944426912E-4</v>
      </c>
      <c r="N28" s="100">
        <v>2.6001379607680001E-5</v>
      </c>
      <c r="O28" s="100">
        <v>8.6895508099755505E-4</v>
      </c>
      <c r="P28" s="100">
        <v>2.5143206051908698E-4</v>
      </c>
      <c r="Q28" s="100">
        <v>4.6992808056740002E-4</v>
      </c>
      <c r="R28" s="100">
        <v>5.2137579088071804E-4</v>
      </c>
      <c r="S28" s="100">
        <v>8.7353714124901896E-4</v>
      </c>
      <c r="T28" s="100">
        <v>2.6702741418073E-4</v>
      </c>
      <c r="U28" s="100">
        <v>5.7455097301722802E-5</v>
      </c>
      <c r="V28" s="100">
        <v>1.37009054919483E-4</v>
      </c>
      <c r="W28" s="100">
        <v>2.4256421278355399E-3</v>
      </c>
      <c r="X28" s="100">
        <v>4.7018279356308796E-3</v>
      </c>
      <c r="Y28" s="100">
        <v>1.0129806552535699E-2</v>
      </c>
      <c r="Z28" s="100">
        <v>9.9451488718535291E-4</v>
      </c>
      <c r="AA28" s="100">
        <v>1.11427041362628E-3</v>
      </c>
      <c r="AB28" s="100">
        <v>3.9526392072713898E-4</v>
      </c>
      <c r="AC28" s="100">
        <v>1.17406266401922E-4</v>
      </c>
      <c r="AD28" s="100">
        <v>2.9584995022810599E-4</v>
      </c>
      <c r="AE28" s="100">
        <v>7.7787306395637004E-4</v>
      </c>
      <c r="AF28" s="100">
        <v>7.2603157338296305E-5</v>
      </c>
      <c r="AG28" s="100">
        <v>1.8329363154189599E-4</v>
      </c>
      <c r="AH28" s="100">
        <v>7.7695158494810504E-5</v>
      </c>
      <c r="AI28" s="100">
        <v>3.2118299729281E-5</v>
      </c>
      <c r="AJ28" s="100">
        <v>1.20480465066117E-4</v>
      </c>
      <c r="AK28" s="100">
        <v>4.7482869032383798E-5</v>
      </c>
      <c r="AL28" s="100">
        <v>2.64564375951385E-4</v>
      </c>
      <c r="AM28" s="100">
        <v>9.1839806844872394E-5</v>
      </c>
      <c r="AN28" s="100">
        <v>1.1645336002074601E-5</v>
      </c>
      <c r="AO28" s="100">
        <v>2.9597290434859398E-4</v>
      </c>
      <c r="AP28" s="100">
        <v>7.3142991382706693E-5</v>
      </c>
      <c r="AQ28" s="100">
        <v>3.4115198006614297E-4</v>
      </c>
      <c r="AR28" s="100">
        <v>1.7734329686002799E-4</v>
      </c>
      <c r="AS28" s="100">
        <v>1.0190562303781E-4</v>
      </c>
      <c r="AT28" s="100">
        <v>2.8011419203809398E-7</v>
      </c>
      <c r="AU28" s="100">
        <v>1.80738226591653E-4</v>
      </c>
      <c r="AV28" s="100">
        <v>7.4528061812100704E-4</v>
      </c>
      <c r="AW28" s="100">
        <v>8.4656224495064002E-5</v>
      </c>
      <c r="AX28" s="100">
        <v>2.9392547607210801E-4</v>
      </c>
      <c r="AY28" s="100">
        <v>2.9982583081764399E-4</v>
      </c>
      <c r="AZ28" s="100">
        <v>1.3425934074497099E-4</v>
      </c>
      <c r="BA28" s="100">
        <v>4.8111554957907699E-5</v>
      </c>
      <c r="BB28" s="100">
        <v>2.0886851768776699E-5</v>
      </c>
      <c r="BC28" s="100">
        <v>2.4966012519916201E-6</v>
      </c>
      <c r="BD28" s="100">
        <v>2.4129460733291001E-4</v>
      </c>
      <c r="BE28" s="100">
        <v>3.6718453204970898E-4</v>
      </c>
      <c r="BF28" s="100">
        <v>1.17120260086345E-3</v>
      </c>
      <c r="BG28" s="100">
        <v>4.4199805910733999E-4</v>
      </c>
      <c r="BH28" s="100">
        <v>1.1690498637927499E-3</v>
      </c>
      <c r="BI28" s="100">
        <v>2.8316792969392001E-6</v>
      </c>
      <c r="BJ28" s="100">
        <v>1.9317354510928298E-5</v>
      </c>
      <c r="BK28" s="100">
        <v>9.1032943173501395E-5</v>
      </c>
      <c r="BL28" s="100">
        <v>1.8750723035508801E-4</v>
      </c>
      <c r="BM28" s="100">
        <v>2.4213349976050699E-4</v>
      </c>
      <c r="BN28" s="100">
        <v>3.1808430908077101E-4</v>
      </c>
      <c r="BO28" s="100">
        <v>8.7617773870673501E-4</v>
      </c>
      <c r="BP28" s="100">
        <v>2.1176872495080601E-3</v>
      </c>
      <c r="BQ28" s="101">
        <v>0</v>
      </c>
    </row>
    <row r="29" spans="1:69" ht="15" customHeight="1" x14ac:dyDescent="0.3">
      <c r="A29" s="33" t="s">
        <v>47</v>
      </c>
      <c r="B29" s="11" t="s">
        <v>115</v>
      </c>
      <c r="C29" s="99">
        <v>2.49691781373842E-4</v>
      </c>
      <c r="D29" s="100">
        <v>2.7783168877489098E-3</v>
      </c>
      <c r="E29" s="100">
        <v>1.07988910053963E-4</v>
      </c>
      <c r="F29" s="100">
        <v>1.3112160429088501E-4</v>
      </c>
      <c r="G29" s="100">
        <v>1.5075935708278099E-3</v>
      </c>
      <c r="H29" s="100">
        <v>2.86075173550522E-5</v>
      </c>
      <c r="I29" s="100">
        <v>4.4161513979192201E-5</v>
      </c>
      <c r="J29" s="100">
        <v>2.4164334856189598E-5</v>
      </c>
      <c r="K29" s="100">
        <v>7.5780617001990899E-6</v>
      </c>
      <c r="L29" s="100">
        <v>7.4192776696702404E-4</v>
      </c>
      <c r="M29" s="100">
        <v>1.0314174337283199E-5</v>
      </c>
      <c r="N29" s="100">
        <v>1.7256000119176901E-6</v>
      </c>
      <c r="O29" s="100">
        <v>1.32841983782852E-4</v>
      </c>
      <c r="P29" s="100">
        <v>3.4963169286904899E-5</v>
      </c>
      <c r="Q29" s="100">
        <v>9.5142251522361903E-5</v>
      </c>
      <c r="R29" s="100">
        <v>3.4364068982231601E-5</v>
      </c>
      <c r="S29" s="100">
        <v>1.3733534329214901E-4</v>
      </c>
      <c r="T29" s="100">
        <v>3.91878048127066E-5</v>
      </c>
      <c r="U29" s="100">
        <v>1.5643595579590801E-6</v>
      </c>
      <c r="V29" s="100">
        <v>3.0266501493312099E-5</v>
      </c>
      <c r="W29" s="100">
        <v>4.4958686670899101E-4</v>
      </c>
      <c r="X29" s="100">
        <v>5.1085774866923899E-3</v>
      </c>
      <c r="Y29" s="100">
        <v>6.7084592316255702E-4</v>
      </c>
      <c r="Z29" s="100">
        <v>7.6715130472360601E-2</v>
      </c>
      <c r="AA29" s="100">
        <v>1.41420904718586E-4</v>
      </c>
      <c r="AB29" s="100">
        <v>2.4208434491713298E-5</v>
      </c>
      <c r="AC29" s="100">
        <v>2.0953536202710401E-5</v>
      </c>
      <c r="AD29" s="100">
        <v>3.3565008331862403E-5</v>
      </c>
      <c r="AE29" s="100">
        <v>3.1002047184046803E-5</v>
      </c>
      <c r="AF29" s="100">
        <v>3.2069950414825502E-5</v>
      </c>
      <c r="AG29" s="100">
        <v>1.8504713927525199E-5</v>
      </c>
      <c r="AH29" s="100">
        <v>1.3766309407025E-5</v>
      </c>
      <c r="AI29" s="100">
        <v>5.6033039653393096E-6</v>
      </c>
      <c r="AJ29" s="100">
        <v>7.1553108697211997E-6</v>
      </c>
      <c r="AK29" s="100">
        <v>4.9354147457988603E-6</v>
      </c>
      <c r="AL29" s="100">
        <v>4.0833216830289902E-5</v>
      </c>
      <c r="AM29" s="100">
        <v>1.3985148156837201E-5</v>
      </c>
      <c r="AN29" s="100">
        <v>7.7647241106831498E-7</v>
      </c>
      <c r="AO29" s="100">
        <v>2.52377243347097E-5</v>
      </c>
      <c r="AP29" s="100">
        <v>4.4888527826352903E-6</v>
      </c>
      <c r="AQ29" s="100">
        <v>3.4219171633655099E-4</v>
      </c>
      <c r="AR29" s="100">
        <v>4.8351948800692203E-6</v>
      </c>
      <c r="AS29" s="100">
        <v>5.0667224189938897E-6</v>
      </c>
      <c r="AT29" s="100">
        <v>1.23126796067963E-6</v>
      </c>
      <c r="AU29" s="100">
        <v>6.1982826204695303E-6</v>
      </c>
      <c r="AV29" s="100">
        <v>1.8776410389983899E-5</v>
      </c>
      <c r="AW29" s="100">
        <v>1.57207570822674E-5</v>
      </c>
      <c r="AX29" s="100">
        <v>5.6155460877604999E-6</v>
      </c>
      <c r="AY29" s="100">
        <v>8.3750571746343798E-6</v>
      </c>
      <c r="AZ29" s="100">
        <v>3.8139090534009601E-6</v>
      </c>
      <c r="BA29" s="100">
        <v>3.0039468336743201E-6</v>
      </c>
      <c r="BB29" s="100">
        <v>6.3529798755352902E-7</v>
      </c>
      <c r="BC29" s="100">
        <v>1.19727743154012E-6</v>
      </c>
      <c r="BD29" s="100">
        <v>8.5332569864511701E-6</v>
      </c>
      <c r="BE29" s="100">
        <v>1.7103801172513899E-4</v>
      </c>
      <c r="BF29" s="100">
        <v>2.6332802688478298E-4</v>
      </c>
      <c r="BG29" s="100">
        <v>2.3938400861304E-5</v>
      </c>
      <c r="BH29" s="100">
        <v>3.84074643953635E-5</v>
      </c>
      <c r="BI29" s="100">
        <v>8.1931243591609698E-7</v>
      </c>
      <c r="BJ29" s="100">
        <v>1.7956443515367E-3</v>
      </c>
      <c r="BK29" s="100">
        <v>1.0355902947151599E-3</v>
      </c>
      <c r="BL29" s="100">
        <v>1.2647500759352299E-3</v>
      </c>
      <c r="BM29" s="100">
        <v>3.4943898082405299E-2</v>
      </c>
      <c r="BN29" s="100">
        <v>1.9047115767739001E-2</v>
      </c>
      <c r="BO29" s="100">
        <v>2.45277388205588E-5</v>
      </c>
      <c r="BP29" s="100">
        <v>2.15205779636557E-3</v>
      </c>
      <c r="BQ29" s="101">
        <v>0</v>
      </c>
    </row>
    <row r="30" spans="1:69" ht="15" customHeight="1" x14ac:dyDescent="0.3">
      <c r="A30" s="33" t="s">
        <v>48</v>
      </c>
      <c r="B30" s="11" t="s">
        <v>116</v>
      </c>
      <c r="C30" s="99">
        <v>1.37469802571842E-4</v>
      </c>
      <c r="D30" s="100">
        <v>1.4407860092462201E-4</v>
      </c>
      <c r="E30" s="100">
        <v>1.6153533041087499E-4</v>
      </c>
      <c r="F30" s="100">
        <v>9.1298005799272898E-4</v>
      </c>
      <c r="G30" s="100">
        <v>4.4074879418406598E-4</v>
      </c>
      <c r="H30" s="100">
        <v>3.4941879854480198E-3</v>
      </c>
      <c r="I30" s="100">
        <v>1.9570996175955601E-3</v>
      </c>
      <c r="J30" s="100">
        <v>6.9085970143949204E-4</v>
      </c>
      <c r="K30" s="100">
        <v>2.8245729579519201E-4</v>
      </c>
      <c r="L30" s="100">
        <v>1.5879168132722501E-3</v>
      </c>
      <c r="M30" s="100">
        <v>2.15591364878272E-3</v>
      </c>
      <c r="N30" s="100">
        <v>8.7851159247985102E-5</v>
      </c>
      <c r="O30" s="100">
        <v>2.8273679807533799E-3</v>
      </c>
      <c r="P30" s="100">
        <v>6.0691493407989997E-4</v>
      </c>
      <c r="Q30" s="100">
        <v>6.6376105474701503E-3</v>
      </c>
      <c r="R30" s="100">
        <v>1.42134054223965E-3</v>
      </c>
      <c r="S30" s="100">
        <v>1.61486353995399E-3</v>
      </c>
      <c r="T30" s="100">
        <v>7.9245257965513804E-3</v>
      </c>
      <c r="U30" s="100">
        <v>3.1534206310475797E-5</v>
      </c>
      <c r="V30" s="100">
        <v>7.5071280321192406E-5</v>
      </c>
      <c r="W30" s="100">
        <v>1.05747687793722E-3</v>
      </c>
      <c r="X30" s="100">
        <v>1.5558674100557099E-3</v>
      </c>
      <c r="Y30" s="100">
        <v>2.8282806131448698E-3</v>
      </c>
      <c r="Z30" s="100">
        <v>5.8308221138263596E-4</v>
      </c>
      <c r="AA30" s="100">
        <v>3.6505830770650803E-2</v>
      </c>
      <c r="AB30" s="100">
        <v>5.4493286230227998E-3</v>
      </c>
      <c r="AC30" s="100">
        <v>9.4475862740518203E-4</v>
      </c>
      <c r="AD30" s="100">
        <v>6.1899344574392905E-4</v>
      </c>
      <c r="AE30" s="100">
        <v>1.3350887070366899E-3</v>
      </c>
      <c r="AF30" s="100">
        <v>2.38849589841874E-3</v>
      </c>
      <c r="AG30" s="100">
        <v>5.4517554498851404E-3</v>
      </c>
      <c r="AH30" s="100">
        <v>6.5719718605837798E-3</v>
      </c>
      <c r="AI30" s="100">
        <v>1.5382536045361101E-2</v>
      </c>
      <c r="AJ30" s="100">
        <v>1.1977157503446001E-2</v>
      </c>
      <c r="AK30" s="100">
        <v>6.8340544599302996E-3</v>
      </c>
      <c r="AL30" s="100">
        <v>5.8111181092729896E-3</v>
      </c>
      <c r="AM30" s="100">
        <v>7.4357433614537496E-3</v>
      </c>
      <c r="AN30" s="100">
        <v>8.1451150421053194E-5</v>
      </c>
      <c r="AO30" s="100">
        <v>1.06286584369493E-3</v>
      </c>
      <c r="AP30" s="100">
        <v>3.1474101526993399E-3</v>
      </c>
      <c r="AQ30" s="100">
        <v>8.9353655767206999E-4</v>
      </c>
      <c r="AR30" s="100">
        <v>4.84189948190981E-3</v>
      </c>
      <c r="AS30" s="100">
        <v>7.4044858950314397E-5</v>
      </c>
      <c r="AT30" s="100">
        <v>6.2518091162309499E-3</v>
      </c>
      <c r="AU30" s="100">
        <v>9.1971406361479396E-5</v>
      </c>
      <c r="AV30" s="100">
        <v>4.1953278206180603E-5</v>
      </c>
      <c r="AW30" s="100">
        <v>2.26152404557757E-4</v>
      </c>
      <c r="AX30" s="100">
        <v>7.9578869800953596E-5</v>
      </c>
      <c r="AY30" s="100">
        <v>1.72117794554526E-5</v>
      </c>
      <c r="AZ30" s="100">
        <v>1.24944735422552E-5</v>
      </c>
      <c r="BA30" s="100">
        <v>3.7903483580713301E-5</v>
      </c>
      <c r="BB30" s="100">
        <v>1.8660982340140799E-5</v>
      </c>
      <c r="BC30" s="100">
        <v>2.81126027395026E-5</v>
      </c>
      <c r="BD30" s="100">
        <v>2.6851138946030898E-4</v>
      </c>
      <c r="BE30" s="100">
        <v>1.06314602066682E-4</v>
      </c>
      <c r="BF30" s="100">
        <v>3.1357326754478602E-5</v>
      </c>
      <c r="BG30" s="100">
        <v>2.2344471697723399E-3</v>
      </c>
      <c r="BH30" s="100">
        <v>5.5408044432396801E-4</v>
      </c>
      <c r="BI30" s="100">
        <v>7.8003284453701308E-6</v>
      </c>
      <c r="BJ30" s="100">
        <v>2.3995226880951001E-5</v>
      </c>
      <c r="BK30" s="100">
        <v>1.4789370201302599E-4</v>
      </c>
      <c r="BL30" s="100">
        <v>1.5494254733806502E-5</v>
      </c>
      <c r="BM30" s="100">
        <v>1.02786077945857E-3</v>
      </c>
      <c r="BN30" s="100">
        <v>4.5276366586672099E-4</v>
      </c>
      <c r="BO30" s="100">
        <v>4.6061304754972097E-5</v>
      </c>
      <c r="BP30" s="100">
        <v>2.68704915158675E-4</v>
      </c>
      <c r="BQ30" s="101">
        <v>0</v>
      </c>
    </row>
    <row r="31" spans="1:69" ht="15" customHeight="1" x14ac:dyDescent="0.3">
      <c r="A31" s="33" t="s">
        <v>49</v>
      </c>
      <c r="B31" s="11" t="s">
        <v>117</v>
      </c>
      <c r="C31" s="99">
        <v>1.7249362850195701E-3</v>
      </c>
      <c r="D31" s="100">
        <v>2.4970426635402402E-3</v>
      </c>
      <c r="E31" s="100">
        <v>3.0921240907371301E-4</v>
      </c>
      <c r="F31" s="100">
        <v>6.4521273054988701E-4</v>
      </c>
      <c r="G31" s="100">
        <v>5.4737653370378601E-5</v>
      </c>
      <c r="H31" s="100">
        <v>7.1533790606515294E-5</v>
      </c>
      <c r="I31" s="100">
        <v>1.8491540354750101E-4</v>
      </c>
      <c r="J31" s="100">
        <v>1.8594719105021699E-5</v>
      </c>
      <c r="K31" s="100">
        <v>9.2118911902465102E-4</v>
      </c>
      <c r="L31" s="100">
        <v>9.8253827425019398E-4</v>
      </c>
      <c r="M31" s="100">
        <v>5.18495039589745E-3</v>
      </c>
      <c r="N31" s="100">
        <v>6.8433404559489303E-6</v>
      </c>
      <c r="O31" s="100">
        <v>1.6733772740285799E-4</v>
      </c>
      <c r="P31" s="100">
        <v>3.5190966270303299E-4</v>
      </c>
      <c r="Q31" s="100">
        <v>1.5533390424200699E-4</v>
      </c>
      <c r="R31" s="100">
        <v>1.24020786069337E-4</v>
      </c>
      <c r="S31" s="100">
        <v>9.6059687556913095E-4</v>
      </c>
      <c r="T31" s="100">
        <v>1.84558191591335E-4</v>
      </c>
      <c r="U31" s="100">
        <v>7.2891545631658898E-6</v>
      </c>
      <c r="V31" s="100">
        <v>6.0260343603395298E-5</v>
      </c>
      <c r="W31" s="100">
        <v>1.55925366409899E-3</v>
      </c>
      <c r="X31" s="100">
        <v>7.5754168776585103E-4</v>
      </c>
      <c r="Y31" s="100">
        <v>1.4157217957134901E-3</v>
      </c>
      <c r="Z31" s="100">
        <v>3.6311473868456501E-4</v>
      </c>
      <c r="AA31" s="100">
        <v>1.2440954222500899E-3</v>
      </c>
      <c r="AB31" s="100">
        <v>9.8766533054429895E-3</v>
      </c>
      <c r="AC31" s="100">
        <v>5.2176677854760302E-4</v>
      </c>
      <c r="AD31" s="100">
        <v>1.3620115750635501E-4</v>
      </c>
      <c r="AE31" s="100">
        <v>4.3299935035816999E-4</v>
      </c>
      <c r="AF31" s="100">
        <v>5.9569596435558601E-5</v>
      </c>
      <c r="AG31" s="100">
        <v>7.8931273064776497E-4</v>
      </c>
      <c r="AH31" s="100">
        <v>5.97838181659639E-4</v>
      </c>
      <c r="AI31" s="100">
        <v>2.3363665811768001E-3</v>
      </c>
      <c r="AJ31" s="100">
        <v>4.4106465620114297E-4</v>
      </c>
      <c r="AK31" s="100">
        <v>7.1308154243309005E-4</v>
      </c>
      <c r="AL31" s="100">
        <v>1.39695735958033E-3</v>
      </c>
      <c r="AM31" s="100">
        <v>7.3835272661748402E-4</v>
      </c>
      <c r="AN31" s="100">
        <v>2.7941291275126799E-5</v>
      </c>
      <c r="AO31" s="100">
        <v>1.66160539381869E-4</v>
      </c>
      <c r="AP31" s="100">
        <v>6.1975825694089203E-3</v>
      </c>
      <c r="AQ31" s="100">
        <v>6.8766058533173397E-5</v>
      </c>
      <c r="AR31" s="100">
        <v>4.7585081084436399E-5</v>
      </c>
      <c r="AS31" s="100">
        <v>1.5664881823016102E-5</v>
      </c>
      <c r="AT31" s="100">
        <v>6.6075537594198502E-7</v>
      </c>
      <c r="AU31" s="100">
        <v>9.7424964860289394E-6</v>
      </c>
      <c r="AV31" s="100">
        <v>9.7947643150012205E-4</v>
      </c>
      <c r="AW31" s="100">
        <v>3.6726801345608902E-4</v>
      </c>
      <c r="AX31" s="100">
        <v>2.4758093140615401E-5</v>
      </c>
      <c r="AY31" s="100">
        <v>6.2364599887672404E-6</v>
      </c>
      <c r="AZ31" s="100">
        <v>5.1669207583795103E-6</v>
      </c>
      <c r="BA31" s="100">
        <v>6.3629285732147896E-6</v>
      </c>
      <c r="BB31" s="100">
        <v>9.98325894758011E-7</v>
      </c>
      <c r="BC31" s="100">
        <v>1.2963724584288399E-4</v>
      </c>
      <c r="BD31" s="100">
        <v>1.4100583421313401E-5</v>
      </c>
      <c r="BE31" s="100">
        <v>5.1986835547404398E-5</v>
      </c>
      <c r="BF31" s="100">
        <v>1.21123671761177E-5</v>
      </c>
      <c r="BG31" s="100">
        <v>4.7422447398017601E-5</v>
      </c>
      <c r="BH31" s="100">
        <v>6.3957993595543797E-5</v>
      </c>
      <c r="BI31" s="100">
        <v>2.7540069696597298E-6</v>
      </c>
      <c r="BJ31" s="100">
        <v>4.9600038215604603E-5</v>
      </c>
      <c r="BK31" s="100">
        <v>7.0272491290103401E-5</v>
      </c>
      <c r="BL31" s="100">
        <v>9.0247575337695307E-6</v>
      </c>
      <c r="BM31" s="100">
        <v>2.68631387165813E-4</v>
      </c>
      <c r="BN31" s="100">
        <v>1.2263924971736901E-4</v>
      </c>
      <c r="BO31" s="100">
        <v>2.1924843176595099E-5</v>
      </c>
      <c r="BP31" s="100">
        <v>1.0812640095441199E-4</v>
      </c>
      <c r="BQ31" s="101">
        <v>0</v>
      </c>
    </row>
    <row r="32" spans="1:69" ht="15" customHeight="1" x14ac:dyDescent="0.3">
      <c r="A32" s="33" t="s">
        <v>50</v>
      </c>
      <c r="B32" s="11" t="s">
        <v>118</v>
      </c>
      <c r="C32" s="99">
        <v>1.7639946549869199E-4</v>
      </c>
      <c r="D32" s="100">
        <v>4.7513960541088502E-4</v>
      </c>
      <c r="E32" s="100">
        <v>1.5368231468038701E-4</v>
      </c>
      <c r="F32" s="100">
        <v>1.4474791884663699E-3</v>
      </c>
      <c r="G32" s="100">
        <v>1.65303168962255E-2</v>
      </c>
      <c r="H32" s="100">
        <v>2.0464931913065501E-4</v>
      </c>
      <c r="I32" s="100">
        <v>1.5444832160901099E-3</v>
      </c>
      <c r="J32" s="100">
        <v>2.1883277101384901E-4</v>
      </c>
      <c r="K32" s="100">
        <v>5.1427385302717297E-5</v>
      </c>
      <c r="L32" s="100">
        <v>1.18352128412616E-4</v>
      </c>
      <c r="M32" s="100">
        <v>1.3822874823689701E-4</v>
      </c>
      <c r="N32" s="100">
        <v>3.2726869525240199E-5</v>
      </c>
      <c r="O32" s="100">
        <v>2.8925499280268801E-4</v>
      </c>
      <c r="P32" s="100">
        <v>2.6035002503032599E-5</v>
      </c>
      <c r="Q32" s="100">
        <v>1.6660365090686701E-4</v>
      </c>
      <c r="R32" s="100">
        <v>7.1358154847767704E-4</v>
      </c>
      <c r="S32" s="100">
        <v>8.3435051232959095E-4</v>
      </c>
      <c r="T32" s="100">
        <v>2.1002911803113199E-4</v>
      </c>
      <c r="U32" s="100">
        <v>2.99472810620609E-5</v>
      </c>
      <c r="V32" s="100">
        <v>5.2087010024331698E-5</v>
      </c>
      <c r="W32" s="100">
        <v>7.1724644060532701E-4</v>
      </c>
      <c r="X32" s="100">
        <v>5.2922782046036204E-4</v>
      </c>
      <c r="Y32" s="100">
        <v>3.8629132628999999E-4</v>
      </c>
      <c r="Z32" s="100">
        <v>1.25342018201349E-4</v>
      </c>
      <c r="AA32" s="100">
        <v>2.8597085496967801E-3</v>
      </c>
      <c r="AB32" s="100">
        <v>2.3376764727051401E-3</v>
      </c>
      <c r="AC32" s="100">
        <v>1.5861252573530799E-2</v>
      </c>
      <c r="AD32" s="100">
        <v>3.0156882948894599E-3</v>
      </c>
      <c r="AE32" s="100">
        <v>4.2351972703894798E-2</v>
      </c>
      <c r="AF32" s="100">
        <v>3.0388529359938498E-4</v>
      </c>
      <c r="AG32" s="100">
        <v>9.1835027402479997E-3</v>
      </c>
      <c r="AH32" s="100">
        <v>1.8509506004989199E-2</v>
      </c>
      <c r="AI32" s="100">
        <v>8.5186606901331095E-3</v>
      </c>
      <c r="AJ32" s="100">
        <v>2.08768035975909E-2</v>
      </c>
      <c r="AK32" s="100">
        <v>6.16273339704202E-3</v>
      </c>
      <c r="AL32" s="100">
        <v>5.0610218750581099E-3</v>
      </c>
      <c r="AM32" s="100">
        <v>5.07355017240964E-3</v>
      </c>
      <c r="AN32" s="100">
        <v>2.14496556420311E-4</v>
      </c>
      <c r="AO32" s="100">
        <v>5.7619261647358702E-4</v>
      </c>
      <c r="AP32" s="100">
        <v>6.9150412888983404E-3</v>
      </c>
      <c r="AQ32" s="100">
        <v>3.7687137294379301E-4</v>
      </c>
      <c r="AR32" s="100">
        <v>7.0526532884246598E-5</v>
      </c>
      <c r="AS32" s="100">
        <v>1.4799523085044701E-5</v>
      </c>
      <c r="AT32" s="100">
        <v>2.9213401265939598E-6</v>
      </c>
      <c r="AU32" s="100">
        <v>2.6272599057477501E-5</v>
      </c>
      <c r="AV32" s="100">
        <v>2.2103264653626801E-4</v>
      </c>
      <c r="AW32" s="100">
        <v>3.1441606046647398E-4</v>
      </c>
      <c r="AX32" s="100">
        <v>2.9639693467582202E-6</v>
      </c>
      <c r="AY32" s="100">
        <v>1.11313479077535E-5</v>
      </c>
      <c r="AZ32" s="100">
        <v>7.8611224128890106E-6</v>
      </c>
      <c r="BA32" s="100">
        <v>9.6356080293062398E-5</v>
      </c>
      <c r="BB32" s="100">
        <v>6.6812055100972999E-7</v>
      </c>
      <c r="BC32" s="100">
        <v>1.2445070240929599E-5</v>
      </c>
      <c r="BD32" s="100">
        <v>2.2953701553539802E-5</v>
      </c>
      <c r="BE32" s="100">
        <v>1.00110299848812E-4</v>
      </c>
      <c r="BF32" s="100">
        <v>1.3298870399572099E-5</v>
      </c>
      <c r="BG32" s="100">
        <v>1.72588605625227E-3</v>
      </c>
      <c r="BH32" s="100">
        <v>3.0401171486256899E-5</v>
      </c>
      <c r="BI32" s="100">
        <v>2.56161906213817E-5</v>
      </c>
      <c r="BJ32" s="100">
        <v>4.2399192833976501E-5</v>
      </c>
      <c r="BK32" s="100">
        <v>2.57678375812453E-5</v>
      </c>
      <c r="BL32" s="100">
        <v>1.07733971388686E-5</v>
      </c>
      <c r="BM32" s="100">
        <v>4.2107656147273398E-5</v>
      </c>
      <c r="BN32" s="100">
        <v>1.0070639134009601E-5</v>
      </c>
      <c r="BO32" s="100">
        <v>3.0578033011628198E-5</v>
      </c>
      <c r="BP32" s="100">
        <v>2.3456793062850298E-5</v>
      </c>
      <c r="BQ32" s="101">
        <v>0</v>
      </c>
    </row>
    <row r="33" spans="1:69" ht="15" customHeight="1" x14ac:dyDescent="0.3">
      <c r="A33" s="33" t="s">
        <v>51</v>
      </c>
      <c r="B33" s="11" t="s">
        <v>119</v>
      </c>
      <c r="C33" s="99">
        <v>8.8555915063110303E-4</v>
      </c>
      <c r="D33" s="100">
        <v>4.9990601067290803E-4</v>
      </c>
      <c r="E33" s="100">
        <v>1.4355821530113899E-4</v>
      </c>
      <c r="F33" s="100">
        <v>1.4530179156072099E-4</v>
      </c>
      <c r="G33" s="100">
        <v>2.7503253135615897E-4</v>
      </c>
      <c r="H33" s="100">
        <v>1.15220319721808E-4</v>
      </c>
      <c r="I33" s="100">
        <v>8.7525651330327503E-4</v>
      </c>
      <c r="J33" s="100">
        <v>4.8527240792412202E-4</v>
      </c>
      <c r="K33" s="100">
        <v>1.9083689144171201E-4</v>
      </c>
      <c r="L33" s="100">
        <v>8.4008520877216803E-4</v>
      </c>
      <c r="M33" s="100">
        <v>3.4891905529926103E-5</v>
      </c>
      <c r="N33" s="100">
        <v>8.6737403878515694E-6</v>
      </c>
      <c r="O33" s="100">
        <v>9.1733734240424006E-5</v>
      </c>
      <c r="P33" s="100">
        <v>1.0535916715186999E-5</v>
      </c>
      <c r="Q33" s="100">
        <v>1.343174568311E-4</v>
      </c>
      <c r="R33" s="100">
        <v>1.5526940298809399E-4</v>
      </c>
      <c r="S33" s="100">
        <v>2.6783484751566099E-3</v>
      </c>
      <c r="T33" s="100">
        <v>7.2813031414096004E-3</v>
      </c>
      <c r="U33" s="100">
        <v>1.7242662697260901E-6</v>
      </c>
      <c r="V33" s="100">
        <v>1.73515835989321E-5</v>
      </c>
      <c r="W33" s="100">
        <v>8.1665604944920409E-3</v>
      </c>
      <c r="X33" s="100">
        <v>2.74433629029767E-3</v>
      </c>
      <c r="Y33" s="100">
        <v>6.67797315674546E-4</v>
      </c>
      <c r="Z33" s="100">
        <v>1.72500303711565E-4</v>
      </c>
      <c r="AA33" s="100">
        <v>4.9697951671024397E-4</v>
      </c>
      <c r="AB33" s="100">
        <v>1.5150508007900801E-3</v>
      </c>
      <c r="AC33" s="100">
        <v>5.7813492827323504E-3</v>
      </c>
      <c r="AD33" s="100">
        <v>9.8913484842243896E-2</v>
      </c>
      <c r="AE33" s="100">
        <v>1.37531225428957E-2</v>
      </c>
      <c r="AF33" s="100">
        <v>1.3766699762293899E-3</v>
      </c>
      <c r="AG33" s="100">
        <v>5.9437255580600298E-2</v>
      </c>
      <c r="AH33" s="100">
        <v>6.3953071145858402E-3</v>
      </c>
      <c r="AI33" s="100">
        <v>2.4040531155446999E-3</v>
      </c>
      <c r="AJ33" s="100">
        <v>1.7873151647291901E-2</v>
      </c>
      <c r="AK33" s="100">
        <v>1.16552424587388E-2</v>
      </c>
      <c r="AL33" s="100">
        <v>2.3415751073165299E-2</v>
      </c>
      <c r="AM33" s="100">
        <v>5.4412555353865501E-3</v>
      </c>
      <c r="AN33" s="100">
        <v>5.9982648267242102E-5</v>
      </c>
      <c r="AO33" s="100">
        <v>1.1633627672334201E-3</v>
      </c>
      <c r="AP33" s="100">
        <v>3.3848087819738902E-3</v>
      </c>
      <c r="AQ33" s="100">
        <v>1.12318917414908E-4</v>
      </c>
      <c r="AR33" s="100">
        <v>7.6560123329962696E-5</v>
      </c>
      <c r="AS33" s="100">
        <v>1.9066157071255799E-5</v>
      </c>
      <c r="AT33" s="100">
        <v>9.2635675408186803E-7</v>
      </c>
      <c r="AU33" s="100">
        <v>1.25009645661113E-5</v>
      </c>
      <c r="AV33" s="100">
        <v>7.2823927753274897E-5</v>
      </c>
      <c r="AW33" s="100">
        <v>1.10436860686644E-4</v>
      </c>
      <c r="AX33" s="100">
        <v>6.0975290291174299E-6</v>
      </c>
      <c r="AY33" s="100">
        <v>7.8296967103918196E-6</v>
      </c>
      <c r="AZ33" s="100">
        <v>8.5551858437641095E-6</v>
      </c>
      <c r="BA33" s="100">
        <v>1.05216027608553E-5</v>
      </c>
      <c r="BB33" s="100">
        <v>5.3105584564223998E-7</v>
      </c>
      <c r="BC33" s="100">
        <v>5.5701091113480802E-5</v>
      </c>
      <c r="BD33" s="100">
        <v>2.4373181126127201E-5</v>
      </c>
      <c r="BE33" s="100">
        <v>3.2355118834074299E-5</v>
      </c>
      <c r="BF33" s="100">
        <v>1.6389007938530999E-5</v>
      </c>
      <c r="BG33" s="100">
        <v>7.4544222097070007E-5</v>
      </c>
      <c r="BH33" s="100">
        <v>2.8980984007357899E-5</v>
      </c>
      <c r="BI33" s="100">
        <v>9.6746755408874496E-6</v>
      </c>
      <c r="BJ33" s="100">
        <v>1.44385300976629E-5</v>
      </c>
      <c r="BK33" s="100">
        <v>8.0823051835670601E-6</v>
      </c>
      <c r="BL33" s="100">
        <v>1.27844690321817E-5</v>
      </c>
      <c r="BM33" s="100">
        <v>2.1263028682784602E-5</v>
      </c>
      <c r="BN33" s="100">
        <v>1.8245613727956401E-5</v>
      </c>
      <c r="BO33" s="100">
        <v>3.48594533652304E-5</v>
      </c>
      <c r="BP33" s="100">
        <v>9.99063663707238E-5</v>
      </c>
      <c r="BQ33" s="101">
        <v>0</v>
      </c>
    </row>
    <row r="34" spans="1:69" ht="15" customHeight="1" x14ac:dyDescent="0.3">
      <c r="A34" s="33" t="s">
        <v>52</v>
      </c>
      <c r="B34" s="11" t="s">
        <v>120</v>
      </c>
      <c r="C34" s="99">
        <v>1.90632757347623E-4</v>
      </c>
      <c r="D34" s="100">
        <v>5.6233319534719896E-4</v>
      </c>
      <c r="E34" s="100">
        <v>2.3458709330414099E-4</v>
      </c>
      <c r="F34" s="100">
        <v>5.2214774760594995E-4</v>
      </c>
      <c r="G34" s="100">
        <v>1.45424775384668E-3</v>
      </c>
      <c r="H34" s="100">
        <v>2.1053510177729499E-3</v>
      </c>
      <c r="I34" s="100">
        <v>2.6795534740230499E-3</v>
      </c>
      <c r="J34" s="100">
        <v>6.3127357395016703E-4</v>
      </c>
      <c r="K34" s="100">
        <v>5.8065338876608105E-4</v>
      </c>
      <c r="L34" s="100">
        <v>5.7922361372602098E-4</v>
      </c>
      <c r="M34" s="100">
        <v>1.85795027350705E-3</v>
      </c>
      <c r="N34" s="100">
        <v>3.6549108926578998E-4</v>
      </c>
      <c r="O34" s="100">
        <v>4.3756639588885102E-4</v>
      </c>
      <c r="P34" s="100">
        <v>3.5341217427510102E-4</v>
      </c>
      <c r="Q34" s="100">
        <v>4.1198786916774401E-4</v>
      </c>
      <c r="R34" s="100">
        <v>8.7972997250575294E-3</v>
      </c>
      <c r="S34" s="100">
        <v>4.7842437465597402E-4</v>
      </c>
      <c r="T34" s="100">
        <v>5.7070103485125498E-4</v>
      </c>
      <c r="U34" s="100">
        <v>9.33621022426232E-5</v>
      </c>
      <c r="V34" s="100">
        <v>4.8938721753606304E-4</v>
      </c>
      <c r="W34" s="100">
        <v>5.5229573945042999E-4</v>
      </c>
      <c r="X34" s="100">
        <v>7.6691828198601495E-4</v>
      </c>
      <c r="Y34" s="100">
        <v>9.1908270403517195E-4</v>
      </c>
      <c r="Z34" s="100">
        <v>3.0910175801130303E-4</v>
      </c>
      <c r="AA34" s="100">
        <v>9.4335289064995304E-4</v>
      </c>
      <c r="AB34" s="100">
        <v>8.2077774745455102E-4</v>
      </c>
      <c r="AC34" s="100">
        <v>1.10643668828759E-3</v>
      </c>
      <c r="AD34" s="100">
        <v>2.3729384857195299E-3</v>
      </c>
      <c r="AE34" s="100">
        <v>1.47643423631643E-2</v>
      </c>
      <c r="AF34" s="100">
        <v>2.2250810018470302E-3</v>
      </c>
      <c r="AG34" s="100">
        <v>6.0223254958686502E-3</v>
      </c>
      <c r="AH34" s="100">
        <v>9.1114619213832106E-3</v>
      </c>
      <c r="AI34" s="100">
        <v>6.4887351173315002E-3</v>
      </c>
      <c r="AJ34" s="100">
        <v>4.2808802057528799E-3</v>
      </c>
      <c r="AK34" s="100">
        <v>9.7409383991558796E-3</v>
      </c>
      <c r="AL34" s="100">
        <v>6.5223809952071297E-3</v>
      </c>
      <c r="AM34" s="100">
        <v>1.12478514857253E-2</v>
      </c>
      <c r="AN34" s="100">
        <v>1.2276478317454001E-3</v>
      </c>
      <c r="AO34" s="100">
        <v>1.0752255644732899E-3</v>
      </c>
      <c r="AP34" s="100">
        <v>4.1542736276331997E-3</v>
      </c>
      <c r="AQ34" s="100">
        <v>4.2892584532296498E-4</v>
      </c>
      <c r="AR34" s="100">
        <v>2.7242053388314299E-4</v>
      </c>
      <c r="AS34" s="100">
        <v>9.2027163983609398E-5</v>
      </c>
      <c r="AT34" s="100">
        <v>2.22682509661459E-5</v>
      </c>
      <c r="AU34" s="100">
        <v>4.2744615081095698E-5</v>
      </c>
      <c r="AV34" s="100">
        <v>3.5226083532227102E-3</v>
      </c>
      <c r="AW34" s="100">
        <v>4.8212462159617003E-3</v>
      </c>
      <c r="AX34" s="100">
        <v>1.13894232263164E-5</v>
      </c>
      <c r="AY34" s="100">
        <v>1.15160380444795E-4</v>
      </c>
      <c r="AZ34" s="100">
        <v>4.6039738383738E-5</v>
      </c>
      <c r="BA34" s="100">
        <v>2.5246667901625901E-5</v>
      </c>
      <c r="BB34" s="100">
        <v>1.5772294364004699E-6</v>
      </c>
      <c r="BC34" s="100">
        <v>9.7369912903740499E-5</v>
      </c>
      <c r="BD34" s="100">
        <v>3.3568034098000703E-5</v>
      </c>
      <c r="BE34" s="100">
        <v>1.3608523155510301E-4</v>
      </c>
      <c r="BF34" s="100">
        <v>2.1860237996889399E-5</v>
      </c>
      <c r="BG34" s="100">
        <v>1.2937485662930501E-4</v>
      </c>
      <c r="BH34" s="100">
        <v>6.6134208576491298E-5</v>
      </c>
      <c r="BI34" s="100">
        <v>3.9104924696529498E-4</v>
      </c>
      <c r="BJ34" s="100">
        <v>2.8012876591874502E-4</v>
      </c>
      <c r="BK34" s="100">
        <v>2.4420931983746901E-5</v>
      </c>
      <c r="BL34" s="100">
        <v>9.6995881141464699E-6</v>
      </c>
      <c r="BM34" s="100">
        <v>7.9302078938438503E-5</v>
      </c>
      <c r="BN34" s="100">
        <v>7.0849916052016996E-5</v>
      </c>
      <c r="BO34" s="100">
        <v>4.6720679177216197E-5</v>
      </c>
      <c r="BP34" s="100">
        <v>7.6866011868756499E-5</v>
      </c>
      <c r="BQ34" s="101">
        <v>0</v>
      </c>
    </row>
    <row r="35" spans="1:69" ht="15" customHeight="1" x14ac:dyDescent="0.3">
      <c r="A35" s="33" t="s">
        <v>53</v>
      </c>
      <c r="B35" s="11" t="s">
        <v>121</v>
      </c>
      <c r="C35" s="99">
        <v>4.2736858551136103E-6</v>
      </c>
      <c r="D35" s="100">
        <v>1.1649696469553901E-5</v>
      </c>
      <c r="E35" s="100">
        <v>6.8345690418517801E-6</v>
      </c>
      <c r="F35" s="100">
        <v>2.7564651315641401E-4</v>
      </c>
      <c r="G35" s="100">
        <v>2.0248586204246201E-3</v>
      </c>
      <c r="H35" s="100">
        <v>1.14195904356459E-3</v>
      </c>
      <c r="I35" s="100">
        <v>1.1032412881760701E-3</v>
      </c>
      <c r="J35" s="100">
        <v>9.0246691818590699E-5</v>
      </c>
      <c r="K35" s="100">
        <v>1.5873414934806101E-5</v>
      </c>
      <c r="L35" s="100">
        <v>2.09986845509415E-5</v>
      </c>
      <c r="M35" s="100">
        <v>1.3457009920351001E-5</v>
      </c>
      <c r="N35" s="100">
        <v>1.0615441978963799E-5</v>
      </c>
      <c r="O35" s="100">
        <v>4.8875349578189403E-5</v>
      </c>
      <c r="P35" s="100">
        <v>5.2671598247910403E-5</v>
      </c>
      <c r="Q35" s="100">
        <v>4.2818055832656101E-5</v>
      </c>
      <c r="R35" s="100">
        <v>1.4148133278606899E-4</v>
      </c>
      <c r="S35" s="100">
        <v>5.0735604802930503E-5</v>
      </c>
      <c r="T35" s="100">
        <v>4.6774916264348501E-2</v>
      </c>
      <c r="U35" s="100">
        <v>2.3605569038409902E-6</v>
      </c>
      <c r="V35" s="100">
        <v>1.5708224533099801E-5</v>
      </c>
      <c r="W35" s="100">
        <v>5.17048207831363E-5</v>
      </c>
      <c r="X35" s="100">
        <v>7.8148292651170005E-5</v>
      </c>
      <c r="Y35" s="100">
        <v>5.7713614811409202E-5</v>
      </c>
      <c r="Z35" s="100">
        <v>3.1112626886915001E-5</v>
      </c>
      <c r="AA35" s="100">
        <v>1.81298738568082E-4</v>
      </c>
      <c r="AB35" s="100">
        <v>6.0158650766501399E-5</v>
      </c>
      <c r="AC35" s="100">
        <v>2.2006981801837901E-5</v>
      </c>
      <c r="AD35" s="100">
        <v>5.8184648041445197E-5</v>
      </c>
      <c r="AE35" s="100">
        <v>4.9520911576236398E-5</v>
      </c>
      <c r="AF35" s="100">
        <v>0.43393556536724898</v>
      </c>
      <c r="AG35" s="100">
        <v>1.61282608559794E-2</v>
      </c>
      <c r="AH35" s="100">
        <v>1.02902048254928E-2</v>
      </c>
      <c r="AI35" s="100">
        <v>2.2615137801318399E-3</v>
      </c>
      <c r="AJ35" s="100">
        <v>8.1096650932907695E-3</v>
      </c>
      <c r="AK35" s="100">
        <v>2.8455515594937599E-3</v>
      </c>
      <c r="AL35" s="100">
        <v>2.3390934154568898E-3</v>
      </c>
      <c r="AM35" s="100">
        <v>2.6804933320280298E-2</v>
      </c>
      <c r="AN35" s="100">
        <v>1.2372394040981399E-3</v>
      </c>
      <c r="AO35" s="100">
        <v>3.2324088146942699E-4</v>
      </c>
      <c r="AP35" s="100">
        <v>8.95289329547931E-4</v>
      </c>
      <c r="AQ35" s="100">
        <v>3.8294385658831998E-4</v>
      </c>
      <c r="AR35" s="100">
        <v>7.7087385064998905E-5</v>
      </c>
      <c r="AS35" s="100">
        <v>2.8713676606774002E-4</v>
      </c>
      <c r="AT35" s="100">
        <v>3.4290241337861998E-4</v>
      </c>
      <c r="AU35" s="100">
        <v>6.7275889560546899E-3</v>
      </c>
      <c r="AV35" s="100">
        <v>2.9209521461850101E-5</v>
      </c>
      <c r="AW35" s="100">
        <v>7.3808188131757797E-6</v>
      </c>
      <c r="AX35" s="100">
        <v>1.79624487118525E-5</v>
      </c>
      <c r="AY35" s="100">
        <v>1.1320142617122299E-2</v>
      </c>
      <c r="AZ35" s="100">
        <v>1.5736806464872401E-3</v>
      </c>
      <c r="BA35" s="100">
        <v>2.8313755496271999E-2</v>
      </c>
      <c r="BB35" s="100">
        <v>7.7648023559696497E-4</v>
      </c>
      <c r="BC35" s="100">
        <v>8.7800367258954001E-6</v>
      </c>
      <c r="BD35" s="100">
        <v>2.4387098339763201E-3</v>
      </c>
      <c r="BE35" s="100">
        <v>2.13694165647637E-2</v>
      </c>
      <c r="BF35" s="100">
        <v>2.5577142097214598E-3</v>
      </c>
      <c r="BG35" s="100">
        <v>1.1972326983181001E-3</v>
      </c>
      <c r="BH35" s="100">
        <v>4.7003768193571898E-3</v>
      </c>
      <c r="BI35" s="100">
        <v>3.7633020967748798E-3</v>
      </c>
      <c r="BJ35" s="100">
        <v>1.6096012209698701E-4</v>
      </c>
      <c r="BK35" s="100">
        <v>2.5181938282357202E-3</v>
      </c>
      <c r="BL35" s="100">
        <v>1.59983674999611E-3</v>
      </c>
      <c r="BM35" s="100">
        <v>3.1469962236255699E-3</v>
      </c>
      <c r="BN35" s="100">
        <v>8.7314693495030803E-4</v>
      </c>
      <c r="BO35" s="100">
        <v>3.01736553825661E-3</v>
      </c>
      <c r="BP35" s="100">
        <v>1.0400971262789599E-2</v>
      </c>
      <c r="BQ35" s="101">
        <v>0</v>
      </c>
    </row>
    <row r="36" spans="1:69" ht="15" customHeight="1" x14ac:dyDescent="0.3">
      <c r="A36" s="33" t="s">
        <v>54</v>
      </c>
      <c r="B36" s="11" t="s">
        <v>122</v>
      </c>
      <c r="C36" s="99">
        <v>4.3499610099765899E-5</v>
      </c>
      <c r="D36" s="100">
        <v>2.20773593851316E-4</v>
      </c>
      <c r="E36" s="100">
        <v>5.9253566057690999E-5</v>
      </c>
      <c r="F36" s="100">
        <v>8.6538099559443503E-4</v>
      </c>
      <c r="G36" s="100">
        <v>8.2798487604357496E-4</v>
      </c>
      <c r="H36" s="100">
        <v>6.2571727097426801E-4</v>
      </c>
      <c r="I36" s="100">
        <v>8.6243556837569898E-4</v>
      </c>
      <c r="J36" s="100">
        <v>1.3027171305959E-4</v>
      </c>
      <c r="K36" s="100">
        <v>3.5380904746940001E-4</v>
      </c>
      <c r="L36" s="100">
        <v>1.7117310125153599E-4</v>
      </c>
      <c r="M36" s="100">
        <v>1.81575054546602E-4</v>
      </c>
      <c r="N36" s="100">
        <v>2.2755474359249201E-4</v>
      </c>
      <c r="O36" s="100">
        <v>4.9219637337436504E-4</v>
      </c>
      <c r="P36" s="100">
        <v>5.1197436653261398E-5</v>
      </c>
      <c r="Q36" s="100">
        <v>1.6194702129343499E-4</v>
      </c>
      <c r="R36" s="100">
        <v>6.7592654858666999E-4</v>
      </c>
      <c r="S36" s="100">
        <v>4.9911286567078897E-4</v>
      </c>
      <c r="T36" s="100">
        <v>9.1064539388140001E-4</v>
      </c>
      <c r="U36" s="100">
        <v>1.54755704734766E-5</v>
      </c>
      <c r="V36" s="100">
        <v>1.71199723148336E-4</v>
      </c>
      <c r="W36" s="100">
        <v>4.6702938858041003E-4</v>
      </c>
      <c r="X36" s="100">
        <v>1.8661434802440499E-4</v>
      </c>
      <c r="Y36" s="100">
        <v>2.5359356404427899E-4</v>
      </c>
      <c r="Z36" s="100">
        <v>9.8508259505534099E-5</v>
      </c>
      <c r="AA36" s="100">
        <v>6.0304329063806E-4</v>
      </c>
      <c r="AB36" s="100">
        <v>9.6820501002381498E-4</v>
      </c>
      <c r="AC36" s="100">
        <v>2.1269041486625699E-4</v>
      </c>
      <c r="AD36" s="100">
        <v>1.5965752854066101E-3</v>
      </c>
      <c r="AE36" s="100">
        <v>5.6904098586157796E-4</v>
      </c>
      <c r="AF36" s="100">
        <v>1.43594661129682E-2</v>
      </c>
      <c r="AG36" s="100">
        <v>4.8830711094668598E-2</v>
      </c>
      <c r="AH36" s="100">
        <v>1.0762885315928099E-2</v>
      </c>
      <c r="AI36" s="100">
        <v>2.5315380554628499E-3</v>
      </c>
      <c r="AJ36" s="100">
        <v>6.1271651172366002E-3</v>
      </c>
      <c r="AK36" s="100">
        <v>4.2977645331874897E-3</v>
      </c>
      <c r="AL36" s="100">
        <v>1.80430738702029E-3</v>
      </c>
      <c r="AM36" s="100">
        <v>1.61166092925305E-2</v>
      </c>
      <c r="AN36" s="100">
        <v>6.2626268319664101E-3</v>
      </c>
      <c r="AO36" s="100">
        <v>1.5927001761762299E-3</v>
      </c>
      <c r="AP36" s="100">
        <v>7.4287346446168601E-3</v>
      </c>
      <c r="AQ36" s="100">
        <v>6.2183898623170903E-4</v>
      </c>
      <c r="AR36" s="100">
        <v>2.0544949335095301E-3</v>
      </c>
      <c r="AS36" s="100">
        <v>6.2107624329365196E-4</v>
      </c>
      <c r="AT36" s="100">
        <v>4.3645952813937101E-6</v>
      </c>
      <c r="AU36" s="100">
        <v>4.8484072705798001E-4</v>
      </c>
      <c r="AV36" s="100">
        <v>6.6807896163903198E-4</v>
      </c>
      <c r="AW36" s="100">
        <v>8.8621641832202895E-5</v>
      </c>
      <c r="AX36" s="100">
        <v>1.4642942975363099E-4</v>
      </c>
      <c r="AY36" s="100">
        <v>7.7851119163319202E-4</v>
      </c>
      <c r="AZ36" s="100">
        <v>2.5985539712407098E-3</v>
      </c>
      <c r="BA36" s="100">
        <v>2.4429191075729699E-4</v>
      </c>
      <c r="BB36" s="100">
        <v>5.3869741992250799E-5</v>
      </c>
      <c r="BC36" s="100">
        <v>3.05522310598648E-4</v>
      </c>
      <c r="BD36" s="100">
        <v>1.3768481269163899E-3</v>
      </c>
      <c r="BE36" s="100">
        <v>7.3224784993181796E-4</v>
      </c>
      <c r="BF36" s="100">
        <v>2.8255944613733599E-4</v>
      </c>
      <c r="BG36" s="100">
        <v>3.33639668344635E-4</v>
      </c>
      <c r="BH36" s="100">
        <v>1.3247899248716301E-3</v>
      </c>
      <c r="BI36" s="100">
        <v>6.08661974261696E-5</v>
      </c>
      <c r="BJ36" s="100">
        <v>1.93593359599232E-5</v>
      </c>
      <c r="BK36" s="100">
        <v>8.4201375393250003E-5</v>
      </c>
      <c r="BL36" s="100">
        <v>1.0104495181798E-5</v>
      </c>
      <c r="BM36" s="100">
        <v>9.1439680886368598E-5</v>
      </c>
      <c r="BN36" s="100">
        <v>1.6320297864279801E-5</v>
      </c>
      <c r="BO36" s="100">
        <v>9.2772235976014297E-4</v>
      </c>
      <c r="BP36" s="100">
        <v>3.4977292788345802E-3</v>
      </c>
      <c r="BQ36" s="101">
        <v>0</v>
      </c>
    </row>
    <row r="37" spans="1:69" ht="15" customHeight="1" x14ac:dyDescent="0.3">
      <c r="A37" s="33" t="s">
        <v>55</v>
      </c>
      <c r="B37" s="11" t="s">
        <v>123</v>
      </c>
      <c r="C37" s="99">
        <v>2.9383210205146498E-5</v>
      </c>
      <c r="D37" s="100">
        <v>1.0695859286423E-4</v>
      </c>
      <c r="E37" s="100">
        <v>7.8901202566325105E-5</v>
      </c>
      <c r="F37" s="100">
        <v>3.3967749147220802E-3</v>
      </c>
      <c r="G37" s="100">
        <v>1.4832959980807799E-2</v>
      </c>
      <c r="H37" s="100">
        <v>2.5330117205343099E-2</v>
      </c>
      <c r="I37" s="100">
        <v>2.5782617871063299E-2</v>
      </c>
      <c r="J37" s="100">
        <v>3.3309950744103002E-5</v>
      </c>
      <c r="K37" s="100">
        <v>6.2914662517935899E-5</v>
      </c>
      <c r="L37" s="100">
        <v>3.7816473570221298E-5</v>
      </c>
      <c r="M37" s="100">
        <v>8.2743690864615005E-5</v>
      </c>
      <c r="N37" s="100">
        <v>1.82924208152953E-5</v>
      </c>
      <c r="O37" s="100">
        <v>1.8577526871208801E-4</v>
      </c>
      <c r="P37" s="100">
        <v>5.7917216698349899E-5</v>
      </c>
      <c r="Q37" s="100">
        <v>1.1675716092969099E-4</v>
      </c>
      <c r="R37" s="100">
        <v>1.4863831579723999E-3</v>
      </c>
      <c r="S37" s="100">
        <v>1.15830967047454E-4</v>
      </c>
      <c r="T37" s="100">
        <v>6.2120418672415804E-4</v>
      </c>
      <c r="U37" s="100">
        <v>4.9333260823106301E-6</v>
      </c>
      <c r="V37" s="100">
        <v>4.4600738041708599E-5</v>
      </c>
      <c r="W37" s="100">
        <v>4.2046646989874602E-5</v>
      </c>
      <c r="X37" s="100">
        <v>7.3550733097100304E-5</v>
      </c>
      <c r="Y37" s="100">
        <v>5.5836706800751897E-5</v>
      </c>
      <c r="Z37" s="100">
        <v>4.0401804208505103E-5</v>
      </c>
      <c r="AA37" s="100">
        <v>5.9947392295976905E-4</v>
      </c>
      <c r="AB37" s="100">
        <v>1.59660651039562E-4</v>
      </c>
      <c r="AC37" s="100">
        <v>1.47620074676524E-4</v>
      </c>
      <c r="AD37" s="100">
        <v>4.7827087964700702E-4</v>
      </c>
      <c r="AE37" s="100">
        <v>7.2870506476453202E-4</v>
      </c>
      <c r="AF37" s="100">
        <v>1.90902054053688E-3</v>
      </c>
      <c r="AG37" s="100">
        <v>4.3231316144913996E-3</v>
      </c>
      <c r="AH37" s="100">
        <v>9.84311864442938E-2</v>
      </c>
      <c r="AI37" s="100">
        <v>5.48386691737765E-3</v>
      </c>
      <c r="AJ37" s="100">
        <v>1.29517644808806E-3</v>
      </c>
      <c r="AK37" s="100">
        <v>7.6053056726026799E-3</v>
      </c>
      <c r="AL37" s="100">
        <v>4.46075446144991E-4</v>
      </c>
      <c r="AM37" s="100">
        <v>8.7970893683744694E-2</v>
      </c>
      <c r="AN37" s="100">
        <v>2.5447668510650702E-4</v>
      </c>
      <c r="AO37" s="100">
        <v>7.9711185480946104E-4</v>
      </c>
      <c r="AP37" s="100">
        <v>2.6594286289421498E-3</v>
      </c>
      <c r="AQ37" s="100">
        <v>3.8841990412009101E-4</v>
      </c>
      <c r="AR37" s="100">
        <v>3.32301297777117E-4</v>
      </c>
      <c r="AS37" s="100">
        <v>5.0139941767557298E-3</v>
      </c>
      <c r="AT37" s="100">
        <v>4.7411146447129099E-5</v>
      </c>
      <c r="AU37" s="100">
        <v>1.0444593656304499E-3</v>
      </c>
      <c r="AV37" s="100">
        <v>2.43960910851684E-4</v>
      </c>
      <c r="AW37" s="100">
        <v>1.00913005917049E-4</v>
      </c>
      <c r="AX37" s="100">
        <v>7.3495674792340806E-5</v>
      </c>
      <c r="AY37" s="100">
        <v>9.9813126054928595E-5</v>
      </c>
      <c r="AZ37" s="100">
        <v>2.7543368870362999E-4</v>
      </c>
      <c r="BA37" s="100">
        <v>1.6775726711348599E-4</v>
      </c>
      <c r="BB37" s="100">
        <v>1.05815572569309E-5</v>
      </c>
      <c r="BC37" s="100">
        <v>1.2528796524699399E-5</v>
      </c>
      <c r="BD37" s="100">
        <v>6.4019554668465805E-5</v>
      </c>
      <c r="BE37" s="100">
        <v>5.1440260613289698E-4</v>
      </c>
      <c r="BF37" s="100">
        <v>5.2392150221403001E-5</v>
      </c>
      <c r="BG37" s="100">
        <v>1.15055807615441E-4</v>
      </c>
      <c r="BH37" s="100">
        <v>1.6987172152511699E-3</v>
      </c>
      <c r="BI37" s="100">
        <v>2.9943773926932998E-5</v>
      </c>
      <c r="BJ37" s="100">
        <v>3.7659428583787498E-5</v>
      </c>
      <c r="BK37" s="100">
        <v>4.1631067830952899E-5</v>
      </c>
      <c r="BL37" s="100">
        <v>1.1194471750786599E-5</v>
      </c>
      <c r="BM37" s="100">
        <v>3.1622720108247102E-4</v>
      </c>
      <c r="BN37" s="100">
        <v>4.86701545050894E-5</v>
      </c>
      <c r="BO37" s="100">
        <v>7.0070171844741695E-5</v>
      </c>
      <c r="BP37" s="100">
        <v>1.83220517031755E-4</v>
      </c>
      <c r="BQ37" s="101">
        <v>0</v>
      </c>
    </row>
    <row r="38" spans="1:69" ht="15" customHeight="1" x14ac:dyDescent="0.3">
      <c r="A38" s="33" t="s">
        <v>56</v>
      </c>
      <c r="B38" s="11" t="s">
        <v>124</v>
      </c>
      <c r="C38" s="99">
        <v>1.59376450993278E-6</v>
      </c>
      <c r="D38" s="100">
        <v>4.8299273924591304E-6</v>
      </c>
      <c r="E38" s="100">
        <v>1.7480202117638299E-6</v>
      </c>
      <c r="F38" s="100">
        <v>3.2564288290490799E-5</v>
      </c>
      <c r="G38" s="100">
        <v>1.2523663222347499E-4</v>
      </c>
      <c r="H38" s="100">
        <v>1.8242181105972201E-4</v>
      </c>
      <c r="I38" s="100">
        <v>1.78795082822928E-4</v>
      </c>
      <c r="J38" s="100">
        <v>3.6184188608911699E-6</v>
      </c>
      <c r="K38" s="100">
        <v>9.6281609998118202E-5</v>
      </c>
      <c r="L38" s="100">
        <v>4.9220760416809803E-6</v>
      </c>
      <c r="M38" s="100">
        <v>5.26047463669698E-6</v>
      </c>
      <c r="N38" s="100">
        <v>4.6502216910929703E-6</v>
      </c>
      <c r="O38" s="100">
        <v>5.4197688215808699E-5</v>
      </c>
      <c r="P38" s="100">
        <v>7.6593698217749195E-6</v>
      </c>
      <c r="Q38" s="100">
        <v>2.0302894152197101E-5</v>
      </c>
      <c r="R38" s="100">
        <v>2.43990791462634E-5</v>
      </c>
      <c r="S38" s="100">
        <v>1.10929270433539E-5</v>
      </c>
      <c r="T38" s="100">
        <v>9.3577333036413407E-6</v>
      </c>
      <c r="U38" s="100">
        <v>3.6560293592768297E-7</v>
      </c>
      <c r="V38" s="100">
        <v>3.6414582170869701E-6</v>
      </c>
      <c r="W38" s="100">
        <v>8.1048445052996301E-6</v>
      </c>
      <c r="X38" s="100">
        <v>1.9718095839191001E-5</v>
      </c>
      <c r="Y38" s="100">
        <v>4.2482664531078203E-6</v>
      </c>
      <c r="Z38" s="100">
        <v>2.7652397085538501E-6</v>
      </c>
      <c r="AA38" s="100">
        <v>3.50669803262694E-5</v>
      </c>
      <c r="AB38" s="100">
        <v>2.1066189026158602E-5</v>
      </c>
      <c r="AC38" s="100">
        <v>5.3219684202734496E-6</v>
      </c>
      <c r="AD38" s="100">
        <v>1.5377171528974799E-5</v>
      </c>
      <c r="AE38" s="100">
        <v>2.0861177128147601E-5</v>
      </c>
      <c r="AF38" s="100">
        <v>1.87728811813326E-4</v>
      </c>
      <c r="AG38" s="100">
        <v>7.9463332073204497E-4</v>
      </c>
      <c r="AH38" s="100">
        <v>8.9545249131552898E-4</v>
      </c>
      <c r="AI38" s="100">
        <v>1.25800866442873E-2</v>
      </c>
      <c r="AJ38" s="100">
        <v>1.1421146726092099E-3</v>
      </c>
      <c r="AK38" s="100">
        <v>1.14572766511967E-2</v>
      </c>
      <c r="AL38" s="100">
        <v>3.6702308144588901E-5</v>
      </c>
      <c r="AM38" s="100">
        <v>2.32898700975757E-3</v>
      </c>
      <c r="AN38" s="100">
        <v>1.1270127453919E-4</v>
      </c>
      <c r="AO38" s="100">
        <v>3.4973982355392499E-5</v>
      </c>
      <c r="AP38" s="100">
        <v>1.5514323062512E-4</v>
      </c>
      <c r="AQ38" s="100">
        <v>2.2756480425498499E-4</v>
      </c>
      <c r="AR38" s="100">
        <v>9.6669305329552199E-4</v>
      </c>
      <c r="AS38" s="100">
        <v>5.1071206303885297E-5</v>
      </c>
      <c r="AT38" s="100">
        <v>1.1199158369477E-7</v>
      </c>
      <c r="AU38" s="100">
        <v>1.5346698481668299E-5</v>
      </c>
      <c r="AV38" s="100">
        <v>1.4437285626438001E-5</v>
      </c>
      <c r="AW38" s="100">
        <v>3.8930183526178304E-6</v>
      </c>
      <c r="AX38" s="100">
        <v>3.4678554210182199E-6</v>
      </c>
      <c r="AY38" s="100">
        <v>1.36459905078538E-5</v>
      </c>
      <c r="AZ38" s="100">
        <v>4.8626293705154698E-5</v>
      </c>
      <c r="BA38" s="100">
        <v>1.8913030114586499E-6</v>
      </c>
      <c r="BB38" s="100">
        <v>9.7404084663306803E-7</v>
      </c>
      <c r="BC38" s="100">
        <v>5.7499444354277704E-6</v>
      </c>
      <c r="BD38" s="100">
        <v>2.55160257327042E-5</v>
      </c>
      <c r="BE38" s="100">
        <v>1.48423871143919E-4</v>
      </c>
      <c r="BF38" s="100">
        <v>5.6372231002925198E-6</v>
      </c>
      <c r="BG38" s="100">
        <v>4.10939781139844E-5</v>
      </c>
      <c r="BH38" s="100">
        <v>3.7464970359533501E-5</v>
      </c>
      <c r="BI38" s="100">
        <v>1.05110222273574E-6</v>
      </c>
      <c r="BJ38" s="100">
        <v>3.0572688240214798E-6</v>
      </c>
      <c r="BK38" s="100">
        <v>5.5498197240303303E-6</v>
      </c>
      <c r="BL38" s="100">
        <v>5.3555246650378296E-7</v>
      </c>
      <c r="BM38" s="100">
        <v>1.14420675769495E-5</v>
      </c>
      <c r="BN38" s="100">
        <v>5.2658082846833E-7</v>
      </c>
      <c r="BO38" s="100">
        <v>1.7448946622231098E-5</v>
      </c>
      <c r="BP38" s="100">
        <v>4.80304878921517E-5</v>
      </c>
      <c r="BQ38" s="101">
        <v>0</v>
      </c>
    </row>
    <row r="39" spans="1:69" ht="15" customHeight="1" x14ac:dyDescent="0.3">
      <c r="A39" s="33" t="s">
        <v>57</v>
      </c>
      <c r="B39" s="11" t="s">
        <v>125</v>
      </c>
      <c r="C39" s="99">
        <v>1.08995510913062E-5</v>
      </c>
      <c r="D39" s="100">
        <v>2.0148147869321999E-5</v>
      </c>
      <c r="E39" s="100">
        <v>5.8651483834089499E-6</v>
      </c>
      <c r="F39" s="100">
        <v>1.9740337549709901E-4</v>
      </c>
      <c r="G39" s="100">
        <v>3.77751137168271E-4</v>
      </c>
      <c r="H39" s="100">
        <v>5.6417622526018095E-4</v>
      </c>
      <c r="I39" s="100">
        <v>5.6905883820339699E-4</v>
      </c>
      <c r="J39" s="100">
        <v>1.5492815029742301E-5</v>
      </c>
      <c r="K39" s="100">
        <v>1.6054466183232699E-5</v>
      </c>
      <c r="L39" s="100">
        <v>2.7240722289217101E-5</v>
      </c>
      <c r="M39" s="100">
        <v>4.9258329912415002E-5</v>
      </c>
      <c r="N39" s="100">
        <v>6.1007365813302398E-6</v>
      </c>
      <c r="O39" s="100">
        <v>6.4726248195534197E-5</v>
      </c>
      <c r="P39" s="100">
        <v>1.1252670084605701E-5</v>
      </c>
      <c r="Q39" s="100">
        <v>5.0111187683581501E-5</v>
      </c>
      <c r="R39" s="100">
        <v>1.2809812111895099E-4</v>
      </c>
      <c r="S39" s="100">
        <v>2.9994619026467301E-5</v>
      </c>
      <c r="T39" s="100">
        <v>4.2141923192087202E-4</v>
      </c>
      <c r="U39" s="100">
        <v>5.4585979384584596E-6</v>
      </c>
      <c r="V39" s="100">
        <v>1.1283303546612E-5</v>
      </c>
      <c r="W39" s="100">
        <v>1.8578681350372201E-5</v>
      </c>
      <c r="X39" s="100">
        <v>5.7080179553490297E-5</v>
      </c>
      <c r="Y39" s="100">
        <v>4.7484375806870603E-5</v>
      </c>
      <c r="Z39" s="100">
        <v>2.2895364517300899E-5</v>
      </c>
      <c r="AA39" s="100">
        <v>1.6740646234753099E-4</v>
      </c>
      <c r="AB39" s="100">
        <v>8.3793390215871106E-5</v>
      </c>
      <c r="AC39" s="100">
        <v>4.2883785372710797E-5</v>
      </c>
      <c r="AD39" s="100">
        <v>1.8793964342987099E-4</v>
      </c>
      <c r="AE39" s="100">
        <v>2.0449682720683599E-4</v>
      </c>
      <c r="AF39" s="100">
        <v>1.7885616355695301E-3</v>
      </c>
      <c r="AG39" s="100">
        <v>6.2872287256913702E-4</v>
      </c>
      <c r="AH39" s="100">
        <v>2.3396002974864498E-3</v>
      </c>
      <c r="AI39" s="100">
        <v>0.122873466542037</v>
      </c>
      <c r="AJ39" s="100">
        <v>5.6349782319810901E-2</v>
      </c>
      <c r="AK39" s="100">
        <v>5.1182357208323197E-3</v>
      </c>
      <c r="AL39" s="100">
        <v>1.5205778923915901E-4</v>
      </c>
      <c r="AM39" s="100">
        <v>2.82994229127826E-3</v>
      </c>
      <c r="AN39" s="100">
        <v>5.9893284600950897E-5</v>
      </c>
      <c r="AO39" s="100">
        <v>4.5811372720822602E-5</v>
      </c>
      <c r="AP39" s="100">
        <v>1.9864494452627099E-4</v>
      </c>
      <c r="AQ39" s="100">
        <v>7.3954552559446704E-3</v>
      </c>
      <c r="AR39" s="100">
        <v>1.64807323641461E-2</v>
      </c>
      <c r="AS39" s="100">
        <v>1.19823848627026E-4</v>
      </c>
      <c r="AT39" s="100">
        <v>2.3704910462513699E-5</v>
      </c>
      <c r="AU39" s="100">
        <v>6.0593225782075403E-5</v>
      </c>
      <c r="AV39" s="100">
        <v>4.3945902237626102E-5</v>
      </c>
      <c r="AW39" s="100">
        <v>4.89078028197182E-5</v>
      </c>
      <c r="AX39" s="100">
        <v>4.6788769651924497E-6</v>
      </c>
      <c r="AY39" s="100">
        <v>1.81600885950962E-5</v>
      </c>
      <c r="AZ39" s="100">
        <v>2.5540479054996799E-5</v>
      </c>
      <c r="BA39" s="100">
        <v>5.3613932191428402E-5</v>
      </c>
      <c r="BB39" s="100">
        <v>8.0202716131109303E-7</v>
      </c>
      <c r="BC39" s="100">
        <v>5.9039682256436696E-6</v>
      </c>
      <c r="BD39" s="100">
        <v>1.8019097526025699E-5</v>
      </c>
      <c r="BE39" s="100">
        <v>4.2204676857772298E-4</v>
      </c>
      <c r="BF39" s="100">
        <v>8.2678598389686807E-6</v>
      </c>
      <c r="BG39" s="100">
        <v>1.8655172103417799E-3</v>
      </c>
      <c r="BH39" s="100">
        <v>5.7510315385128302E-5</v>
      </c>
      <c r="BI39" s="100">
        <v>5.7634715906343697E-6</v>
      </c>
      <c r="BJ39" s="100">
        <v>8.6962112351287601E-5</v>
      </c>
      <c r="BK39" s="100">
        <v>2.3858358670645401E-4</v>
      </c>
      <c r="BL39" s="100">
        <v>4.02444867695866E-6</v>
      </c>
      <c r="BM39" s="100">
        <v>5.2004979922211695E-4</v>
      </c>
      <c r="BN39" s="100">
        <v>1.13974449401343E-5</v>
      </c>
      <c r="BO39" s="100">
        <v>2.31026186790275E-5</v>
      </c>
      <c r="BP39" s="100">
        <v>4.7094925570680802E-5</v>
      </c>
      <c r="BQ39" s="101">
        <v>0</v>
      </c>
    </row>
    <row r="40" spans="1:69" ht="15" customHeight="1" x14ac:dyDescent="0.3">
      <c r="A40" s="33" t="s">
        <v>58</v>
      </c>
      <c r="B40" s="11" t="s">
        <v>126</v>
      </c>
      <c r="C40" s="99">
        <v>5.4943165657149201E-7</v>
      </c>
      <c r="D40" s="100">
        <v>1.38602782938133E-6</v>
      </c>
      <c r="E40" s="100">
        <v>2.8185512123218099E-6</v>
      </c>
      <c r="F40" s="100">
        <v>4.5182187112208203E-5</v>
      </c>
      <c r="G40" s="100">
        <v>8.2724933888556401E-5</v>
      </c>
      <c r="H40" s="100">
        <v>1.39431262309916E-4</v>
      </c>
      <c r="I40" s="100">
        <v>1.52630430766506E-4</v>
      </c>
      <c r="J40" s="100">
        <v>3.8803722626194696E-6</v>
      </c>
      <c r="K40" s="100">
        <v>1.05908765485023E-5</v>
      </c>
      <c r="L40" s="100">
        <v>2.9979819842021298E-6</v>
      </c>
      <c r="M40" s="100">
        <v>6.8862330441182698E-6</v>
      </c>
      <c r="N40" s="100">
        <v>1.4436203707887899E-6</v>
      </c>
      <c r="O40" s="100">
        <v>4.8933029519970404E-6</v>
      </c>
      <c r="P40" s="100">
        <v>4.4701775104778299E-5</v>
      </c>
      <c r="Q40" s="100">
        <v>1.7119060997418101E-5</v>
      </c>
      <c r="R40" s="100">
        <v>3.0609364227987002E-5</v>
      </c>
      <c r="S40" s="100">
        <v>2.32253577262421E-5</v>
      </c>
      <c r="T40" s="100">
        <v>5.3544621845560302E-5</v>
      </c>
      <c r="U40" s="100">
        <v>8.1837938214348096E-7</v>
      </c>
      <c r="V40" s="100">
        <v>9.1240867262842295E-6</v>
      </c>
      <c r="W40" s="100">
        <v>5.6143964510998897E-6</v>
      </c>
      <c r="X40" s="100">
        <v>5.4953969449843699E-6</v>
      </c>
      <c r="Y40" s="100">
        <v>3.89809348062081E-6</v>
      </c>
      <c r="Z40" s="100">
        <v>8.2560962420029707E-6</v>
      </c>
      <c r="AA40" s="100">
        <v>2.1321245157085399E-5</v>
      </c>
      <c r="AB40" s="100">
        <v>2.1630435255157699E-5</v>
      </c>
      <c r="AC40" s="100">
        <v>3.0881888610234303E-5</v>
      </c>
      <c r="AD40" s="100">
        <v>2.0687785895307199E-5</v>
      </c>
      <c r="AE40" s="100">
        <v>2.7384198061329501E-5</v>
      </c>
      <c r="AF40" s="100">
        <v>1.0400805242803999E-5</v>
      </c>
      <c r="AG40" s="100">
        <v>6.9189241291475994E-5</v>
      </c>
      <c r="AH40" s="100">
        <v>4.8831100944610303E-4</v>
      </c>
      <c r="AI40" s="100">
        <v>1.6028649456472201E-4</v>
      </c>
      <c r="AJ40" s="100">
        <v>7.7815025057024706E-5</v>
      </c>
      <c r="AK40" s="100">
        <v>0.336333059904253</v>
      </c>
      <c r="AL40" s="100">
        <v>4.3444247831994001E-5</v>
      </c>
      <c r="AM40" s="100">
        <v>4.2261683027772202E-2</v>
      </c>
      <c r="AN40" s="100">
        <v>4.9763630701153798E-6</v>
      </c>
      <c r="AO40" s="100">
        <v>1.8495408685732102E-5</v>
      </c>
      <c r="AP40" s="100">
        <v>2.5654350308995701E-5</v>
      </c>
      <c r="AQ40" s="100">
        <v>1.01293600197936E-4</v>
      </c>
      <c r="AR40" s="100">
        <v>2.5078088880812E-3</v>
      </c>
      <c r="AS40" s="100">
        <v>4.0800941886233601E-5</v>
      </c>
      <c r="AT40" s="100">
        <v>1.8588847437051599E-6</v>
      </c>
      <c r="AU40" s="100">
        <v>2.3678699530869499E-5</v>
      </c>
      <c r="AV40" s="100">
        <v>5.9916306596244199E-6</v>
      </c>
      <c r="AW40" s="100">
        <v>6.8373002774549098E-6</v>
      </c>
      <c r="AX40" s="100">
        <v>2.0377607878092201E-5</v>
      </c>
      <c r="AY40" s="100">
        <v>4.5617005919444799E-6</v>
      </c>
      <c r="AZ40" s="100">
        <v>4.4379307342115602E-6</v>
      </c>
      <c r="BA40" s="100">
        <v>7.4710734117369302E-6</v>
      </c>
      <c r="BB40" s="100">
        <v>5.9594744805692797E-7</v>
      </c>
      <c r="BC40" s="100">
        <v>9.3607410422831E-7</v>
      </c>
      <c r="BD40" s="100">
        <v>5.8900675948198598E-6</v>
      </c>
      <c r="BE40" s="100">
        <v>1.08254877655674E-5</v>
      </c>
      <c r="BF40" s="100">
        <v>5.8792666439745199E-6</v>
      </c>
      <c r="BG40" s="100">
        <v>3.3375084454294901E-5</v>
      </c>
      <c r="BH40" s="100">
        <v>1.42822098544283E-5</v>
      </c>
      <c r="BI40" s="100">
        <v>5.1611277771505202E-6</v>
      </c>
      <c r="BJ40" s="100">
        <v>2.8460714363145601E-5</v>
      </c>
      <c r="BK40" s="100">
        <v>4.2590790953421104E-6</v>
      </c>
      <c r="BL40" s="100">
        <v>6.4311747757504104E-7</v>
      </c>
      <c r="BM40" s="100">
        <v>3.0731533120172202E-5</v>
      </c>
      <c r="BN40" s="100">
        <v>4.8295077868490699E-5</v>
      </c>
      <c r="BO40" s="100">
        <v>1.66813760975589E-5</v>
      </c>
      <c r="BP40" s="100">
        <v>4.85097067434557E-4</v>
      </c>
      <c r="BQ40" s="101">
        <v>0</v>
      </c>
    </row>
    <row r="41" spans="1:69" ht="15" customHeight="1" x14ac:dyDescent="0.3">
      <c r="A41" s="33" t="s">
        <v>59</v>
      </c>
      <c r="B41" s="11" t="s">
        <v>127</v>
      </c>
      <c r="C41" s="99">
        <v>2.2073462801141001E-5</v>
      </c>
      <c r="D41" s="100">
        <v>3.7733965073559302E-5</v>
      </c>
      <c r="E41" s="100">
        <v>6.8947620356510901E-5</v>
      </c>
      <c r="F41" s="100">
        <v>1.1374093415397E-4</v>
      </c>
      <c r="G41" s="100">
        <v>2.09621346086861E-4</v>
      </c>
      <c r="H41" s="100">
        <v>2.4703882516207201E-4</v>
      </c>
      <c r="I41" s="100">
        <v>2.1353629321301299E-4</v>
      </c>
      <c r="J41" s="100">
        <v>2.6077767400068998E-5</v>
      </c>
      <c r="K41" s="100">
        <v>5.7681149091800902E-5</v>
      </c>
      <c r="L41" s="100">
        <v>4.6819557214104698E-5</v>
      </c>
      <c r="M41" s="100">
        <v>7.2682229670132894E-5</v>
      </c>
      <c r="N41" s="100">
        <v>1.04445673344458E-5</v>
      </c>
      <c r="O41" s="100">
        <v>5.8990054329269997E-4</v>
      </c>
      <c r="P41" s="100">
        <v>6.6662276154078499E-3</v>
      </c>
      <c r="Q41" s="100">
        <v>2.3128972913380799E-3</v>
      </c>
      <c r="R41" s="100">
        <v>2.07088538369589E-4</v>
      </c>
      <c r="S41" s="100">
        <v>8.0189863439155502E-5</v>
      </c>
      <c r="T41" s="100">
        <v>5.9740801400040696E-4</v>
      </c>
      <c r="U41" s="100">
        <v>1.2180132956534E-5</v>
      </c>
      <c r="V41" s="100">
        <v>8.7040757357147306E-6</v>
      </c>
      <c r="W41" s="100">
        <v>2.4905029220365099E-4</v>
      </c>
      <c r="X41" s="100">
        <v>2.7397485995822601E-4</v>
      </c>
      <c r="Y41" s="100">
        <v>1.3012275090297401E-4</v>
      </c>
      <c r="Z41" s="100">
        <v>8.3024575630139799E-4</v>
      </c>
      <c r="AA41" s="100">
        <v>5.6113149320326195E-4</v>
      </c>
      <c r="AB41" s="100">
        <v>4.6919022619149698E-4</v>
      </c>
      <c r="AC41" s="100">
        <v>2.97677066081862E-5</v>
      </c>
      <c r="AD41" s="100">
        <v>7.3615884127568295E-5</v>
      </c>
      <c r="AE41" s="100">
        <v>1.38129615043618E-4</v>
      </c>
      <c r="AF41" s="100">
        <v>9.0331348426070997E-4</v>
      </c>
      <c r="AG41" s="100">
        <v>2.40485944845062E-4</v>
      </c>
      <c r="AH41" s="100">
        <v>1.6914063482209099E-3</v>
      </c>
      <c r="AI41" s="100">
        <v>5.3741791380754005E-4</v>
      </c>
      <c r="AJ41" s="100">
        <v>1.61449260836424E-3</v>
      </c>
      <c r="AK41" s="100">
        <v>1.6153546995709199E-3</v>
      </c>
      <c r="AL41" s="100">
        <v>1.6132019603890602E-2</v>
      </c>
      <c r="AM41" s="100">
        <v>1.30323802445717E-3</v>
      </c>
      <c r="AN41" s="100">
        <v>5.1276765770477202E-5</v>
      </c>
      <c r="AO41" s="100">
        <v>1.9654544445444301E-4</v>
      </c>
      <c r="AP41" s="100">
        <v>3.8241995586573899E-4</v>
      </c>
      <c r="AQ41" s="100">
        <v>1.63884824105723E-4</v>
      </c>
      <c r="AR41" s="100">
        <v>1.05954671952177E-4</v>
      </c>
      <c r="AS41" s="100">
        <v>1.44312278748278E-3</v>
      </c>
      <c r="AT41" s="100">
        <v>7.0942689093251503E-6</v>
      </c>
      <c r="AU41" s="100">
        <v>5.4876341230371099E-4</v>
      </c>
      <c r="AV41" s="100">
        <v>9.7980354363325E-5</v>
      </c>
      <c r="AW41" s="100">
        <v>4.8743929053080301E-5</v>
      </c>
      <c r="AX41" s="100">
        <v>1.01519232265541E-5</v>
      </c>
      <c r="AY41" s="100">
        <v>3.0289671672871401E-4</v>
      </c>
      <c r="AZ41" s="100">
        <v>5.0666770064036501E-6</v>
      </c>
      <c r="BA41" s="100">
        <v>1.6044555616724599E-4</v>
      </c>
      <c r="BB41" s="100">
        <v>7.6212681948793504E-5</v>
      </c>
      <c r="BC41" s="100">
        <v>6.2984309893064503E-5</v>
      </c>
      <c r="BD41" s="100">
        <v>3.3301530062527298E-4</v>
      </c>
      <c r="BE41" s="100">
        <v>2.1791872152831099E-3</v>
      </c>
      <c r="BF41" s="100">
        <v>8.7188237696221203E-4</v>
      </c>
      <c r="BG41" s="100">
        <v>2.93240647758738E-3</v>
      </c>
      <c r="BH41" s="100">
        <v>1.6557367172654201E-4</v>
      </c>
      <c r="BI41" s="100">
        <v>1.62795833373167E-4</v>
      </c>
      <c r="BJ41" s="100">
        <v>5.2872298081121002E-5</v>
      </c>
      <c r="BK41" s="100">
        <v>8.96844599451249E-4</v>
      </c>
      <c r="BL41" s="100">
        <v>7.4763551634565394E-5</v>
      </c>
      <c r="BM41" s="100">
        <v>5.9434088828988103E-3</v>
      </c>
      <c r="BN41" s="100">
        <v>1.0152397499103599E-2</v>
      </c>
      <c r="BO41" s="100">
        <v>1.15898625477576E-3</v>
      </c>
      <c r="BP41" s="100">
        <v>2.6105978348491899E-4</v>
      </c>
      <c r="BQ41" s="101">
        <v>0</v>
      </c>
    </row>
    <row r="42" spans="1:69" ht="15" customHeight="1" x14ac:dyDescent="0.3">
      <c r="A42" s="33" t="s">
        <v>60</v>
      </c>
      <c r="B42" s="11" t="s">
        <v>128</v>
      </c>
      <c r="C42" s="99">
        <v>3.0099061283878899E-5</v>
      </c>
      <c r="D42" s="100">
        <v>3.2565091507012997E-5</v>
      </c>
      <c r="E42" s="100">
        <v>2.7729108608915603E-4</v>
      </c>
      <c r="F42" s="100">
        <v>4.3316580128341499E-3</v>
      </c>
      <c r="G42" s="100">
        <v>7.5627657362285501E-4</v>
      </c>
      <c r="H42" s="100">
        <v>1.5790864035476299E-3</v>
      </c>
      <c r="I42" s="100">
        <v>3.2733156688421298E-3</v>
      </c>
      <c r="J42" s="100">
        <v>3.8633333746728799E-4</v>
      </c>
      <c r="K42" s="100">
        <v>1.44085793136729E-3</v>
      </c>
      <c r="L42" s="100">
        <v>1.9137707327308899E-4</v>
      </c>
      <c r="M42" s="100">
        <v>5.3425193327331802E-4</v>
      </c>
      <c r="N42" s="100">
        <v>1.25425607933066E-4</v>
      </c>
      <c r="O42" s="100">
        <v>2.4911838921219101E-4</v>
      </c>
      <c r="P42" s="100">
        <v>4.2087053356541603E-4</v>
      </c>
      <c r="Q42" s="100">
        <v>4.1555445771706E-4</v>
      </c>
      <c r="R42" s="100">
        <v>2.09818408786821E-3</v>
      </c>
      <c r="S42" s="100">
        <v>3.3459995997551701E-3</v>
      </c>
      <c r="T42" s="100">
        <v>7.6486817576640704E-3</v>
      </c>
      <c r="U42" s="100">
        <v>1.0046086964802E-4</v>
      </c>
      <c r="V42" s="100">
        <v>1.2825323362738799E-3</v>
      </c>
      <c r="W42" s="100">
        <v>5.82121855564348E-4</v>
      </c>
      <c r="X42" s="100">
        <v>5.4385835751428601E-4</v>
      </c>
      <c r="Y42" s="100">
        <v>1.7579333996856701E-4</v>
      </c>
      <c r="Z42" s="100">
        <v>9.2424233443721396E-4</v>
      </c>
      <c r="AA42" s="100">
        <v>4.5454822977124802E-4</v>
      </c>
      <c r="AB42" s="100">
        <v>2.4647222649329999E-3</v>
      </c>
      <c r="AC42" s="100">
        <v>4.3207011408911604E-3</v>
      </c>
      <c r="AD42" s="100">
        <v>2.8673286971604801E-3</v>
      </c>
      <c r="AE42" s="100">
        <v>6.3946562039984898E-4</v>
      </c>
      <c r="AF42" s="100">
        <v>6.7652287240359298E-4</v>
      </c>
      <c r="AG42" s="100">
        <v>9.9083144505991792E-4</v>
      </c>
      <c r="AH42" s="100">
        <v>1.61817407100118E-3</v>
      </c>
      <c r="AI42" s="100">
        <v>1.7481159814199899E-4</v>
      </c>
      <c r="AJ42" s="100">
        <v>6.4691861358868205E-4</v>
      </c>
      <c r="AK42" s="100">
        <v>7.2162498963678498E-4</v>
      </c>
      <c r="AL42" s="100">
        <v>1.00867768811285E-3</v>
      </c>
      <c r="AM42" s="100">
        <v>1.4533684316734199E-3</v>
      </c>
      <c r="AN42" s="100">
        <v>1.2419448204017299E-4</v>
      </c>
      <c r="AO42" s="100">
        <v>1.81583060657925E-3</v>
      </c>
      <c r="AP42" s="100">
        <v>4.85097541964722E-4</v>
      </c>
      <c r="AQ42" s="100">
        <v>4.6645260601933499E-4</v>
      </c>
      <c r="AR42" s="100">
        <v>1.00614745679849E-4</v>
      </c>
      <c r="AS42" s="100">
        <v>1.32450898504537E-3</v>
      </c>
      <c r="AT42" s="100">
        <v>2.77970944091165E-4</v>
      </c>
      <c r="AU42" s="100">
        <v>2.5625986282539199E-3</v>
      </c>
      <c r="AV42" s="100">
        <v>4.3716949449480699E-5</v>
      </c>
      <c r="AW42" s="100">
        <v>7.9481203703610193E-5</v>
      </c>
      <c r="AX42" s="100">
        <v>3.0802275701902701E-3</v>
      </c>
      <c r="AY42" s="100">
        <v>4.1893082239360003E-4</v>
      </c>
      <c r="AZ42" s="100">
        <v>3.4116203148378801E-4</v>
      </c>
      <c r="BA42" s="100">
        <v>1.0022796314237499E-3</v>
      </c>
      <c r="BB42" s="100">
        <v>2.7166805159507199E-5</v>
      </c>
      <c r="BC42" s="100">
        <v>3.5182998543240101E-5</v>
      </c>
      <c r="BD42" s="100">
        <v>4.7069331975972299E-4</v>
      </c>
      <c r="BE42" s="100">
        <v>5.6358007724777105E-4</v>
      </c>
      <c r="BF42" s="100">
        <v>1.77819575533352E-4</v>
      </c>
      <c r="BG42" s="100">
        <v>2.36539608336205E-3</v>
      </c>
      <c r="BH42" s="100">
        <v>6.1020818822367004E-4</v>
      </c>
      <c r="BI42" s="100">
        <v>5.9488623852663701E-4</v>
      </c>
      <c r="BJ42" s="100">
        <v>2.2504945215164998E-5</v>
      </c>
      <c r="BK42" s="100">
        <v>9.1999831260999008E-6</v>
      </c>
      <c r="BL42" s="100">
        <v>9.88912964589079E-7</v>
      </c>
      <c r="BM42" s="100">
        <v>4.0452481880534097E-5</v>
      </c>
      <c r="BN42" s="100">
        <v>1.3348639754271901E-5</v>
      </c>
      <c r="BO42" s="100">
        <v>1.6082958729478601E-3</v>
      </c>
      <c r="BP42" s="100">
        <v>3.8866346466740701E-4</v>
      </c>
      <c r="BQ42" s="101">
        <v>0</v>
      </c>
    </row>
    <row r="43" spans="1:69" ht="15" customHeight="1" x14ac:dyDescent="0.3">
      <c r="A43" s="33" t="s">
        <v>61</v>
      </c>
      <c r="B43" s="11" t="s">
        <v>129</v>
      </c>
      <c r="C43" s="99">
        <v>0</v>
      </c>
      <c r="D43" s="100">
        <v>0</v>
      </c>
      <c r="E43" s="100">
        <v>0</v>
      </c>
      <c r="F43" s="100">
        <v>2.47046627519898E-6</v>
      </c>
      <c r="G43" s="100">
        <v>1.48657564534867E-6</v>
      </c>
      <c r="H43" s="100">
        <v>1.30600279442726E-6</v>
      </c>
      <c r="I43" s="100">
        <v>2.4894088163424902E-6</v>
      </c>
      <c r="J43" s="100">
        <v>3.5538730261658899E-6</v>
      </c>
      <c r="K43" s="100">
        <v>5.4499027234345702E-6</v>
      </c>
      <c r="L43" s="100">
        <v>2.7468525303264701E-6</v>
      </c>
      <c r="M43" s="100">
        <v>1.69372990599639E-6</v>
      </c>
      <c r="N43" s="100">
        <v>4.0364421828048803E-6</v>
      </c>
      <c r="O43" s="100">
        <v>4.9977957785394799E-6</v>
      </c>
      <c r="P43" s="100">
        <v>8.8448621123912805E-6</v>
      </c>
      <c r="Q43" s="100">
        <v>5.9584339932600903E-6</v>
      </c>
      <c r="R43" s="100">
        <v>1.6568770139393201E-6</v>
      </c>
      <c r="S43" s="100">
        <v>2.8206580509703601E-6</v>
      </c>
      <c r="T43" s="100">
        <v>4.7507192912416397E-6</v>
      </c>
      <c r="U43" s="100">
        <v>8.5228565242515201E-7</v>
      </c>
      <c r="V43" s="100">
        <v>6.5257179278955997E-6</v>
      </c>
      <c r="W43" s="100">
        <v>1.45564746940552E-6</v>
      </c>
      <c r="X43" s="100">
        <v>2.5904014440843602E-6</v>
      </c>
      <c r="Y43" s="100">
        <v>4.5744864417899E-6</v>
      </c>
      <c r="Z43" s="100">
        <v>4.0425458330454302E-6</v>
      </c>
      <c r="AA43" s="100">
        <v>5.2801588041236896E-6</v>
      </c>
      <c r="AB43" s="100">
        <v>3.2276740754012502E-6</v>
      </c>
      <c r="AC43" s="100">
        <v>2.2946440463899798E-6</v>
      </c>
      <c r="AD43" s="100">
        <v>5.9185857220706699E-8</v>
      </c>
      <c r="AE43" s="100">
        <v>2.4427953115116898E-6</v>
      </c>
      <c r="AF43" s="100">
        <v>1.47065862917801E-6</v>
      </c>
      <c r="AG43" s="100">
        <v>2.3518032869020799E-6</v>
      </c>
      <c r="AH43" s="100">
        <v>3.0884729149941299E-6</v>
      </c>
      <c r="AI43" s="100">
        <v>6.7488898341413404E-7</v>
      </c>
      <c r="AJ43" s="100">
        <v>2.4467096026234498E-6</v>
      </c>
      <c r="AK43" s="100">
        <v>5.5921142348640202E-6</v>
      </c>
      <c r="AL43" s="100">
        <v>5.41287066283217E-6</v>
      </c>
      <c r="AM43" s="100">
        <v>9.865090599830111E-7</v>
      </c>
      <c r="AN43" s="100">
        <v>3.399492297211E-2</v>
      </c>
      <c r="AO43" s="100">
        <v>4.1805727443225896E-6</v>
      </c>
      <c r="AP43" s="100">
        <v>1.43975744190341E-5</v>
      </c>
      <c r="AQ43" s="100">
        <v>5.24477170393507E-5</v>
      </c>
      <c r="AR43" s="100">
        <v>1.23520365262363E-5</v>
      </c>
      <c r="AS43" s="100">
        <v>2.6513598761046698E-6</v>
      </c>
      <c r="AT43" s="100">
        <v>1.1181314371919201E-4</v>
      </c>
      <c r="AU43" s="100">
        <v>3.2026554006013002E-5</v>
      </c>
      <c r="AV43" s="100">
        <v>4.4532106308464202E-5</v>
      </c>
      <c r="AW43" s="100">
        <v>1.06040838691799E-4</v>
      </c>
      <c r="AX43" s="100">
        <v>1.21469797472664E-5</v>
      </c>
      <c r="AY43" s="100">
        <v>1.8152766291623602E-5</v>
      </c>
      <c r="AZ43" s="100">
        <v>1.72369646350237E-5</v>
      </c>
      <c r="BA43" s="100">
        <v>3.7272134182627898E-5</v>
      </c>
      <c r="BB43" s="100">
        <v>7.2377465523225303E-6</v>
      </c>
      <c r="BC43" s="100">
        <v>2.71574085298274E-5</v>
      </c>
      <c r="BD43" s="100">
        <v>8.4122377825986797E-5</v>
      </c>
      <c r="BE43" s="100">
        <v>1.00080270116594E-4</v>
      </c>
      <c r="BF43" s="100">
        <v>5.41161504008476E-5</v>
      </c>
      <c r="BG43" s="100">
        <v>2.4077252185475599E-4</v>
      </c>
      <c r="BH43" s="100">
        <v>7.9444580078290395E-5</v>
      </c>
      <c r="BI43" s="100">
        <v>1.1031209397628701E-5</v>
      </c>
      <c r="BJ43" s="100">
        <v>1.38322438432564E-6</v>
      </c>
      <c r="BK43" s="100">
        <v>3.4612380894890298E-7</v>
      </c>
      <c r="BL43" s="100">
        <v>4.7063670549679598E-5</v>
      </c>
      <c r="BM43" s="100">
        <v>0</v>
      </c>
      <c r="BN43" s="100">
        <v>2.5881748060790899E-5</v>
      </c>
      <c r="BO43" s="100">
        <v>1.2533639326070599E-4</v>
      </c>
      <c r="BP43" s="100">
        <v>5.8508254844229801E-5</v>
      </c>
      <c r="BQ43" s="101">
        <v>0</v>
      </c>
    </row>
    <row r="44" spans="1:69" ht="15" customHeight="1" x14ac:dyDescent="0.3">
      <c r="A44" s="33" t="s">
        <v>62</v>
      </c>
      <c r="B44" s="11" t="s">
        <v>130</v>
      </c>
      <c r="C44" s="99">
        <v>0</v>
      </c>
      <c r="D44" s="100">
        <v>0</v>
      </c>
      <c r="E44" s="100">
        <v>0</v>
      </c>
      <c r="F44" s="100">
        <v>1.16196078219497E-7</v>
      </c>
      <c r="G44" s="100">
        <v>7.5390461109835398E-6</v>
      </c>
      <c r="H44" s="100">
        <v>6.1324382931740804E-8</v>
      </c>
      <c r="I44" s="100">
        <v>3.04464252732565E-7</v>
      </c>
      <c r="J44" s="100">
        <v>2.69714576168716E-6</v>
      </c>
      <c r="K44" s="100">
        <v>1.48853857574376E-6</v>
      </c>
      <c r="L44" s="100">
        <v>7.1430794438282702E-7</v>
      </c>
      <c r="M44" s="100">
        <v>9.7748059773220907E-8</v>
      </c>
      <c r="N44" s="100">
        <v>1.8341263026011901E-7</v>
      </c>
      <c r="O44" s="100">
        <v>3.2089460921763199E-7</v>
      </c>
      <c r="P44" s="100">
        <v>5.4111629757307796E-7</v>
      </c>
      <c r="Q44" s="100">
        <v>3.5858026376398399E-7</v>
      </c>
      <c r="R44" s="100">
        <v>2.85196958568766E-6</v>
      </c>
      <c r="S44" s="100">
        <v>8.7361678656930501E-6</v>
      </c>
      <c r="T44" s="100">
        <v>7.3880389879422402E-7</v>
      </c>
      <c r="U44" s="100">
        <v>9.8480566121675298E-8</v>
      </c>
      <c r="V44" s="100">
        <v>5.1391556878629296E-7</v>
      </c>
      <c r="W44" s="100">
        <v>2.1877613244098E-6</v>
      </c>
      <c r="X44" s="100">
        <v>2.15759216979638E-7</v>
      </c>
      <c r="Y44" s="100">
        <v>6.6907304491066897E-7</v>
      </c>
      <c r="Z44" s="100">
        <v>2.0312060676659201E-7</v>
      </c>
      <c r="AA44" s="100">
        <v>4.5861271117294199E-7</v>
      </c>
      <c r="AB44" s="100">
        <v>7.6875032560149997E-7</v>
      </c>
      <c r="AC44" s="100">
        <v>9.3145687908869405E-7</v>
      </c>
      <c r="AD44" s="100">
        <v>1.02307277103974E-7</v>
      </c>
      <c r="AE44" s="100">
        <v>2.5874973177193002E-7</v>
      </c>
      <c r="AF44" s="100">
        <v>2.5723754911852802E-7</v>
      </c>
      <c r="AG44" s="100">
        <v>3.4136164420141598E-7</v>
      </c>
      <c r="AH44" s="100">
        <v>1.0267687017227401E-6</v>
      </c>
      <c r="AI44" s="100">
        <v>5.2215703847438097E-7</v>
      </c>
      <c r="AJ44" s="100">
        <v>5.5019696970485302E-7</v>
      </c>
      <c r="AK44" s="100">
        <v>1.8591104978493199E-6</v>
      </c>
      <c r="AL44" s="100">
        <v>2.5187981686910098E-7</v>
      </c>
      <c r="AM44" s="100">
        <v>4.6627859168266103E-8</v>
      </c>
      <c r="AN44" s="100">
        <v>1.08756444875742E-7</v>
      </c>
      <c r="AO44" s="100">
        <v>1.9784756077604601E-7</v>
      </c>
      <c r="AP44" s="100">
        <v>6.8749446862960396E-7</v>
      </c>
      <c r="AQ44" s="100">
        <v>3.0495591880076502E-6</v>
      </c>
      <c r="AR44" s="100">
        <v>1.9410374982737399E-6</v>
      </c>
      <c r="AS44" s="100">
        <v>2.7316547136220601E-5</v>
      </c>
      <c r="AT44" s="100">
        <v>1.5631407192059199E-7</v>
      </c>
      <c r="AU44" s="100">
        <v>1.7780769570839E-6</v>
      </c>
      <c r="AV44" s="100">
        <v>2.1091219912807898E-6</v>
      </c>
      <c r="AW44" s="100">
        <v>5.0592933346944101E-6</v>
      </c>
      <c r="AX44" s="100">
        <v>5.6421825547615796E-7</v>
      </c>
      <c r="AY44" s="100">
        <v>8.8835452687905698E-7</v>
      </c>
      <c r="AZ44" s="100">
        <v>8.0768602332880901E-7</v>
      </c>
      <c r="BA44" s="100">
        <v>1.83082894385413E-6</v>
      </c>
      <c r="BB44" s="100">
        <v>6.0015449090774403E-8</v>
      </c>
      <c r="BC44" s="100">
        <v>1.2862245311214601E-6</v>
      </c>
      <c r="BD44" s="100">
        <v>3.9833623890385202E-6</v>
      </c>
      <c r="BE44" s="100">
        <v>4.7818269483175997E-6</v>
      </c>
      <c r="BF44" s="100">
        <v>2.56176732549053E-6</v>
      </c>
      <c r="BG44" s="100">
        <v>1.1403426939261601E-5</v>
      </c>
      <c r="BH44" s="100">
        <v>4.2127624555128001E-6</v>
      </c>
      <c r="BI44" s="100">
        <v>5.2163750267576405E-7</v>
      </c>
      <c r="BJ44" s="100">
        <v>6.5512036364256602E-8</v>
      </c>
      <c r="BK44" s="100">
        <v>1.6393056553474698E-8</v>
      </c>
      <c r="BL44" s="100">
        <v>2.2568425483018901E-6</v>
      </c>
      <c r="BM44" s="100">
        <v>0</v>
      </c>
      <c r="BN44" s="100">
        <v>1.225806918489E-6</v>
      </c>
      <c r="BO44" s="100">
        <v>5.9359353635182104E-6</v>
      </c>
      <c r="BP44" s="100">
        <v>2.7709895399966398E-6</v>
      </c>
      <c r="BQ44" s="101">
        <v>0</v>
      </c>
    </row>
    <row r="45" spans="1:69" ht="15" customHeight="1" x14ac:dyDescent="0.3">
      <c r="A45" s="33" t="s">
        <v>63</v>
      </c>
      <c r="B45" s="11" t="s">
        <v>131</v>
      </c>
      <c r="C45" s="99">
        <v>1.14629643960178E-5</v>
      </c>
      <c r="D45" s="100">
        <v>3.7767202336563902E-6</v>
      </c>
      <c r="E45" s="100">
        <v>2.1339258706359798E-5</v>
      </c>
      <c r="F45" s="100">
        <v>8.1128538458664904E-5</v>
      </c>
      <c r="G45" s="100">
        <v>3.21588694088054E-4</v>
      </c>
      <c r="H45" s="100">
        <v>1.4601768710136099E-4</v>
      </c>
      <c r="I45" s="100">
        <v>9.8143213800750797E-5</v>
      </c>
      <c r="J45" s="100">
        <v>1.09142464482174E-5</v>
      </c>
      <c r="K45" s="100">
        <v>7.1969758543264295E-5</v>
      </c>
      <c r="L45" s="100">
        <v>2.9855498390762099E-5</v>
      </c>
      <c r="M45" s="100">
        <v>3.8233358691845497E-5</v>
      </c>
      <c r="N45" s="100">
        <v>5.0614060962834397E-5</v>
      </c>
      <c r="O45" s="100">
        <v>8.3822357744883496E-6</v>
      </c>
      <c r="P45" s="100">
        <v>1.9825318340278201E-5</v>
      </c>
      <c r="Q45" s="100">
        <v>1.7858521641976899E-5</v>
      </c>
      <c r="R45" s="100">
        <v>3.5749423591298701E-5</v>
      </c>
      <c r="S45" s="100">
        <v>7.25417407416673E-5</v>
      </c>
      <c r="T45" s="100">
        <v>5.73508932142534E-5</v>
      </c>
      <c r="U45" s="100">
        <v>1.02048392195643E-5</v>
      </c>
      <c r="V45" s="100">
        <v>1.44331874045438E-5</v>
      </c>
      <c r="W45" s="100">
        <v>2.7818513225131302E-5</v>
      </c>
      <c r="X45" s="100">
        <v>5.6442232182674602E-5</v>
      </c>
      <c r="Y45" s="100">
        <v>1.7259677286490701E-5</v>
      </c>
      <c r="Z45" s="100">
        <v>2.6214302939241899E-5</v>
      </c>
      <c r="AA45" s="100">
        <v>6.3336508899362407E-5</v>
      </c>
      <c r="AB45" s="100">
        <v>3.4061676943817697E-5</v>
      </c>
      <c r="AC45" s="100">
        <v>2.0219183593405799E-5</v>
      </c>
      <c r="AD45" s="100">
        <v>2.43915189938251E-5</v>
      </c>
      <c r="AE45" s="100">
        <v>4.2906806350845597E-5</v>
      </c>
      <c r="AF45" s="100">
        <v>5.5648746262237403E-5</v>
      </c>
      <c r="AG45" s="100">
        <v>2.15277991117057E-5</v>
      </c>
      <c r="AH45" s="100">
        <v>4.57146183305261E-5</v>
      </c>
      <c r="AI45" s="100">
        <v>1.1787961112716E-4</v>
      </c>
      <c r="AJ45" s="100">
        <v>6.09557777813961E-5</v>
      </c>
      <c r="AK45" s="100">
        <v>1.6033828682318101E-4</v>
      </c>
      <c r="AL45" s="100">
        <v>2.7681765462428199E-5</v>
      </c>
      <c r="AM45" s="100">
        <v>3.4778913100601001E-5</v>
      </c>
      <c r="AN45" s="100">
        <v>1.1196231805840599E-5</v>
      </c>
      <c r="AO45" s="100">
        <v>1.5456683056852799E-4</v>
      </c>
      <c r="AP45" s="100">
        <v>4.1820744429110204E-3</v>
      </c>
      <c r="AQ45" s="100">
        <v>8.5686185630715896E-5</v>
      </c>
      <c r="AR45" s="100">
        <v>8.0797310335232304E-5</v>
      </c>
      <c r="AS45" s="100">
        <v>3.8892629486293701E-4</v>
      </c>
      <c r="AT45" s="100">
        <v>4.6773605679371498E-4</v>
      </c>
      <c r="AU45" s="100">
        <v>1.28729249713503E-4</v>
      </c>
      <c r="AV45" s="100">
        <v>4.8173104232873398E-5</v>
      </c>
      <c r="AW45" s="100">
        <v>8.97820046339324E-5</v>
      </c>
      <c r="AX45" s="100">
        <v>5.0514331850190399E-4</v>
      </c>
      <c r="AY45" s="100">
        <v>3.4062805308794999E-4</v>
      </c>
      <c r="AZ45" s="100">
        <v>1.95347779376074E-4</v>
      </c>
      <c r="BA45" s="100">
        <v>2.28994080856532E-4</v>
      </c>
      <c r="BB45" s="100">
        <v>1.50243253751546E-5</v>
      </c>
      <c r="BC45" s="100">
        <v>1.0894002598874799E-5</v>
      </c>
      <c r="BD45" s="100">
        <v>4.6454310004323399E-5</v>
      </c>
      <c r="BE45" s="100">
        <v>1.3761569253626399E-4</v>
      </c>
      <c r="BF45" s="100">
        <v>4.2922955744500997E-5</v>
      </c>
      <c r="BG45" s="100">
        <v>2.96895434490795E-4</v>
      </c>
      <c r="BH45" s="100">
        <v>5.4364150667999097E-5</v>
      </c>
      <c r="BI45" s="100">
        <v>6.4915232280777496E-5</v>
      </c>
      <c r="BJ45" s="100">
        <v>2.09627593978773E-4</v>
      </c>
      <c r="BK45" s="100">
        <v>1.8222682895174399E-5</v>
      </c>
      <c r="BL45" s="100">
        <v>1.62576818068198E-4</v>
      </c>
      <c r="BM45" s="100">
        <v>3.97945671317029E-5</v>
      </c>
      <c r="BN45" s="100">
        <v>2.3602137353717201E-5</v>
      </c>
      <c r="BO45" s="100">
        <v>1.3290275044244E-4</v>
      </c>
      <c r="BP45" s="100">
        <v>2.9612141477144999E-5</v>
      </c>
      <c r="BQ45" s="101">
        <v>0</v>
      </c>
    </row>
    <row r="46" spans="1:69" ht="15" customHeight="1" x14ac:dyDescent="0.3">
      <c r="A46" s="33" t="s">
        <v>64</v>
      </c>
      <c r="B46" s="11" t="s">
        <v>132</v>
      </c>
      <c r="C46" s="99">
        <v>4.4259482747655899E-4</v>
      </c>
      <c r="D46" s="100">
        <v>5.9907171927765204E-4</v>
      </c>
      <c r="E46" s="100">
        <v>2.27420601663269E-4</v>
      </c>
      <c r="F46" s="100">
        <v>8.2005438754987898E-4</v>
      </c>
      <c r="G46" s="100">
        <v>2.0162807098905201E-3</v>
      </c>
      <c r="H46" s="100">
        <v>1.2222687478253599E-3</v>
      </c>
      <c r="I46" s="100">
        <v>1.1840731955066999E-3</v>
      </c>
      <c r="J46" s="100">
        <v>1.611311598776E-3</v>
      </c>
      <c r="K46" s="100">
        <v>9.1736455566925198E-4</v>
      </c>
      <c r="L46" s="100">
        <v>1.7999898667735801E-3</v>
      </c>
      <c r="M46" s="100">
        <v>7.55236626423448E-4</v>
      </c>
      <c r="N46" s="100">
        <v>1.09649543182496E-3</v>
      </c>
      <c r="O46" s="100">
        <v>6.50728619812338E-4</v>
      </c>
      <c r="P46" s="100">
        <v>8.7136228925653299E-4</v>
      </c>
      <c r="Q46" s="100">
        <v>1.28318023053671E-3</v>
      </c>
      <c r="R46" s="100">
        <v>1.14713759526848E-3</v>
      </c>
      <c r="S46" s="100">
        <v>1.87811791059026E-3</v>
      </c>
      <c r="T46" s="100">
        <v>1.6653843927339599E-3</v>
      </c>
      <c r="U46" s="100">
        <v>1.2273102407922599E-3</v>
      </c>
      <c r="V46" s="100">
        <v>1.0322274662381799E-3</v>
      </c>
      <c r="W46" s="100">
        <v>6.58057307630305E-4</v>
      </c>
      <c r="X46" s="100">
        <v>1.6373224787168299E-3</v>
      </c>
      <c r="Y46" s="100">
        <v>5.6123053277044204E-4</v>
      </c>
      <c r="Z46" s="100">
        <v>1.19805240723582E-2</v>
      </c>
      <c r="AA46" s="100">
        <v>1.3566091410075699E-3</v>
      </c>
      <c r="AB46" s="100">
        <v>1.3067828053470599E-3</v>
      </c>
      <c r="AC46" s="100">
        <v>9.3275499871707404E-4</v>
      </c>
      <c r="AD46" s="100">
        <v>8.2585664100964795E-4</v>
      </c>
      <c r="AE46" s="100">
        <v>1.0279665679365101E-3</v>
      </c>
      <c r="AF46" s="100">
        <v>3.3609413775260899E-3</v>
      </c>
      <c r="AG46" s="100">
        <v>1.2035836567378E-3</v>
      </c>
      <c r="AH46" s="100">
        <v>2.7266346018314101E-3</v>
      </c>
      <c r="AI46" s="100">
        <v>1.95948193195041E-3</v>
      </c>
      <c r="AJ46" s="100">
        <v>1.0884162826370399E-3</v>
      </c>
      <c r="AK46" s="100">
        <v>1.1303073512251799E-3</v>
      </c>
      <c r="AL46" s="100">
        <v>1.37812498281176E-3</v>
      </c>
      <c r="AM46" s="100">
        <v>1.67459776365868E-3</v>
      </c>
      <c r="AN46" s="100">
        <v>1.12811331857474E-4</v>
      </c>
      <c r="AO46" s="100">
        <v>9.1897644913808204E-4</v>
      </c>
      <c r="AP46" s="100">
        <v>4.2468166753003499E-4</v>
      </c>
      <c r="AQ46" s="100">
        <v>8.4454575866150204E-4</v>
      </c>
      <c r="AR46" s="100">
        <v>5.9393680840546701E-4</v>
      </c>
      <c r="AS46" s="100">
        <v>2.3796245394228899E-3</v>
      </c>
      <c r="AT46" s="100">
        <v>2.96819331006731E-3</v>
      </c>
      <c r="AU46" s="100">
        <v>8.8224076543053597E-4</v>
      </c>
      <c r="AV46" s="100">
        <v>3.6227455529199299E-4</v>
      </c>
      <c r="AW46" s="100">
        <v>1.4716210136672401E-3</v>
      </c>
      <c r="AX46" s="100">
        <v>3.7247693589598499E-3</v>
      </c>
      <c r="AY46" s="100">
        <v>2.7491879324166202E-3</v>
      </c>
      <c r="AZ46" s="100">
        <v>1.8859953297257401E-3</v>
      </c>
      <c r="BA46" s="100">
        <v>2.2390904988963999E-3</v>
      </c>
      <c r="BB46" s="100">
        <v>1.56798312226166E-4</v>
      </c>
      <c r="BC46" s="100">
        <v>2.9770393436211901E-5</v>
      </c>
      <c r="BD46" s="100">
        <v>4.3302720040486301E-4</v>
      </c>
      <c r="BE46" s="100">
        <v>1.53348700114609E-3</v>
      </c>
      <c r="BF46" s="100">
        <v>6.1692340931016705E-4</v>
      </c>
      <c r="BG46" s="100">
        <v>1.42898199200939E-3</v>
      </c>
      <c r="BH46" s="100">
        <v>4.8234911917124999E-4</v>
      </c>
      <c r="BI46" s="100">
        <v>5.1534721106393303E-4</v>
      </c>
      <c r="BJ46" s="100">
        <v>3.6268461028262202E-4</v>
      </c>
      <c r="BK46" s="100">
        <v>4.1532318901058197E-4</v>
      </c>
      <c r="BL46" s="100">
        <v>9.7630121128148596E-4</v>
      </c>
      <c r="BM46" s="100">
        <v>5.5164094823533004E-3</v>
      </c>
      <c r="BN46" s="100">
        <v>2.9579192804004501E-3</v>
      </c>
      <c r="BO46" s="100">
        <v>7.0834289943240598E-4</v>
      </c>
      <c r="BP46" s="100">
        <v>8.5738174400678505E-4</v>
      </c>
      <c r="BQ46" s="101">
        <v>0</v>
      </c>
    </row>
    <row r="47" spans="1:69" ht="15" customHeight="1" x14ac:dyDescent="0.3">
      <c r="A47" s="33" t="s">
        <v>65</v>
      </c>
      <c r="B47" s="11" t="s">
        <v>133</v>
      </c>
      <c r="C47" s="99">
        <v>4.3656661133616498E-6</v>
      </c>
      <c r="D47" s="100">
        <v>2.3817393969466099E-5</v>
      </c>
      <c r="E47" s="100">
        <v>1.9200364987811399E-4</v>
      </c>
      <c r="F47" s="100">
        <v>3.5022281964207697E-5</v>
      </c>
      <c r="G47" s="100">
        <v>6.5922141222232201E-3</v>
      </c>
      <c r="H47" s="100">
        <v>1.87576228587786E-4</v>
      </c>
      <c r="I47" s="100">
        <v>3.0599865475659598E-4</v>
      </c>
      <c r="J47" s="100">
        <v>2.2708459835868301E-3</v>
      </c>
      <c r="K47" s="100">
        <v>1.22491627351896E-3</v>
      </c>
      <c r="L47" s="100">
        <v>5.8256991080754702E-4</v>
      </c>
      <c r="M47" s="100">
        <v>4.2467211391821201E-4</v>
      </c>
      <c r="N47" s="100">
        <v>1.2674199731529601E-4</v>
      </c>
      <c r="O47" s="100">
        <v>9.9601142913617407E-5</v>
      </c>
      <c r="P47" s="100">
        <v>1.74164340685387E-4</v>
      </c>
      <c r="Q47" s="100">
        <v>1.8530249059614499E-4</v>
      </c>
      <c r="R47" s="100">
        <v>2.56102044795678E-3</v>
      </c>
      <c r="S47" s="100">
        <v>7.5372774518958499E-3</v>
      </c>
      <c r="T47" s="100">
        <v>4.6802096147355299E-4</v>
      </c>
      <c r="U47" s="100">
        <v>5.5519179353420301E-5</v>
      </c>
      <c r="V47" s="100">
        <v>2.1274116565933601E-4</v>
      </c>
      <c r="W47" s="100">
        <v>1.87500837229276E-3</v>
      </c>
      <c r="X47" s="100">
        <v>1.31042670919728E-4</v>
      </c>
      <c r="Y47" s="100">
        <v>5.5626757951783296E-4</v>
      </c>
      <c r="Z47" s="100">
        <v>1.9919042975895601E-4</v>
      </c>
      <c r="AA47" s="100">
        <v>2.5585373876290502E-4</v>
      </c>
      <c r="AB47" s="100">
        <v>5.8033894663335798E-4</v>
      </c>
      <c r="AC47" s="100">
        <v>7.4706618034231802E-4</v>
      </c>
      <c r="AD47" s="100">
        <v>8.9378337615844106E-5</v>
      </c>
      <c r="AE47" s="100">
        <v>1.78354413875964E-4</v>
      </c>
      <c r="AF47" s="100">
        <v>2.3777504357930799E-4</v>
      </c>
      <c r="AG47" s="100">
        <v>2.4401060581725001E-4</v>
      </c>
      <c r="AH47" s="100">
        <v>8.1197325874554898E-4</v>
      </c>
      <c r="AI47" s="100">
        <v>5.4653674131581995E-4</v>
      </c>
      <c r="AJ47" s="100">
        <v>4.2804462439994498E-4</v>
      </c>
      <c r="AK47" s="100">
        <v>1.4249228528501301E-3</v>
      </c>
      <c r="AL47" s="100">
        <v>3.6746166513005001E-5</v>
      </c>
      <c r="AM47" s="100">
        <v>1.4764402702622199E-5</v>
      </c>
      <c r="AN47" s="100">
        <v>4.0105235969514798E-5</v>
      </c>
      <c r="AO47" s="100">
        <v>2.0408996681461899E-5</v>
      </c>
      <c r="AP47" s="100">
        <v>2.74688259922944E-5</v>
      </c>
      <c r="AQ47" s="100">
        <v>6.2654971553665901E-4</v>
      </c>
      <c r="AR47" s="100">
        <v>1.2007085265313599E-3</v>
      </c>
      <c r="AS47" s="100">
        <v>2.4376230318627699E-2</v>
      </c>
      <c r="AT47" s="100">
        <v>1.5674203823582899E-3</v>
      </c>
      <c r="AU47" s="100">
        <v>4.1665137781628198E-4</v>
      </c>
      <c r="AV47" s="100">
        <v>1.03726841895161E-4</v>
      </c>
      <c r="AW47" s="100">
        <v>7.7322223461636798E-5</v>
      </c>
      <c r="AX47" s="100">
        <v>2.8628889955862902E-4</v>
      </c>
      <c r="AY47" s="100">
        <v>3.4825137100670501E-4</v>
      </c>
      <c r="AZ47" s="100">
        <v>1.16724500092954E-4</v>
      </c>
      <c r="BA47" s="100">
        <v>1.7340773215778201E-4</v>
      </c>
      <c r="BB47" s="100">
        <v>1.1580805519633801E-4</v>
      </c>
      <c r="BC47" s="100">
        <v>1.6705009578044999E-5</v>
      </c>
      <c r="BD47" s="100">
        <v>1.4862620149584199E-4</v>
      </c>
      <c r="BE47" s="100">
        <v>2.7275118646814703E-4</v>
      </c>
      <c r="BF47" s="100">
        <v>1.8067384419342801E-4</v>
      </c>
      <c r="BG47" s="100">
        <v>1.7667354811174099E-4</v>
      </c>
      <c r="BH47" s="100">
        <v>4.66157127921076E-4</v>
      </c>
      <c r="BI47" s="100">
        <v>3.4411652295493498E-5</v>
      </c>
      <c r="BJ47" s="100">
        <v>4.4564713559338599E-5</v>
      </c>
      <c r="BK47" s="100">
        <v>5.31286558853255E-5</v>
      </c>
      <c r="BL47" s="100">
        <v>3.24284641386688E-4</v>
      </c>
      <c r="BM47" s="100">
        <v>8.5144442028977599E-5</v>
      </c>
      <c r="BN47" s="100">
        <v>6.5929907719109601E-6</v>
      </c>
      <c r="BO47" s="100">
        <v>3.1332754646447498E-4</v>
      </c>
      <c r="BP47" s="100">
        <v>3.0200807037710203E-4</v>
      </c>
      <c r="BQ47" s="101">
        <v>0</v>
      </c>
    </row>
    <row r="48" spans="1:69" ht="15" customHeight="1" x14ac:dyDescent="0.3">
      <c r="A48" s="33" t="s">
        <v>66</v>
      </c>
      <c r="B48" s="11" t="s">
        <v>134</v>
      </c>
      <c r="C48" s="99">
        <v>0</v>
      </c>
      <c r="D48" s="100">
        <v>0</v>
      </c>
      <c r="E48" s="100">
        <v>0</v>
      </c>
      <c r="F48" s="100">
        <v>1.7266161044516899E-7</v>
      </c>
      <c r="G48" s="100">
        <v>5.5382636144260501E-4</v>
      </c>
      <c r="H48" s="100">
        <v>9.1124992158074401E-8</v>
      </c>
      <c r="I48" s="100">
        <v>1.40919504535707E-5</v>
      </c>
      <c r="J48" s="100">
        <v>1.88542115106095E-4</v>
      </c>
      <c r="K48" s="100">
        <v>9.1873544226828594E-5</v>
      </c>
      <c r="L48" s="100">
        <v>4.3962614901646497E-5</v>
      </c>
      <c r="M48" s="100">
        <v>1.5017267592089699E-6</v>
      </c>
      <c r="N48" s="100">
        <v>2.7254207372536702E-7</v>
      </c>
      <c r="O48" s="100">
        <v>6.9634527119069703E-6</v>
      </c>
      <c r="P48" s="100">
        <v>1.0114201364068E-5</v>
      </c>
      <c r="Q48" s="100">
        <v>6.8086927746901997E-6</v>
      </c>
      <c r="R48" s="100">
        <v>2.06179002380009E-4</v>
      </c>
      <c r="S48" s="100">
        <v>6.3873483541538397E-4</v>
      </c>
      <c r="T48" s="100">
        <v>3.8611540292527298E-5</v>
      </c>
      <c r="U48" s="100">
        <v>4.4140756654009997E-6</v>
      </c>
      <c r="V48" s="100">
        <v>1.6036760694635798E-5</v>
      </c>
      <c r="W48" s="100">
        <v>1.5737706729576501E-4</v>
      </c>
      <c r="X48" s="100">
        <v>7.5280712542459598E-6</v>
      </c>
      <c r="Y48" s="100">
        <v>3.3926713239126099E-5</v>
      </c>
      <c r="Z48" s="100">
        <v>1.81774389045772E-6</v>
      </c>
      <c r="AA48" s="100">
        <v>1.62714705282117E-5</v>
      </c>
      <c r="AB48" s="100">
        <v>4.6339024120330697E-5</v>
      </c>
      <c r="AC48" s="100">
        <v>6.1419824659391504E-5</v>
      </c>
      <c r="AD48" s="100">
        <v>7.5848730637150299E-6</v>
      </c>
      <c r="AE48" s="100">
        <v>1.11683223723283E-5</v>
      </c>
      <c r="AF48" s="100">
        <v>1.4267016451120499E-5</v>
      </c>
      <c r="AG48" s="100">
        <v>1.759689604004E-5</v>
      </c>
      <c r="AH48" s="100">
        <v>6.6162530606217704E-5</v>
      </c>
      <c r="AI48" s="100">
        <v>3.6406287039222601E-5</v>
      </c>
      <c r="AJ48" s="100">
        <v>3.2382866798384198E-5</v>
      </c>
      <c r="AK48" s="100">
        <v>1.18696981498258E-4</v>
      </c>
      <c r="AL48" s="100">
        <v>3.7428091795920899E-7</v>
      </c>
      <c r="AM48" s="100">
        <v>6.9286686598795294E-8</v>
      </c>
      <c r="AN48" s="100">
        <v>1.61606684203789E-7</v>
      </c>
      <c r="AO48" s="100">
        <v>2.9399166469035599E-7</v>
      </c>
      <c r="AP48" s="100">
        <v>1.4283634957553899E-6</v>
      </c>
      <c r="AQ48" s="100">
        <v>4.5798477540897299E-5</v>
      </c>
      <c r="AR48" s="100">
        <v>1.01402310589202E-4</v>
      </c>
      <c r="AS48" s="100">
        <v>2.0160753107429899E-3</v>
      </c>
      <c r="AT48" s="100">
        <v>2.3227495976299499E-7</v>
      </c>
      <c r="AU48" s="100">
        <v>2.16218544072708E-5</v>
      </c>
      <c r="AV48" s="100">
        <v>3.1340506944816999E-6</v>
      </c>
      <c r="AW48" s="100">
        <v>1.0206375451382E-5</v>
      </c>
      <c r="AX48" s="100">
        <v>8.3840034987283705E-7</v>
      </c>
      <c r="AY48" s="100">
        <v>3.8781593564645501E-6</v>
      </c>
      <c r="AZ48" s="100">
        <v>1.20018138012E-6</v>
      </c>
      <c r="BA48" s="100">
        <v>7.5765782902025097E-6</v>
      </c>
      <c r="BB48" s="100">
        <v>8.9179981376208604E-8</v>
      </c>
      <c r="BC48" s="100">
        <v>1.9112658735176799E-6</v>
      </c>
      <c r="BD48" s="100">
        <v>5.9190789880092998E-6</v>
      </c>
      <c r="BE48" s="100">
        <v>1.0174782548268999E-5</v>
      </c>
      <c r="BF48" s="100">
        <v>3.8066592158941901E-6</v>
      </c>
      <c r="BG48" s="100">
        <v>1.69449269725557E-5</v>
      </c>
      <c r="BH48" s="100">
        <v>3.9028636331223201E-5</v>
      </c>
      <c r="BI48" s="100">
        <v>7.75127462653738E-7</v>
      </c>
      <c r="BJ48" s="100">
        <v>9.7347637506556499E-8</v>
      </c>
      <c r="BK48" s="100">
        <v>2.4359269159626102E-8</v>
      </c>
      <c r="BL48" s="100">
        <v>5.3805958017156803E-6</v>
      </c>
      <c r="BM48" s="100">
        <v>0</v>
      </c>
      <c r="BN48" s="100">
        <v>1.82148829706051E-6</v>
      </c>
      <c r="BO48" s="100">
        <v>8.8205056062857397E-6</v>
      </c>
      <c r="BP48" s="100">
        <v>4.1175530519949997E-6</v>
      </c>
      <c r="BQ48" s="101">
        <v>0</v>
      </c>
    </row>
    <row r="49" spans="1:69" ht="15" customHeight="1" x14ac:dyDescent="0.3">
      <c r="A49" s="33" t="s">
        <v>67</v>
      </c>
      <c r="B49" s="11" t="s">
        <v>135</v>
      </c>
      <c r="C49" s="99">
        <v>0</v>
      </c>
      <c r="D49" s="100">
        <v>0</v>
      </c>
      <c r="E49" s="100">
        <v>1.416968331923E-5</v>
      </c>
      <c r="F49" s="100">
        <v>1.29728415196865E-5</v>
      </c>
      <c r="G49" s="100">
        <v>9.818187507019229E-4</v>
      </c>
      <c r="H49" s="100">
        <v>1.31863778947292E-5</v>
      </c>
      <c r="I49" s="100">
        <v>1.08461085471136E-4</v>
      </c>
      <c r="J49" s="100">
        <v>1.1115337071429999E-4</v>
      </c>
      <c r="K49" s="100">
        <v>8.17871857181368E-6</v>
      </c>
      <c r="L49" s="100">
        <v>7.8935226066197801E-5</v>
      </c>
      <c r="M49" s="100">
        <v>7.1543700784355705E-5</v>
      </c>
      <c r="N49" s="100">
        <v>2.29602852852212E-4</v>
      </c>
      <c r="O49" s="100">
        <v>5.00800387863058E-5</v>
      </c>
      <c r="P49" s="100">
        <v>4.6571793982524E-5</v>
      </c>
      <c r="Q49" s="100">
        <v>6.3709495480349901E-5</v>
      </c>
      <c r="R49" s="100">
        <v>1.7436453679589399E-4</v>
      </c>
      <c r="S49" s="100">
        <v>1.15381743788036E-4</v>
      </c>
      <c r="T49" s="100">
        <v>4.3395945430133799E-5</v>
      </c>
      <c r="U49" s="100">
        <v>9.3144484841254704E-6</v>
      </c>
      <c r="V49" s="100">
        <v>2.7735499883055002E-5</v>
      </c>
      <c r="W49" s="100">
        <v>1.75428096288151E-4</v>
      </c>
      <c r="X49" s="100">
        <v>3.43126343076449E-4</v>
      </c>
      <c r="Y49" s="100">
        <v>2.4581772716429299E-5</v>
      </c>
      <c r="Z49" s="100">
        <v>2.2191238863664001E-4</v>
      </c>
      <c r="AA49" s="100">
        <v>3.6167982138259901E-5</v>
      </c>
      <c r="AB49" s="100">
        <v>1.33588918155216E-4</v>
      </c>
      <c r="AC49" s="100">
        <v>4.5947132533580003E-5</v>
      </c>
      <c r="AD49" s="100">
        <v>2.2039724416928401E-5</v>
      </c>
      <c r="AE49" s="100">
        <v>4.5429522458761199E-5</v>
      </c>
      <c r="AF49" s="100">
        <v>1.4538490380103E-4</v>
      </c>
      <c r="AG49" s="100">
        <v>1.6474598267798499E-4</v>
      </c>
      <c r="AH49" s="100">
        <v>1.2805178372764201E-4</v>
      </c>
      <c r="AI49" s="100">
        <v>8.1437298675648802E-5</v>
      </c>
      <c r="AJ49" s="100">
        <v>4.3999837816919902E-5</v>
      </c>
      <c r="AK49" s="100">
        <v>6.1873891988209093E-5</v>
      </c>
      <c r="AL49" s="100">
        <v>4.38539082894796E-5</v>
      </c>
      <c r="AM49" s="100">
        <v>6.4433347035206003E-5</v>
      </c>
      <c r="AN49" s="100">
        <v>1.4022946463091701E-4</v>
      </c>
      <c r="AO49" s="100">
        <v>7.6140733466815603E-5</v>
      </c>
      <c r="AP49" s="100">
        <v>1.9921742035920701E-4</v>
      </c>
      <c r="AQ49" s="100">
        <v>3.3114161177780199E-4</v>
      </c>
      <c r="AR49" s="100">
        <v>5.6291990692402998E-5</v>
      </c>
      <c r="AS49" s="100">
        <v>5.1352642197604399E-4</v>
      </c>
      <c r="AT49" s="100">
        <v>3.48985400118237E-5</v>
      </c>
      <c r="AU49" s="100">
        <v>3.7474852150877198E-4</v>
      </c>
      <c r="AV49" s="100">
        <v>2.4150370256276801E-4</v>
      </c>
      <c r="AW49" s="100">
        <v>2.8954209567090401E-5</v>
      </c>
      <c r="AX49" s="100">
        <v>7.8257546969551703E-5</v>
      </c>
      <c r="AY49" s="100">
        <v>3.8960962787092199E-4</v>
      </c>
      <c r="AZ49" s="100">
        <v>1.15422340222828E-4</v>
      </c>
      <c r="BA49" s="100">
        <v>5.10369765413475E-4</v>
      </c>
      <c r="BB49" s="100">
        <v>3.5328654918467697E-4</v>
      </c>
      <c r="BC49" s="100">
        <v>1.08839789704913E-5</v>
      </c>
      <c r="BD49" s="100">
        <v>4.0310889761660599E-4</v>
      </c>
      <c r="BE49" s="100">
        <v>5.0023316733636199E-4</v>
      </c>
      <c r="BF49" s="100">
        <v>6.2758929856186405E-4</v>
      </c>
      <c r="BG49" s="100">
        <v>2.15078531806711E-4</v>
      </c>
      <c r="BH49" s="100">
        <v>1.54640192281493E-4</v>
      </c>
      <c r="BI49" s="100">
        <v>7.9341385425101799E-5</v>
      </c>
      <c r="BJ49" s="100">
        <v>1.66831592910376E-4</v>
      </c>
      <c r="BK49" s="100">
        <v>8.0447198641220101E-5</v>
      </c>
      <c r="BL49" s="100">
        <v>1.88431310417958E-3</v>
      </c>
      <c r="BM49" s="100">
        <v>2.3785520246222299E-4</v>
      </c>
      <c r="BN49" s="100">
        <v>7.9829409237134804E-7</v>
      </c>
      <c r="BO49" s="100">
        <v>3.3025150043598897E-4</v>
      </c>
      <c r="BP49" s="100">
        <v>4.6318254663558602E-3</v>
      </c>
      <c r="BQ49" s="101">
        <v>0</v>
      </c>
    </row>
    <row r="50" spans="1:69" ht="15" customHeight="1" x14ac:dyDescent="0.3">
      <c r="A50" s="33" t="s">
        <v>68</v>
      </c>
      <c r="B50" s="11" t="s">
        <v>136</v>
      </c>
      <c r="C50" s="99">
        <v>4.6077072799751601E-9</v>
      </c>
      <c r="D50" s="100">
        <v>6.8631447601854398E-8</v>
      </c>
      <c r="E50" s="100">
        <v>1.92420731161401E-3</v>
      </c>
      <c r="F50" s="100">
        <v>1.06466062800547E-6</v>
      </c>
      <c r="G50" s="100">
        <v>2.2446317858504099E-3</v>
      </c>
      <c r="H50" s="100">
        <v>4.5736812774812103E-3</v>
      </c>
      <c r="I50" s="100">
        <v>3.5793703874140602E-3</v>
      </c>
      <c r="J50" s="100">
        <v>2.7559832023612901E-4</v>
      </c>
      <c r="K50" s="100">
        <v>3.9421391096837004E-3</v>
      </c>
      <c r="L50" s="100">
        <v>1.4560794832181001E-4</v>
      </c>
      <c r="M50" s="100">
        <v>1.4376383715903201E-6</v>
      </c>
      <c r="N50" s="100">
        <v>8.2160009656410195E-7</v>
      </c>
      <c r="O50" s="100">
        <v>1.02221911964725E-6</v>
      </c>
      <c r="P50" s="100">
        <v>1.73602892738047E-6</v>
      </c>
      <c r="Q50" s="100">
        <v>1.3902586634481801E-6</v>
      </c>
      <c r="R50" s="100">
        <v>6.0168387452509198E-4</v>
      </c>
      <c r="S50" s="100">
        <v>3.79626365785427E-5</v>
      </c>
      <c r="T50" s="100">
        <v>2.93063866123117E-6</v>
      </c>
      <c r="U50" s="100">
        <v>3.6291822365104401E-7</v>
      </c>
      <c r="V50" s="100">
        <v>1.7132976537867799E-6</v>
      </c>
      <c r="W50" s="100">
        <v>3.22651925934218E-4</v>
      </c>
      <c r="X50" s="100">
        <v>8.5595644401107402E-7</v>
      </c>
      <c r="Y50" s="100">
        <v>2.90916529002045E-6</v>
      </c>
      <c r="Z50" s="100">
        <v>1.0441790585877999E-6</v>
      </c>
      <c r="AA50" s="100">
        <v>1.80890493105096E-6</v>
      </c>
      <c r="AB50" s="100">
        <v>3.1617217500375698E-6</v>
      </c>
      <c r="AC50" s="100">
        <v>3.6913185131479299E-4</v>
      </c>
      <c r="AD50" s="100">
        <v>5.1284606546627397E-7</v>
      </c>
      <c r="AE50" s="100">
        <v>1.1794987914353E-6</v>
      </c>
      <c r="AF50" s="100">
        <v>1.4116558955604499E-6</v>
      </c>
      <c r="AG50" s="100">
        <v>2.6195872676852098E-6</v>
      </c>
      <c r="AH50" s="100">
        <v>4.5077469735337699E-5</v>
      </c>
      <c r="AI50" s="100">
        <v>1.9083203262632901E-4</v>
      </c>
      <c r="AJ50" s="100">
        <v>3.0799397712585598E-4</v>
      </c>
      <c r="AK50" s="100">
        <v>1.0622091558581899E-5</v>
      </c>
      <c r="AL50" s="100">
        <v>7.3855134306340201E-7</v>
      </c>
      <c r="AM50" s="100">
        <v>3.7397948681643003E-5</v>
      </c>
      <c r="AN50" s="100">
        <v>3.9130554056012801E-7</v>
      </c>
      <c r="AO50" s="100">
        <v>8.4155699837656405E-7</v>
      </c>
      <c r="AP50" s="100">
        <v>2.77873736391662E-6</v>
      </c>
      <c r="AQ50" s="100">
        <v>8.7948609881860704E-5</v>
      </c>
      <c r="AR50" s="100">
        <v>1.7612304232659401E-4</v>
      </c>
      <c r="AS50" s="100">
        <v>2.50151980742996E-2</v>
      </c>
      <c r="AT50" s="100">
        <v>5.6071311127556499E-2</v>
      </c>
      <c r="AU50" s="100">
        <v>3.71372353456064E-3</v>
      </c>
      <c r="AV50" s="100">
        <v>5.25256505865294E-6</v>
      </c>
      <c r="AW50" s="100">
        <v>1.19576639130405E-5</v>
      </c>
      <c r="AX50" s="100">
        <v>2.2562248282685801E-6</v>
      </c>
      <c r="AY50" s="100">
        <v>3.0641774775614602E-6</v>
      </c>
      <c r="AZ50" s="100">
        <v>3.1358376423405802E-6</v>
      </c>
      <c r="BA50" s="100">
        <v>4.8374796252712902E-6</v>
      </c>
      <c r="BB50" s="100">
        <v>1.1707509807304301E-5</v>
      </c>
      <c r="BC50" s="100">
        <v>3.0458728373012299E-6</v>
      </c>
      <c r="BD50" s="100">
        <v>1.8571456878020099E-5</v>
      </c>
      <c r="BE50" s="100">
        <v>1.6785556219650599E-4</v>
      </c>
      <c r="BF50" s="100">
        <v>6.5314764675346298E-6</v>
      </c>
      <c r="BG50" s="100">
        <v>2.69922543894986E-5</v>
      </c>
      <c r="BH50" s="100">
        <v>1.1756290478735901E-5</v>
      </c>
      <c r="BI50" s="100">
        <v>1.3746216756758699E-6</v>
      </c>
      <c r="BJ50" s="100">
        <v>1.5679153155291499E-5</v>
      </c>
      <c r="BK50" s="100">
        <v>5.9201213158021103E-6</v>
      </c>
      <c r="BL50" s="100">
        <v>5.9190072362030101E-6</v>
      </c>
      <c r="BM50" s="100">
        <v>1.7292226174070402E-5</v>
      </c>
      <c r="BN50" s="100">
        <v>2.9156289406956699E-6</v>
      </c>
      <c r="BO50" s="100">
        <v>1.48135665286465E-5</v>
      </c>
      <c r="BP50" s="100">
        <v>3.2802727182938501E-5</v>
      </c>
      <c r="BQ50" s="101">
        <v>0</v>
      </c>
    </row>
    <row r="51" spans="1:69" ht="15" customHeight="1" x14ac:dyDescent="0.3">
      <c r="A51" s="33" t="s">
        <v>69</v>
      </c>
      <c r="B51" s="11" t="s">
        <v>137</v>
      </c>
      <c r="C51" s="99">
        <v>1.57386156347055E-6</v>
      </c>
      <c r="D51" s="100">
        <v>0</v>
      </c>
      <c r="E51" s="100">
        <v>1.8427795336983801E-5</v>
      </c>
      <c r="F51" s="100">
        <v>9.6825874371799298E-5</v>
      </c>
      <c r="G51" s="100">
        <v>2.4605778430475801E-4</v>
      </c>
      <c r="H51" s="100">
        <v>2.0023282307812099E-4</v>
      </c>
      <c r="I51" s="100">
        <v>1.55460921669463E-4</v>
      </c>
      <c r="J51" s="100">
        <v>2.5654574616179902E-4</v>
      </c>
      <c r="K51" s="100">
        <v>1.38298814276129E-4</v>
      </c>
      <c r="L51" s="100">
        <v>2.13922653174023E-4</v>
      </c>
      <c r="M51" s="100">
        <v>1.73776148654819E-4</v>
      </c>
      <c r="N51" s="100">
        <v>5.8154773106467903E-4</v>
      </c>
      <c r="O51" s="100">
        <v>9.7216092623536796E-5</v>
      </c>
      <c r="P51" s="100">
        <v>7.1200106183038405E-5</v>
      </c>
      <c r="Q51" s="100">
        <v>1.3308161384328499E-4</v>
      </c>
      <c r="R51" s="100">
        <v>8.3157978520262895E-5</v>
      </c>
      <c r="S51" s="100">
        <v>2.1558098050364501E-4</v>
      </c>
      <c r="T51" s="100">
        <v>1.2228708064027501E-4</v>
      </c>
      <c r="U51" s="100">
        <v>1.4123846130242299E-5</v>
      </c>
      <c r="V51" s="100">
        <v>1.01625565212467E-4</v>
      </c>
      <c r="W51" s="100">
        <v>1.68595825801145E-4</v>
      </c>
      <c r="X51" s="100">
        <v>3.8550007662520498E-4</v>
      </c>
      <c r="Y51" s="100">
        <v>1.6066597115047901E-4</v>
      </c>
      <c r="Z51" s="100">
        <v>7.5971543971298401E-4</v>
      </c>
      <c r="AA51" s="100">
        <v>1.94884990200489E-4</v>
      </c>
      <c r="AB51" s="100">
        <v>2.3330667906478801E-4</v>
      </c>
      <c r="AC51" s="100">
        <v>2.2307708106638699E-4</v>
      </c>
      <c r="AD51" s="100">
        <v>1.26178763973508E-4</v>
      </c>
      <c r="AE51" s="100">
        <v>3.3039170534392099E-4</v>
      </c>
      <c r="AF51" s="100">
        <v>2.69344376443278E-4</v>
      </c>
      <c r="AG51" s="100">
        <v>3.1063384826149402E-4</v>
      </c>
      <c r="AH51" s="100">
        <v>4.7151791204191098E-4</v>
      </c>
      <c r="AI51" s="100">
        <v>1.69423112947447E-4</v>
      </c>
      <c r="AJ51" s="100">
        <v>1.9552340048920001E-4</v>
      </c>
      <c r="AK51" s="100">
        <v>2.2030236329004599E-4</v>
      </c>
      <c r="AL51" s="100">
        <v>3.4300376022307198E-4</v>
      </c>
      <c r="AM51" s="100">
        <v>1.8972865381391301E-4</v>
      </c>
      <c r="AN51" s="100">
        <v>1.2926423940173401E-4</v>
      </c>
      <c r="AO51" s="100">
        <v>4.09359365736198E-5</v>
      </c>
      <c r="AP51" s="100">
        <v>4.8221223131444398E-4</v>
      </c>
      <c r="AQ51" s="100">
        <v>7.4618898654588801E-4</v>
      </c>
      <c r="AR51" s="100">
        <v>1.29466192358364E-4</v>
      </c>
      <c r="AS51" s="100">
        <v>6.5247677436201394E-5</v>
      </c>
      <c r="AT51" s="100">
        <v>4.61409401837965E-4</v>
      </c>
      <c r="AU51" s="100">
        <v>4.3511944562016401E-4</v>
      </c>
      <c r="AV51" s="100">
        <v>4.2531055030786198E-7</v>
      </c>
      <c r="AW51" s="100">
        <v>3.05821229531174E-5</v>
      </c>
      <c r="AX51" s="100">
        <v>1.04007515865811E-3</v>
      </c>
      <c r="AY51" s="100">
        <v>8.8197640131057302E-4</v>
      </c>
      <c r="AZ51" s="100">
        <v>1.51864188958715E-4</v>
      </c>
      <c r="BA51" s="100">
        <v>9.4621390078667095E-4</v>
      </c>
      <c r="BB51" s="100">
        <v>3.8461358441316701E-4</v>
      </c>
      <c r="BC51" s="100">
        <v>2.2651519759253598E-5</v>
      </c>
      <c r="BD51" s="100">
        <v>4.0426373565333602E-4</v>
      </c>
      <c r="BE51" s="100">
        <v>1.22050715456669E-3</v>
      </c>
      <c r="BF51" s="100">
        <v>5.2615402488055099E-4</v>
      </c>
      <c r="BG51" s="100">
        <v>8.0995513439865996E-4</v>
      </c>
      <c r="BH51" s="100">
        <v>1.8669997171314899E-4</v>
      </c>
      <c r="BI51" s="100">
        <v>3.3532313047054301E-4</v>
      </c>
      <c r="BJ51" s="100">
        <v>5.4680606236548597E-5</v>
      </c>
      <c r="BK51" s="100">
        <v>1.3597894800891099E-5</v>
      </c>
      <c r="BL51" s="100">
        <v>8.1616766657688702E-4</v>
      </c>
      <c r="BM51" s="100">
        <v>4.3674622309956098E-5</v>
      </c>
      <c r="BN51" s="100">
        <v>2.4718751083579801E-7</v>
      </c>
      <c r="BO51" s="100">
        <v>1.02953856632899E-3</v>
      </c>
      <c r="BP51" s="100">
        <v>9.8672699698725795E-3</v>
      </c>
      <c r="BQ51" s="101">
        <v>0</v>
      </c>
    </row>
    <row r="52" spans="1:69" ht="15" customHeight="1" x14ac:dyDescent="0.3">
      <c r="A52" s="33" t="s">
        <v>70</v>
      </c>
      <c r="B52" s="11" t="s">
        <v>138</v>
      </c>
      <c r="C52" s="99">
        <v>7.6253632721336098E-6</v>
      </c>
      <c r="D52" s="100">
        <v>2.51233998151925E-6</v>
      </c>
      <c r="E52" s="100">
        <v>1.41952460090132E-5</v>
      </c>
      <c r="F52" s="100">
        <v>5.2526349770666401E-5</v>
      </c>
      <c r="G52" s="100">
        <v>2.3336003811466599E-4</v>
      </c>
      <c r="H52" s="100">
        <v>9.4159031591442194E-5</v>
      </c>
      <c r="I52" s="100">
        <v>7.7661963720604703E-5</v>
      </c>
      <c r="J52" s="100">
        <v>6.80950418725176E-6</v>
      </c>
      <c r="K52" s="100">
        <v>4.7445325743455502E-5</v>
      </c>
      <c r="L52" s="100">
        <v>2.9281398326241999E-5</v>
      </c>
      <c r="M52" s="100">
        <v>2.5299970455105202E-5</v>
      </c>
      <c r="N52" s="100">
        <v>3.3252760625898799E-5</v>
      </c>
      <c r="O52" s="100">
        <v>5.1483149680318904E-6</v>
      </c>
      <c r="P52" s="100">
        <v>1.2491234922905899E-5</v>
      </c>
      <c r="Q52" s="100">
        <v>1.12931687526642E-5</v>
      </c>
      <c r="R52" s="100">
        <v>2.3553997658171699E-5</v>
      </c>
      <c r="S52" s="100">
        <v>5.0365412409128999E-5</v>
      </c>
      <c r="T52" s="100">
        <v>3.7789067805926598E-5</v>
      </c>
      <c r="U52" s="100">
        <v>6.7202095214559898E-6</v>
      </c>
      <c r="V52" s="100">
        <v>9.0676166231832404E-6</v>
      </c>
      <c r="W52" s="100">
        <v>4.0480723910364398E-5</v>
      </c>
      <c r="X52" s="100">
        <v>1.00280756485789E-4</v>
      </c>
      <c r="Y52" s="100">
        <v>1.11639088994178E-5</v>
      </c>
      <c r="Z52" s="100">
        <v>1.6982088152671599E-4</v>
      </c>
      <c r="AA52" s="100">
        <v>4.4385402565469101E-5</v>
      </c>
      <c r="AB52" s="100">
        <v>2.2325117642448399E-5</v>
      </c>
      <c r="AC52" s="100">
        <v>2.1107820542955701E-5</v>
      </c>
      <c r="AD52" s="100">
        <v>6.0050648852257598E-5</v>
      </c>
      <c r="AE52" s="100">
        <v>3.8195622827454402E-5</v>
      </c>
      <c r="AF52" s="100">
        <v>3.6853053351392898E-5</v>
      </c>
      <c r="AG52" s="100">
        <v>1.40637385842986E-5</v>
      </c>
      <c r="AH52" s="100">
        <v>5.3674183187470497E-5</v>
      </c>
      <c r="AI52" s="100">
        <v>1.52098504194262E-4</v>
      </c>
      <c r="AJ52" s="100">
        <v>4.4963420322885001E-5</v>
      </c>
      <c r="AK52" s="100">
        <v>1.06263439469225E-4</v>
      </c>
      <c r="AL52" s="100">
        <v>1.7971328542561101E-5</v>
      </c>
      <c r="AM52" s="100">
        <v>3.1977042821765403E-5</v>
      </c>
      <c r="AN52" s="100">
        <v>2.0068054527173499E-5</v>
      </c>
      <c r="AO52" s="100">
        <v>1.02542956466837E-4</v>
      </c>
      <c r="AP52" s="100">
        <v>3.2591595756497202E-5</v>
      </c>
      <c r="AQ52" s="100">
        <v>7.9958703056312098E-5</v>
      </c>
      <c r="AR52" s="100">
        <v>5.4174731903055001E-5</v>
      </c>
      <c r="AS52" s="100">
        <v>2.5854636792984503E-4</v>
      </c>
      <c r="AT52" s="100">
        <v>6.0972107387387395E-4</v>
      </c>
      <c r="AU52" s="100">
        <v>8.7026723963405599E-5</v>
      </c>
      <c r="AV52" s="100">
        <v>1.52317927918537E-4</v>
      </c>
      <c r="AW52" s="100">
        <v>5.2758747481235503E-5</v>
      </c>
      <c r="AX52" s="100">
        <v>3.35015878808315E-4</v>
      </c>
      <c r="AY52" s="100">
        <v>9.5445242835451598E-4</v>
      </c>
      <c r="AZ52" s="100">
        <v>1.4543024055196799E-4</v>
      </c>
      <c r="BA52" s="100">
        <v>1.4985732590034801E-4</v>
      </c>
      <c r="BB52" s="100">
        <v>9.6030838298839498E-5</v>
      </c>
      <c r="BC52" s="100">
        <v>9.3238563824489895E-6</v>
      </c>
      <c r="BD52" s="100">
        <v>2.36504509679386E-4</v>
      </c>
      <c r="BE52" s="100">
        <v>8.4949368232201597E-5</v>
      </c>
      <c r="BF52" s="100">
        <v>1.18192321039314E-4</v>
      </c>
      <c r="BG52" s="100">
        <v>1.81683703206732E-4</v>
      </c>
      <c r="BH52" s="100">
        <v>1.8195426959056999E-4</v>
      </c>
      <c r="BI52" s="100">
        <v>4.2442087434809899E-5</v>
      </c>
      <c r="BJ52" s="100">
        <v>3.81299059272875E-4</v>
      </c>
      <c r="BK52" s="100">
        <v>1.17898815957195E-4</v>
      </c>
      <c r="BL52" s="100">
        <v>1.9043961153461601E-4</v>
      </c>
      <c r="BM52" s="100">
        <v>1.0701697690043001E-3</v>
      </c>
      <c r="BN52" s="100">
        <v>3.2564912581463498E-4</v>
      </c>
      <c r="BO52" s="100">
        <v>1.0414274836746E-4</v>
      </c>
      <c r="BP52" s="100">
        <v>2.0162983517480202E-3</v>
      </c>
      <c r="BQ52" s="101">
        <v>0</v>
      </c>
    </row>
    <row r="53" spans="1:69" ht="15" customHeight="1" x14ac:dyDescent="0.3">
      <c r="A53" s="33" t="s">
        <v>71</v>
      </c>
      <c r="B53" s="11" t="s">
        <v>139</v>
      </c>
      <c r="C53" s="99">
        <v>0</v>
      </c>
      <c r="D53" s="100">
        <v>0</v>
      </c>
      <c r="E53" s="100">
        <v>0</v>
      </c>
      <c r="F53" s="100">
        <v>2.75016469438779E-8</v>
      </c>
      <c r="G53" s="100">
        <v>1.6042950711854199E-8</v>
      </c>
      <c r="H53" s="100">
        <v>1.46901022833368E-8</v>
      </c>
      <c r="I53" s="100">
        <v>2.82459727829987E-8</v>
      </c>
      <c r="J53" s="100">
        <v>1.1308652126194601E-7</v>
      </c>
      <c r="K53" s="100">
        <v>6.3504616066301804E-8</v>
      </c>
      <c r="L53" s="100">
        <v>8.2173554046628597E-8</v>
      </c>
      <c r="M53" s="100">
        <v>8.9712471880677997E-7</v>
      </c>
      <c r="N53" s="100">
        <v>5.4471062810849002E-8</v>
      </c>
      <c r="O53" s="100">
        <v>6.0754847614088105E-8</v>
      </c>
      <c r="P53" s="100">
        <v>1.02966064295474E-7</v>
      </c>
      <c r="Q53" s="100">
        <v>7.8257519063902495E-8</v>
      </c>
      <c r="R53" s="100">
        <v>2.6620961796852E-8</v>
      </c>
      <c r="S53" s="100">
        <v>2.3562402546472799E-7</v>
      </c>
      <c r="T53" s="100">
        <v>1.18864795445277E-5</v>
      </c>
      <c r="U53" s="100">
        <v>1.00032066423639E-8</v>
      </c>
      <c r="V53" s="100">
        <v>7.7441697350063403E-8</v>
      </c>
      <c r="W53" s="100">
        <v>2.5794039925379799E-5</v>
      </c>
      <c r="X53" s="100">
        <v>3.6662864571130002E-8</v>
      </c>
      <c r="Y53" s="100">
        <v>4.9995788222929799E-8</v>
      </c>
      <c r="Z53" s="100">
        <v>5.6678872654971601E-8</v>
      </c>
      <c r="AA53" s="100">
        <v>6.5177079504594001E-8</v>
      </c>
      <c r="AB53" s="100">
        <v>4.3570590691040801E-8</v>
      </c>
      <c r="AC53" s="100">
        <v>2.97125651305278E-8</v>
      </c>
      <c r="AD53" s="100">
        <v>4.7826955329863997E-9</v>
      </c>
      <c r="AE53" s="100">
        <v>3.3972129288608199E-8</v>
      </c>
      <c r="AF53" s="100">
        <v>2.5827550645595599E-7</v>
      </c>
      <c r="AG53" s="100">
        <v>3.2815382537510097E-8</v>
      </c>
      <c r="AH53" s="100">
        <v>4.6482987498705702E-8</v>
      </c>
      <c r="AI53" s="100">
        <v>7.5274282557682797E-9</v>
      </c>
      <c r="AJ53" s="100">
        <v>2.6278823390677999E-8</v>
      </c>
      <c r="AK53" s="100">
        <v>6.1741150607601295E-8</v>
      </c>
      <c r="AL53" s="100">
        <v>6.4270834242359195E-8</v>
      </c>
      <c r="AM53" s="100">
        <v>1.06437459226289E-8</v>
      </c>
      <c r="AN53" s="100">
        <v>5.9151829548128902E-6</v>
      </c>
      <c r="AO53" s="100">
        <v>4.4734179981372303E-8</v>
      </c>
      <c r="AP53" s="100">
        <v>1.53285589556023E-7</v>
      </c>
      <c r="AQ53" s="100">
        <v>8.5183326507956696E-6</v>
      </c>
      <c r="AR53" s="100">
        <v>1.31507512726487E-7</v>
      </c>
      <c r="AS53" s="100">
        <v>2.82280368835318E-8</v>
      </c>
      <c r="AT53" s="100">
        <v>3.7048668193811298E-7</v>
      </c>
      <c r="AU53" s="100">
        <v>3.4097474125706699E-7</v>
      </c>
      <c r="AV53" s="100">
        <v>6.2787009694410795E-5</v>
      </c>
      <c r="AW53" s="100">
        <v>1.19697469250772E-6</v>
      </c>
      <c r="AX53" s="100">
        <v>6.2001300788986998E-5</v>
      </c>
      <c r="AY53" s="100">
        <v>1.5755953614658201E-6</v>
      </c>
      <c r="AZ53" s="100">
        <v>2.2850017667993699E-5</v>
      </c>
      <c r="BA53" s="100">
        <v>2.1627137800584102E-6</v>
      </c>
      <c r="BB53" s="100">
        <v>6.2528228943621502E-5</v>
      </c>
      <c r="BC53" s="100">
        <v>3.5654508938685002E-6</v>
      </c>
      <c r="BD53" s="100">
        <v>4.2543431665112701E-5</v>
      </c>
      <c r="BE53" s="100">
        <v>7.0566221969106901E-5</v>
      </c>
      <c r="BF53" s="100">
        <v>2.0125961373311299E-4</v>
      </c>
      <c r="BG53" s="100">
        <v>2.1259812614000599E-5</v>
      </c>
      <c r="BH53" s="100">
        <v>2.8701512849677698E-6</v>
      </c>
      <c r="BI53" s="100">
        <v>1.18661009217927E-7</v>
      </c>
      <c r="BJ53" s="100">
        <v>1.0980312699197999E-4</v>
      </c>
      <c r="BK53" s="100">
        <v>4.33644069770766E-4</v>
      </c>
      <c r="BL53" s="100">
        <v>4.5007694566627499E-4</v>
      </c>
      <c r="BM53" s="100">
        <v>8.5978783837710307E-6</v>
      </c>
      <c r="BN53" s="100">
        <v>1.00006771581947E-5</v>
      </c>
      <c r="BO53" s="100">
        <v>6.3947632174158E-6</v>
      </c>
      <c r="BP53" s="100">
        <v>3.0263500975197901E-5</v>
      </c>
      <c r="BQ53" s="101">
        <v>0</v>
      </c>
    </row>
    <row r="54" spans="1:69" ht="15" customHeight="1" x14ac:dyDescent="0.3">
      <c r="A54" s="33" t="s">
        <v>72</v>
      </c>
      <c r="B54" s="11" t="s">
        <v>140</v>
      </c>
      <c r="C54" s="99">
        <v>0</v>
      </c>
      <c r="D54" s="100">
        <v>0</v>
      </c>
      <c r="E54" s="100">
        <v>0</v>
      </c>
      <c r="F54" s="100">
        <v>9.3711098354713396E-9</v>
      </c>
      <c r="G54" s="100">
        <v>5.03092937395123E-9</v>
      </c>
      <c r="H54" s="100">
        <v>5.1360525947028601E-9</v>
      </c>
      <c r="I54" s="100">
        <v>1.00841634158931E-8</v>
      </c>
      <c r="J54" s="100">
        <v>3.12430370828078E-8</v>
      </c>
      <c r="K54" s="100">
        <v>2.40809351665015E-8</v>
      </c>
      <c r="L54" s="100">
        <v>2.0014330770897301E-8</v>
      </c>
      <c r="M54" s="100">
        <v>7.4678090997244494E-9</v>
      </c>
      <c r="N54" s="100">
        <v>2.67741587872473E-8</v>
      </c>
      <c r="O54" s="100">
        <v>2.5110286128211701E-8</v>
      </c>
      <c r="P54" s="100">
        <v>3.8964007086532399E-8</v>
      </c>
      <c r="Q54" s="100">
        <v>3.6938113865366303E-8</v>
      </c>
      <c r="R54" s="100">
        <v>1.6112714229421201E-8</v>
      </c>
      <c r="S54" s="100">
        <v>2.7610240377519498E-8</v>
      </c>
      <c r="T54" s="100">
        <v>1.9780408667282001E-8</v>
      </c>
      <c r="U54" s="100">
        <v>3.85245909076212E-9</v>
      </c>
      <c r="V54" s="100">
        <v>3.0518763675018698E-8</v>
      </c>
      <c r="W54" s="100">
        <v>9.3108528162626993E-9</v>
      </c>
      <c r="X54" s="100">
        <v>1.9232820325925099E-8</v>
      </c>
      <c r="Y54" s="100">
        <v>1.6236562134139901E-8</v>
      </c>
      <c r="Z54" s="100">
        <v>2.9369377210531999E-8</v>
      </c>
      <c r="AA54" s="100">
        <v>2.77185923576649E-8</v>
      </c>
      <c r="AB54" s="100">
        <v>2.14259893134165E-8</v>
      </c>
      <c r="AC54" s="100">
        <v>1.3714252056584E-8</v>
      </c>
      <c r="AD54" s="100">
        <v>5.1812534940685996E-9</v>
      </c>
      <c r="AE54" s="100">
        <v>1.7413770979940602E-8</v>
      </c>
      <c r="AF54" s="100">
        <v>1.10030206543514E-8</v>
      </c>
      <c r="AG54" s="100">
        <v>1.6895760859235199E-8</v>
      </c>
      <c r="AH54" s="100">
        <v>2.62611934683654E-8</v>
      </c>
      <c r="AI54" s="100">
        <v>2.5773953448570302E-9</v>
      </c>
      <c r="AJ54" s="100">
        <v>8.1290678684001501E-9</v>
      </c>
      <c r="AK54" s="100">
        <v>2.0597858571804601E-8</v>
      </c>
      <c r="AL54" s="100">
        <v>2.53569511007138E-8</v>
      </c>
      <c r="AM54" s="100">
        <v>3.3355252593345898E-9</v>
      </c>
      <c r="AN54" s="100">
        <v>7.3702714709180797E-9</v>
      </c>
      <c r="AO54" s="100">
        <v>1.3688820661605901E-8</v>
      </c>
      <c r="AP54" s="100">
        <v>4.62110968514481E-8</v>
      </c>
      <c r="AQ54" s="100">
        <v>1.7273286769513001E-7</v>
      </c>
      <c r="AR54" s="100">
        <v>3.9645647219014397E-8</v>
      </c>
      <c r="AS54" s="100">
        <v>8.5099228840059103E-9</v>
      </c>
      <c r="AT54" s="100">
        <v>1.05931850392467E-8</v>
      </c>
      <c r="AU54" s="100">
        <v>1.02793855820145E-7</v>
      </c>
      <c r="AV54" s="100">
        <v>6.1765044454328E-6</v>
      </c>
      <c r="AW54" s="100">
        <v>3.4035340428712698E-7</v>
      </c>
      <c r="AX54" s="100">
        <v>2.9565831623247299E-5</v>
      </c>
      <c r="AY54" s="100">
        <v>7.3707118145567001E-3</v>
      </c>
      <c r="AZ54" s="100">
        <v>1.3986583632737499E-3</v>
      </c>
      <c r="BA54" s="100">
        <v>1.2192241068420701E-7</v>
      </c>
      <c r="BB54" s="100">
        <v>4.1171179442438603E-9</v>
      </c>
      <c r="BC54" s="100">
        <v>8.7165629381785204E-8</v>
      </c>
      <c r="BD54" s="100">
        <v>2.7147595468217798E-7</v>
      </c>
      <c r="BE54" s="100">
        <v>3.2193987042844302E-7</v>
      </c>
      <c r="BF54" s="100">
        <v>1.07546003170186E-4</v>
      </c>
      <c r="BG54" s="100">
        <v>7.7279422233012499E-7</v>
      </c>
      <c r="BH54" s="100">
        <v>6.6574729051999697E-6</v>
      </c>
      <c r="BI54" s="100">
        <v>5.9703374976425001E-6</v>
      </c>
      <c r="BJ54" s="100">
        <v>4.4396586627016899E-9</v>
      </c>
      <c r="BK54" s="100">
        <v>1.11093441106192E-9</v>
      </c>
      <c r="BL54" s="100">
        <v>1.51199298943754E-7</v>
      </c>
      <c r="BM54" s="100">
        <v>0</v>
      </c>
      <c r="BN54" s="100">
        <v>8.3071212657932198E-8</v>
      </c>
      <c r="BO54" s="100">
        <v>1.3673922422265599E-4</v>
      </c>
      <c r="BP54" s="100">
        <v>1.8791250436280001E-7</v>
      </c>
      <c r="BQ54" s="101">
        <v>0</v>
      </c>
    </row>
    <row r="55" spans="1:69" ht="15" customHeight="1" x14ac:dyDescent="0.3">
      <c r="A55" s="33" t="s">
        <v>73</v>
      </c>
      <c r="B55" s="11" t="s">
        <v>141</v>
      </c>
      <c r="C55" s="99">
        <v>0</v>
      </c>
      <c r="D55" s="100">
        <v>0</v>
      </c>
      <c r="E55" s="100">
        <v>0</v>
      </c>
      <c r="F55" s="100">
        <v>2.20247118073267E-7</v>
      </c>
      <c r="G55" s="100">
        <v>3.9797567912461502E-5</v>
      </c>
      <c r="H55" s="100">
        <v>3.8426623578502102E-5</v>
      </c>
      <c r="I55" s="100">
        <v>2.6131314666886299E-7</v>
      </c>
      <c r="J55" s="100">
        <v>6.6649079020705105E-5</v>
      </c>
      <c r="K55" s="100">
        <v>1.29244458471083E-4</v>
      </c>
      <c r="L55" s="100">
        <v>8.1371647128578104E-5</v>
      </c>
      <c r="M55" s="100">
        <v>1.23878489621121E-4</v>
      </c>
      <c r="N55" s="100">
        <v>1.0638151668149201E-6</v>
      </c>
      <c r="O55" s="100">
        <v>4.3203760009465598E-5</v>
      </c>
      <c r="P55" s="100">
        <v>1.97007047946975E-4</v>
      </c>
      <c r="Q55" s="100">
        <v>1.0371472173610999E-4</v>
      </c>
      <c r="R55" s="100">
        <v>7.5125472742459803E-7</v>
      </c>
      <c r="S55" s="100">
        <v>1.2189393076367E-4</v>
      </c>
      <c r="T55" s="100">
        <v>5.2099014986227302E-4</v>
      </c>
      <c r="U55" s="100">
        <v>1.20693075112233E-5</v>
      </c>
      <c r="V55" s="100">
        <v>9.3582339535537802E-7</v>
      </c>
      <c r="W55" s="100">
        <v>4.3700587414882298E-5</v>
      </c>
      <c r="X55" s="100">
        <v>1.1028710459913E-4</v>
      </c>
      <c r="Y55" s="100">
        <v>3.3931167382316998E-7</v>
      </c>
      <c r="Z55" s="100">
        <v>1.0677436659146501E-4</v>
      </c>
      <c r="AA55" s="100">
        <v>2.2078628382211998E-5</v>
      </c>
      <c r="AB55" s="100">
        <v>9.8292559421541304E-5</v>
      </c>
      <c r="AC55" s="100">
        <v>2.6879730651412001E-5</v>
      </c>
      <c r="AD55" s="100">
        <v>3.26422127449341E-5</v>
      </c>
      <c r="AE55" s="100">
        <v>5.8412392329511803E-5</v>
      </c>
      <c r="AF55" s="100">
        <v>1.4418928077090099E-4</v>
      </c>
      <c r="AG55" s="100">
        <v>9.6058816443413304E-5</v>
      </c>
      <c r="AH55" s="100">
        <v>7.8116645101294807E-5</v>
      </c>
      <c r="AI55" s="100">
        <v>1.4081958596699401E-4</v>
      </c>
      <c r="AJ55" s="100">
        <v>2.7753016021057002E-4</v>
      </c>
      <c r="AK55" s="100">
        <v>7.0596850201480195E-5</v>
      </c>
      <c r="AL55" s="100">
        <v>1.58393986990118E-4</v>
      </c>
      <c r="AM55" s="100">
        <v>2.5992552168111701E-5</v>
      </c>
      <c r="AN55" s="100">
        <v>1.9196632030918399E-5</v>
      </c>
      <c r="AO55" s="100">
        <v>2.39494465685801E-7</v>
      </c>
      <c r="AP55" s="100">
        <v>9.8666953570494397E-5</v>
      </c>
      <c r="AQ55" s="100">
        <v>4.3576338347768799E-5</v>
      </c>
      <c r="AR55" s="100">
        <v>2.9980220745914299E-5</v>
      </c>
      <c r="AS55" s="100">
        <v>1.4134774351239101E-7</v>
      </c>
      <c r="AT55" s="100">
        <v>1.16939679622773E-4</v>
      </c>
      <c r="AU55" s="100">
        <v>1.5716652492663201E-4</v>
      </c>
      <c r="AV55" s="100">
        <v>9.8796284869155304E-5</v>
      </c>
      <c r="AW55" s="100">
        <v>5.65318703218374E-6</v>
      </c>
      <c r="AX55" s="100">
        <v>4.0670945248551103E-4</v>
      </c>
      <c r="AY55" s="100">
        <v>1.2033214917736E-4</v>
      </c>
      <c r="AZ55" s="100">
        <v>3.8824114877189899E-3</v>
      </c>
      <c r="BA55" s="100">
        <v>6.9837418157971901E-4</v>
      </c>
      <c r="BB55" s="100">
        <v>5.6675845436461895E-4</v>
      </c>
      <c r="BC55" s="100">
        <v>5.87072973061203E-5</v>
      </c>
      <c r="BD55" s="100">
        <v>7.5784490974890504E-4</v>
      </c>
      <c r="BE55" s="100">
        <v>3.4557588618018E-4</v>
      </c>
      <c r="BF55" s="100">
        <v>3.27579590394484E-4</v>
      </c>
      <c r="BG55" s="100">
        <v>6.1897628533118707E-5</v>
      </c>
      <c r="BH55" s="100">
        <v>4.2614985687318299E-4</v>
      </c>
      <c r="BI55" s="100">
        <v>4.3465254638121398E-4</v>
      </c>
      <c r="BJ55" s="100">
        <v>7.3741647543898705E-8</v>
      </c>
      <c r="BK55" s="100">
        <v>8.0048705371450895E-6</v>
      </c>
      <c r="BL55" s="100">
        <v>8.01274103988273E-4</v>
      </c>
      <c r="BM55" s="100">
        <v>2.3392759998820501E-5</v>
      </c>
      <c r="BN55" s="100">
        <v>2.35258366315761E-4</v>
      </c>
      <c r="BO55" s="100">
        <v>6.7345260249476995E-4</v>
      </c>
      <c r="BP55" s="100">
        <v>6.6300075566195897E-4</v>
      </c>
      <c r="BQ55" s="101">
        <v>0</v>
      </c>
    </row>
    <row r="56" spans="1:69" ht="15" customHeight="1" x14ac:dyDescent="0.3">
      <c r="A56" s="33" t="s">
        <v>74</v>
      </c>
      <c r="B56" s="11" t="s">
        <v>142</v>
      </c>
      <c r="C56" s="99">
        <v>3.8923731129718103E-6</v>
      </c>
      <c r="D56" s="100">
        <v>4.6552686231430801E-8</v>
      </c>
      <c r="E56" s="100">
        <v>3.9190417312125003E-8</v>
      </c>
      <c r="F56" s="100">
        <v>1.18496449041009E-6</v>
      </c>
      <c r="G56" s="100">
        <v>2.76384488051726E-5</v>
      </c>
      <c r="H56" s="100">
        <v>2.1874638081169299E-4</v>
      </c>
      <c r="I56" s="100">
        <v>9.8885857650030204E-5</v>
      </c>
      <c r="J56" s="100">
        <v>1.18304335126104E-4</v>
      </c>
      <c r="K56" s="100">
        <v>8.4799621375648703E-7</v>
      </c>
      <c r="L56" s="100">
        <v>2.20613299265226E-4</v>
      </c>
      <c r="M56" s="100">
        <v>6.8322557577336597E-5</v>
      </c>
      <c r="N56" s="100">
        <v>1.90334588167759E-4</v>
      </c>
      <c r="O56" s="100">
        <v>6.1270302417305094E-5</v>
      </c>
      <c r="P56" s="100">
        <v>4.9242267867948397E-5</v>
      </c>
      <c r="Q56" s="100">
        <v>3.9741300338644997E-5</v>
      </c>
      <c r="R56" s="100">
        <v>1.8282769563420899E-6</v>
      </c>
      <c r="S56" s="100">
        <v>1.8918361795198699E-4</v>
      </c>
      <c r="T56" s="100">
        <v>6.2638260843951201E-7</v>
      </c>
      <c r="U56" s="100">
        <v>8.5780770137197303E-6</v>
      </c>
      <c r="V56" s="100">
        <v>1.1722864888621901E-6</v>
      </c>
      <c r="W56" s="100">
        <v>1.6669078805460699E-4</v>
      </c>
      <c r="X56" s="100">
        <v>2.7202937428897299E-4</v>
      </c>
      <c r="Y56" s="100">
        <v>3.8648709238473899E-5</v>
      </c>
      <c r="Z56" s="100">
        <v>4.7569772346947001E-4</v>
      </c>
      <c r="AA56" s="100">
        <v>1.0008722337115501E-4</v>
      </c>
      <c r="AB56" s="100">
        <v>7.5206189376094001E-5</v>
      </c>
      <c r="AC56" s="100">
        <v>7.2532470529885199E-5</v>
      </c>
      <c r="AD56" s="100">
        <v>2.68928295155676E-5</v>
      </c>
      <c r="AE56" s="100">
        <v>1.14590241280078E-4</v>
      </c>
      <c r="AF56" s="100">
        <v>2.7359493868921902E-4</v>
      </c>
      <c r="AG56" s="100">
        <v>3.6094900408660898E-4</v>
      </c>
      <c r="AH56" s="100">
        <v>1.79937354336295E-4</v>
      </c>
      <c r="AI56" s="100">
        <v>3.2488321029841501E-4</v>
      </c>
      <c r="AJ56" s="100">
        <v>1.3773683131311799E-4</v>
      </c>
      <c r="AK56" s="100">
        <v>1.04209906729655E-4</v>
      </c>
      <c r="AL56" s="100">
        <v>1.3546632211829701E-4</v>
      </c>
      <c r="AM56" s="100">
        <v>1.7505297760768001E-4</v>
      </c>
      <c r="AN56" s="100">
        <v>4.7212681876884299E-4</v>
      </c>
      <c r="AO56" s="100">
        <v>1.1918742029794799E-3</v>
      </c>
      <c r="AP56" s="100">
        <v>7.8044032686317805E-5</v>
      </c>
      <c r="AQ56" s="100">
        <v>1.0325125080797701E-3</v>
      </c>
      <c r="AR56" s="100">
        <v>3.0315969373142197E-4</v>
      </c>
      <c r="AS56" s="100">
        <v>3.1235266787191799E-6</v>
      </c>
      <c r="AT56" s="100">
        <v>1.94285133142256E-3</v>
      </c>
      <c r="AU56" s="100">
        <v>2.0078169160554502E-3</v>
      </c>
      <c r="AV56" s="100">
        <v>2.0214022066918899E-4</v>
      </c>
      <c r="AW56" s="100">
        <v>7.7858531005659296E-5</v>
      </c>
      <c r="AX56" s="100">
        <v>2.4653226902816398E-3</v>
      </c>
      <c r="AY56" s="100">
        <v>5.3944610541936796E-3</v>
      </c>
      <c r="AZ56" s="100">
        <v>2.4332998320521701E-3</v>
      </c>
      <c r="BA56" s="100">
        <v>8.5520789695423E-3</v>
      </c>
      <c r="BB56" s="100">
        <v>5.9807353021237098E-3</v>
      </c>
      <c r="BC56" s="100">
        <v>4.9995682247247498E-5</v>
      </c>
      <c r="BD56" s="100">
        <v>1.8663206570945399E-3</v>
      </c>
      <c r="BE56" s="100">
        <v>8.1077836627020195E-5</v>
      </c>
      <c r="BF56" s="100">
        <v>2.3061102929008499E-2</v>
      </c>
      <c r="BG56" s="100">
        <v>7.3286549323716603E-4</v>
      </c>
      <c r="BH56" s="100">
        <v>6.5273806348899502E-4</v>
      </c>
      <c r="BI56" s="100">
        <v>1.1818415872763899E-3</v>
      </c>
      <c r="BJ56" s="100">
        <v>2.5691018241342199E-3</v>
      </c>
      <c r="BK56" s="100">
        <v>6.1704902868661704E-4</v>
      </c>
      <c r="BL56" s="100">
        <v>3.0791734639265902E-4</v>
      </c>
      <c r="BM56" s="100">
        <v>1.6907473536589301E-3</v>
      </c>
      <c r="BN56" s="100">
        <v>2.4789444222869901E-6</v>
      </c>
      <c r="BO56" s="100">
        <v>9.7753794203978895E-4</v>
      </c>
      <c r="BP56" s="100">
        <v>2.5067905213701702E-3</v>
      </c>
      <c r="BQ56" s="101">
        <v>0</v>
      </c>
    </row>
    <row r="57" spans="1:69" ht="15" customHeight="1" x14ac:dyDescent="0.3">
      <c r="A57" s="33" t="s">
        <v>75</v>
      </c>
      <c r="B57" s="11" t="s">
        <v>143</v>
      </c>
      <c r="C57" s="99">
        <v>1.4457377151604501E-3</v>
      </c>
      <c r="D57" s="100">
        <v>1.3557158067067699E-3</v>
      </c>
      <c r="E57" s="100">
        <v>1.0121050844277401E-3</v>
      </c>
      <c r="F57" s="100">
        <v>2.2127093580158199E-3</v>
      </c>
      <c r="G57" s="100">
        <v>1.90199388271308E-3</v>
      </c>
      <c r="H57" s="100">
        <v>7.9874903282576204E-4</v>
      </c>
      <c r="I57" s="100">
        <v>1.5446594099692099E-3</v>
      </c>
      <c r="J57" s="100">
        <v>1.2454663831384699E-3</v>
      </c>
      <c r="K57" s="100">
        <v>2.2999798413435701E-3</v>
      </c>
      <c r="L57" s="100">
        <v>1.11297359603807E-3</v>
      </c>
      <c r="M57" s="100">
        <v>1.8064080916481201E-3</v>
      </c>
      <c r="N57" s="100">
        <v>1.23163031155242E-3</v>
      </c>
      <c r="O57" s="100">
        <v>1.0727015706919201E-3</v>
      </c>
      <c r="P57" s="100">
        <v>1.3922482790753199E-3</v>
      </c>
      <c r="Q57" s="100">
        <v>1.4423728067760699E-3</v>
      </c>
      <c r="R57" s="100">
        <v>1.16080704256412E-3</v>
      </c>
      <c r="S57" s="100">
        <v>1.9524116517522E-3</v>
      </c>
      <c r="T57" s="100">
        <v>1.6374046493387599E-3</v>
      </c>
      <c r="U57" s="100">
        <v>5.9186005727260901E-4</v>
      </c>
      <c r="V57" s="100">
        <v>1.1279955461077601E-3</v>
      </c>
      <c r="W57" s="100">
        <v>1.3246431119067999E-3</v>
      </c>
      <c r="X57" s="100">
        <v>8.8264530992729102E-4</v>
      </c>
      <c r="Y57" s="100">
        <v>1.0392379195744599E-3</v>
      </c>
      <c r="Z57" s="100">
        <v>1.0863618150952E-3</v>
      </c>
      <c r="AA57" s="100">
        <v>1.2367602370513E-3</v>
      </c>
      <c r="AB57" s="100">
        <v>1.79822754091129E-3</v>
      </c>
      <c r="AC57" s="100">
        <v>1.2353424701613E-3</v>
      </c>
      <c r="AD57" s="100">
        <v>9.7968959400456792E-4</v>
      </c>
      <c r="AE57" s="100">
        <v>1.1386185842102701E-3</v>
      </c>
      <c r="AF57" s="100">
        <v>8.8275934053692895E-4</v>
      </c>
      <c r="AG57" s="100">
        <v>1.2491281434423901E-3</v>
      </c>
      <c r="AH57" s="100">
        <v>1.3318911149908001E-3</v>
      </c>
      <c r="AI57" s="100">
        <v>1.3474329694151499E-3</v>
      </c>
      <c r="AJ57" s="100">
        <v>1.1537702818542499E-3</v>
      </c>
      <c r="AK57" s="100">
        <v>1.0773868122589401E-3</v>
      </c>
      <c r="AL57" s="100">
        <v>9.1012122821846004E-4</v>
      </c>
      <c r="AM57" s="100">
        <v>7.43490086654113E-4</v>
      </c>
      <c r="AN57" s="100">
        <v>2.2408887648881401E-3</v>
      </c>
      <c r="AO57" s="100">
        <v>2.1903233797344198E-3</v>
      </c>
      <c r="AP57" s="100">
        <v>1.8274940668889599E-3</v>
      </c>
      <c r="AQ57" s="100">
        <v>4.3053708904750802E-3</v>
      </c>
      <c r="AR57" s="100">
        <v>2.3196346246838798E-3</v>
      </c>
      <c r="AS57" s="100">
        <v>2.6130997442384099E-3</v>
      </c>
      <c r="AT57" s="100">
        <v>2.1336824224860102E-3</v>
      </c>
      <c r="AU57" s="100">
        <v>2.78131564487677E-3</v>
      </c>
      <c r="AV57" s="100">
        <v>3.1365056234142099E-3</v>
      </c>
      <c r="AW57" s="100">
        <v>1.46715811776942E-3</v>
      </c>
      <c r="AX57" s="100">
        <v>2.29543332869036E-3</v>
      </c>
      <c r="AY57" s="100">
        <v>2.6565750292234101E-3</v>
      </c>
      <c r="AZ57" s="100">
        <v>4.0548919513596097E-3</v>
      </c>
      <c r="BA57" s="100">
        <v>2.3851272932113102E-3</v>
      </c>
      <c r="BB57" s="100">
        <v>7.2809377883330598E-3</v>
      </c>
      <c r="BC57" s="100">
        <v>2.7195826009996601E-3</v>
      </c>
      <c r="BD57" s="100">
        <v>2.7503382112904402E-3</v>
      </c>
      <c r="BE57" s="100">
        <v>2.8862838536904399E-3</v>
      </c>
      <c r="BF57" s="100">
        <v>1.27555156089573E-3</v>
      </c>
      <c r="BG57" s="100">
        <v>3.6417996397589401E-3</v>
      </c>
      <c r="BH57" s="100">
        <v>2.3623224929114101E-3</v>
      </c>
      <c r="BI57" s="100">
        <v>3.4006343538792701E-3</v>
      </c>
      <c r="BJ57" s="100">
        <v>1.72278648237198E-2</v>
      </c>
      <c r="BK57" s="100">
        <v>1.33580685902001E-4</v>
      </c>
      <c r="BL57" s="100">
        <v>2.1615220194534301E-3</v>
      </c>
      <c r="BM57" s="100">
        <v>1.7559099667888899E-4</v>
      </c>
      <c r="BN57" s="100">
        <v>2.1796142156053498E-3</v>
      </c>
      <c r="BO57" s="100">
        <v>1.7443060581425001E-3</v>
      </c>
      <c r="BP57" s="100">
        <v>1.08645519212244E-3</v>
      </c>
      <c r="BQ57" s="101">
        <v>0</v>
      </c>
    </row>
    <row r="58" spans="1:69" ht="15" customHeight="1" x14ac:dyDescent="0.3">
      <c r="A58" s="33" t="s">
        <v>76</v>
      </c>
      <c r="B58" s="11" t="s">
        <v>144</v>
      </c>
      <c r="C58" s="99">
        <v>0</v>
      </c>
      <c r="D58" s="100">
        <v>0</v>
      </c>
      <c r="E58" s="100">
        <v>0</v>
      </c>
      <c r="F58" s="100">
        <v>4.0506529046216803E-5</v>
      </c>
      <c r="G58" s="100">
        <v>2.4493394224400998E-5</v>
      </c>
      <c r="H58" s="100">
        <v>2.1377983977854101E-5</v>
      </c>
      <c r="I58" s="100">
        <v>4.0691583019056902E-5</v>
      </c>
      <c r="J58" s="100">
        <v>5.4792908182014801E-5</v>
      </c>
      <c r="K58" s="100">
        <v>8.8691061663259305E-5</v>
      </c>
      <c r="L58" s="100">
        <v>4.3159774485941598E-5</v>
      </c>
      <c r="M58" s="100">
        <v>2.7566709742075902E-5</v>
      </c>
      <c r="N58" s="100">
        <v>6.3938552392794494E-5</v>
      </c>
      <c r="O58" s="100">
        <v>8.0740896949670803E-5</v>
      </c>
      <c r="P58" s="100">
        <v>1.43963303517876E-4</v>
      </c>
      <c r="Q58" s="100">
        <v>9.4889581496333201E-5</v>
      </c>
      <c r="R58" s="100">
        <v>2.5242594127120399E-5</v>
      </c>
      <c r="S58" s="100">
        <v>4.2937599878416302E-5</v>
      </c>
      <c r="T58" s="100">
        <v>7.7549746155770904E-5</v>
      </c>
      <c r="U58" s="100">
        <v>1.38530494181285E-5</v>
      </c>
      <c r="V58" s="100">
        <v>1.05869010671897E-4</v>
      </c>
      <c r="W58" s="100">
        <v>2.31253962115464E-5</v>
      </c>
      <c r="X58" s="100">
        <v>4.0631370732122997E-5</v>
      </c>
      <c r="Y58" s="100">
        <v>7.5223112665151305E-5</v>
      </c>
      <c r="Z58" s="100">
        <v>6.3535071842185894E-5</v>
      </c>
      <c r="AA58" s="100">
        <v>8.5069650009810796E-5</v>
      </c>
      <c r="AB58" s="100">
        <v>5.1124177569024602E-5</v>
      </c>
      <c r="AC58" s="100">
        <v>3.6642821996471397E-5</v>
      </c>
      <c r="AD58" s="100">
        <v>0</v>
      </c>
      <c r="AE58" s="100">
        <v>3.8457689113728403E-5</v>
      </c>
      <c r="AF58" s="100">
        <v>2.3051379875308201E-5</v>
      </c>
      <c r="AG58" s="100">
        <v>3.6999597042002503E-5</v>
      </c>
      <c r="AH58" s="100">
        <v>4.7791781553728497E-5</v>
      </c>
      <c r="AI58" s="100">
        <v>1.1062287991390901E-5</v>
      </c>
      <c r="AJ58" s="100">
        <v>4.0342531022110298E-5</v>
      </c>
      <c r="AK58" s="100">
        <v>9.18103330025609E-5</v>
      </c>
      <c r="AL58" s="100">
        <v>8.7806553151396005E-5</v>
      </c>
      <c r="AM58" s="100">
        <v>1.6254702918582299E-5</v>
      </c>
      <c r="AN58" s="100">
        <v>3.7913035971840199E-5</v>
      </c>
      <c r="AO58" s="100">
        <v>6.8970640748814506E-5</v>
      </c>
      <c r="AP58" s="100">
        <v>2.37712808147768E-4</v>
      </c>
      <c r="AQ58" s="100">
        <v>8.65081295320111E-4</v>
      </c>
      <c r="AR58" s="100">
        <v>2.0393914322862101E-4</v>
      </c>
      <c r="AS58" s="100">
        <v>4.3775458433515901E-5</v>
      </c>
      <c r="AT58" s="100">
        <v>5.44918605826187E-5</v>
      </c>
      <c r="AU58" s="100">
        <v>5.2877660867325699E-4</v>
      </c>
      <c r="AV58" s="100">
        <v>7.35250384616639E-4</v>
      </c>
      <c r="AW58" s="100">
        <v>1.7507945142580699E-3</v>
      </c>
      <c r="AX58" s="100">
        <v>1.9668928163546199E-4</v>
      </c>
      <c r="AY58" s="100">
        <v>2.9741029567815201E-4</v>
      </c>
      <c r="AZ58" s="100">
        <v>2.8156335278708402E-4</v>
      </c>
      <c r="BA58" s="100">
        <v>6.1493537101291304E-4</v>
      </c>
      <c r="BB58" s="100">
        <v>2.09216831503122E-5</v>
      </c>
      <c r="BC58" s="100">
        <v>4.4838424952182401E-4</v>
      </c>
      <c r="BD58" s="100">
        <v>1.3886198810290199E-3</v>
      </c>
      <c r="BE58" s="100">
        <v>1.65224161419433E-3</v>
      </c>
      <c r="BF58" s="100">
        <v>8.9304479264447204E-4</v>
      </c>
      <c r="BG58" s="100">
        <v>3.9752911769453001E-3</v>
      </c>
      <c r="BH58" s="100">
        <v>1.3113568834441599E-3</v>
      </c>
      <c r="BI58" s="100">
        <v>1.8184542006501601E-4</v>
      </c>
      <c r="BJ58" s="100">
        <v>2.28383223907326E-5</v>
      </c>
      <c r="BK58" s="100">
        <v>5.71470080242503E-6</v>
      </c>
      <c r="BL58" s="100">
        <v>7.77020218160629E-4</v>
      </c>
      <c r="BM58" s="100">
        <v>0</v>
      </c>
      <c r="BN58" s="100">
        <v>4.2732237016667899E-4</v>
      </c>
      <c r="BO58" s="100">
        <v>2.06929650211268E-3</v>
      </c>
      <c r="BP58" s="100">
        <v>9.6598069408682802E-4</v>
      </c>
      <c r="BQ58" s="101">
        <v>0</v>
      </c>
    </row>
    <row r="59" spans="1:69" ht="15" customHeight="1" x14ac:dyDescent="0.3">
      <c r="A59" s="33" t="s">
        <v>77</v>
      </c>
      <c r="B59" s="11" t="s">
        <v>145</v>
      </c>
      <c r="C59" s="99">
        <v>0</v>
      </c>
      <c r="D59" s="100">
        <v>0</v>
      </c>
      <c r="E59" s="100">
        <v>0</v>
      </c>
      <c r="F59" s="100">
        <v>1.83613140894476E-4</v>
      </c>
      <c r="G59" s="100">
        <v>1.1673919935323501E-4</v>
      </c>
      <c r="H59" s="100">
        <v>5.3082667839355097E-6</v>
      </c>
      <c r="I59" s="100">
        <v>1.3637747380977199E-4</v>
      </c>
      <c r="J59" s="100">
        <v>1.3436403038978001E-4</v>
      </c>
      <c r="K59" s="100">
        <v>8.3863631302820099E-5</v>
      </c>
      <c r="L59" s="100">
        <v>8.6612457468999697E-5</v>
      </c>
      <c r="M59" s="100">
        <v>1.9508317726107699E-4</v>
      </c>
      <c r="N59" s="100">
        <v>3.8224484185622E-4</v>
      </c>
      <c r="O59" s="100">
        <v>7.5602264296133697E-5</v>
      </c>
      <c r="P59" s="100">
        <v>1.04679111411818E-4</v>
      </c>
      <c r="Q59" s="100">
        <v>7.7368068562609605E-5</v>
      </c>
      <c r="R59" s="100">
        <v>4.82771848236029E-5</v>
      </c>
      <c r="S59" s="100">
        <v>1.99159807264206E-4</v>
      </c>
      <c r="T59" s="100">
        <v>9.3363450393729006E-5</v>
      </c>
      <c r="U59" s="100">
        <v>5.1850042972203495E-4</v>
      </c>
      <c r="V59" s="100">
        <v>1.45418852489868E-4</v>
      </c>
      <c r="W59" s="100">
        <v>2.1457722194583801E-4</v>
      </c>
      <c r="X59" s="100">
        <v>1.10086424270088E-4</v>
      </c>
      <c r="Y59" s="100">
        <v>1.06214664839588E-4</v>
      </c>
      <c r="Z59" s="100">
        <v>1.6175985850301901E-4</v>
      </c>
      <c r="AA59" s="100">
        <v>3.5047397841386801E-4</v>
      </c>
      <c r="AB59" s="100">
        <v>1.26656565160811E-4</v>
      </c>
      <c r="AC59" s="100">
        <v>3.0970640624219698E-5</v>
      </c>
      <c r="AD59" s="100">
        <v>1.8334186234857E-4</v>
      </c>
      <c r="AE59" s="100">
        <v>1.1874220233127001E-4</v>
      </c>
      <c r="AF59" s="100">
        <v>5.9649447409701505E-4</v>
      </c>
      <c r="AG59" s="100">
        <v>6.9121503934878098E-5</v>
      </c>
      <c r="AH59" s="100">
        <v>4.5509088368284799E-4</v>
      </c>
      <c r="AI59" s="100">
        <v>5.1061722689730205E-4</v>
      </c>
      <c r="AJ59" s="100">
        <v>3.24925901964661E-4</v>
      </c>
      <c r="AK59" s="100">
        <v>2.49287507820422E-4</v>
      </c>
      <c r="AL59" s="100">
        <v>8.0981557087953394E-5</v>
      </c>
      <c r="AM59" s="100">
        <v>2.3604817121549701E-8</v>
      </c>
      <c r="AN59" s="100">
        <v>8.2059434157994598E-5</v>
      </c>
      <c r="AO59" s="100">
        <v>1.8548171484084101E-3</v>
      </c>
      <c r="AP59" s="100">
        <v>2.9493608966475997E-4</v>
      </c>
      <c r="AQ59" s="100">
        <v>1.55924356554125E-3</v>
      </c>
      <c r="AR59" s="100">
        <v>3.40526922516144E-4</v>
      </c>
      <c r="AS59" s="100">
        <v>1.6046690827405501E-4</v>
      </c>
      <c r="AT59" s="100">
        <v>7.6150847585950299E-4</v>
      </c>
      <c r="AU59" s="100">
        <v>7.2010601225506402E-4</v>
      </c>
      <c r="AV59" s="100">
        <v>6.2810301997588493E-5</v>
      </c>
      <c r="AW59" s="100">
        <v>9.8979267457175102E-5</v>
      </c>
      <c r="AX59" s="100">
        <v>2.25831634380022E-4</v>
      </c>
      <c r="AY59" s="100">
        <v>1.11137827741847E-3</v>
      </c>
      <c r="AZ59" s="100">
        <v>5.6005674500898795E-4</v>
      </c>
      <c r="BA59" s="100">
        <v>2.35564491880708E-3</v>
      </c>
      <c r="BB59" s="100">
        <v>1.71375309131389E-3</v>
      </c>
      <c r="BC59" s="100">
        <v>1.47801285594872E-4</v>
      </c>
      <c r="BD59" s="100">
        <v>8.0284548906152404E-3</v>
      </c>
      <c r="BE59" s="100">
        <v>3.0228405628876902E-3</v>
      </c>
      <c r="BF59" s="100">
        <v>4.4269157826804499E-4</v>
      </c>
      <c r="BG59" s="100">
        <v>2.7054946542783503E-4</v>
      </c>
      <c r="BH59" s="100">
        <v>4.5532137651711801E-4</v>
      </c>
      <c r="BI59" s="100">
        <v>1.0334378869289E-3</v>
      </c>
      <c r="BJ59" s="100">
        <v>2.4348662989886601E-4</v>
      </c>
      <c r="BK59" s="100">
        <v>1.6029774262914401E-5</v>
      </c>
      <c r="BL59" s="100">
        <v>6.0280190977745902E-4</v>
      </c>
      <c r="BM59" s="100">
        <v>6.3733055320828994E-5</v>
      </c>
      <c r="BN59" s="100">
        <v>1.8567445228736301E-4</v>
      </c>
      <c r="BO59" s="100">
        <v>1.67510192123919E-3</v>
      </c>
      <c r="BP59" s="100">
        <v>1.2509794586194299E-3</v>
      </c>
      <c r="BQ59" s="101">
        <v>0</v>
      </c>
    </row>
    <row r="60" spans="1:69" ht="15" customHeight="1" x14ac:dyDescent="0.3">
      <c r="A60" s="33" t="s">
        <v>78</v>
      </c>
      <c r="B60" s="11" t="s">
        <v>146</v>
      </c>
      <c r="C60" s="99">
        <v>4.79021280420127E-4</v>
      </c>
      <c r="D60" s="100">
        <v>3.8409165761005898E-5</v>
      </c>
      <c r="E60" s="100">
        <v>5.6514268689015798E-7</v>
      </c>
      <c r="F60" s="100">
        <v>8.20322097695302E-4</v>
      </c>
      <c r="G60" s="100">
        <v>1.8245559103085901E-3</v>
      </c>
      <c r="H60" s="100">
        <v>1.51173843392166E-3</v>
      </c>
      <c r="I60" s="100">
        <v>2.1534213957607401E-3</v>
      </c>
      <c r="J60" s="100">
        <v>1.0823761664227999E-3</v>
      </c>
      <c r="K60" s="100">
        <v>2.6854726422191901E-3</v>
      </c>
      <c r="L60" s="100">
        <v>9.4335978846144604E-4</v>
      </c>
      <c r="M60" s="100">
        <v>8.0047355096287895E-4</v>
      </c>
      <c r="N60" s="100">
        <v>2.8833789259609301E-3</v>
      </c>
      <c r="O60" s="100">
        <v>3.4258926992353098E-4</v>
      </c>
      <c r="P60" s="100">
        <v>7.7620645797490397E-4</v>
      </c>
      <c r="Q60" s="100">
        <v>6.7792262081360004E-4</v>
      </c>
      <c r="R60" s="100">
        <v>6.2020730596727496E-4</v>
      </c>
      <c r="S60" s="100">
        <v>1.7074315346922401E-3</v>
      </c>
      <c r="T60" s="100">
        <v>5.9225529328635503E-4</v>
      </c>
      <c r="U60" s="100">
        <v>1.40137628672615E-4</v>
      </c>
      <c r="V60" s="100">
        <v>1.9456352374565701E-3</v>
      </c>
      <c r="W60" s="100">
        <v>1.3135610262554501E-3</v>
      </c>
      <c r="X60" s="100">
        <v>2.0107819810888301E-3</v>
      </c>
      <c r="Y60" s="100">
        <v>2.26637285204762E-3</v>
      </c>
      <c r="Z60" s="100">
        <v>3.75854282388595E-3</v>
      </c>
      <c r="AA60" s="100">
        <v>1.9990844211024601E-3</v>
      </c>
      <c r="AB60" s="100">
        <v>1.7454644346331801E-3</v>
      </c>
      <c r="AC60" s="100">
        <v>6.0492594001732502E-4</v>
      </c>
      <c r="AD60" s="100">
        <v>1.0512225177288701E-3</v>
      </c>
      <c r="AE60" s="100">
        <v>1.0633471812476101E-3</v>
      </c>
      <c r="AF60" s="100">
        <v>1.39258759242684E-3</v>
      </c>
      <c r="AG60" s="100">
        <v>1.05921571865833E-3</v>
      </c>
      <c r="AH60" s="100">
        <v>3.7137259094879201E-3</v>
      </c>
      <c r="AI60" s="100">
        <v>2.2846130799877898E-3</v>
      </c>
      <c r="AJ60" s="100">
        <v>1.8800220311587399E-3</v>
      </c>
      <c r="AK60" s="100">
        <v>8.4457863385413998E-4</v>
      </c>
      <c r="AL60" s="100">
        <v>9.6346249329066699E-4</v>
      </c>
      <c r="AM60" s="100">
        <v>9.0275500114419399E-4</v>
      </c>
      <c r="AN60" s="100">
        <v>1.62559559445683E-3</v>
      </c>
      <c r="AO60" s="100">
        <v>2.0270879955014299E-3</v>
      </c>
      <c r="AP60" s="100">
        <v>1.5009704737256699E-3</v>
      </c>
      <c r="AQ60" s="100">
        <v>4.1402527180132699E-4</v>
      </c>
      <c r="AR60" s="100">
        <v>3.20219771524997E-4</v>
      </c>
      <c r="AS60" s="100">
        <v>1.01258493197588E-5</v>
      </c>
      <c r="AT60" s="100">
        <v>3.3172166859782E-7</v>
      </c>
      <c r="AU60" s="100">
        <v>1.5679671288465001E-2</v>
      </c>
      <c r="AV60" s="100">
        <v>6.2452392255733704E-5</v>
      </c>
      <c r="AW60" s="100">
        <v>1.7089210572279599E-5</v>
      </c>
      <c r="AX60" s="100">
        <v>1.20701178144516E-6</v>
      </c>
      <c r="AY60" s="100">
        <v>1.84769117840264E-6</v>
      </c>
      <c r="AZ60" s="100">
        <v>6.6260208571153899E-6</v>
      </c>
      <c r="BA60" s="100">
        <v>7.0999092453895795E-4</v>
      </c>
      <c r="BB60" s="100">
        <v>2.4013933131107899E-4</v>
      </c>
      <c r="BC60" s="100">
        <v>9.3196681870506405E-6</v>
      </c>
      <c r="BD60" s="100">
        <v>7.6632609383051406E-6</v>
      </c>
      <c r="BE60" s="100">
        <v>1.295720925317E-2</v>
      </c>
      <c r="BF60" s="100">
        <v>4.8952537495022103E-6</v>
      </c>
      <c r="BG60" s="100">
        <v>4.9057974403334502E-4</v>
      </c>
      <c r="BH60" s="100">
        <v>3.7787585967060202E-5</v>
      </c>
      <c r="BI60" s="100">
        <v>1.5973655550325001E-6</v>
      </c>
      <c r="BJ60" s="100">
        <v>1.1315524907179E-3</v>
      </c>
      <c r="BK60" s="100">
        <v>1.2870538203686101E-3</v>
      </c>
      <c r="BL60" s="100">
        <v>2.9438974229533001E-4</v>
      </c>
      <c r="BM60" s="100">
        <v>2.92585941874307E-3</v>
      </c>
      <c r="BN60" s="100">
        <v>2.4753626912128E-6</v>
      </c>
      <c r="BO60" s="100">
        <v>1.12173712900125E-5</v>
      </c>
      <c r="BP60" s="100">
        <v>5.3155772677136102E-6</v>
      </c>
      <c r="BQ60" s="101">
        <v>0</v>
      </c>
    </row>
    <row r="61" spans="1:69" ht="15" customHeight="1" x14ac:dyDescent="0.3">
      <c r="A61" s="33" t="s">
        <v>79</v>
      </c>
      <c r="B61" s="11" t="s">
        <v>147</v>
      </c>
      <c r="C61" s="99">
        <v>0</v>
      </c>
      <c r="D61" s="100">
        <v>1.2664581911976501E-4</v>
      </c>
      <c r="E61" s="100">
        <v>1.5866665493912099E-4</v>
      </c>
      <c r="F61" s="100">
        <v>1.8354075816488601E-4</v>
      </c>
      <c r="G61" s="100">
        <v>1.5436955702710501E-4</v>
      </c>
      <c r="H61" s="100">
        <v>8.7708787300892596E-9</v>
      </c>
      <c r="I61" s="100">
        <v>1.7062051070710701E-8</v>
      </c>
      <c r="J61" s="100">
        <v>5.2153439113697701E-4</v>
      </c>
      <c r="K61" s="100">
        <v>3.8899998556925398E-4</v>
      </c>
      <c r="L61" s="100">
        <v>6.7921588386452903E-4</v>
      </c>
      <c r="M61" s="100">
        <v>4.5027931757914601E-3</v>
      </c>
      <c r="N61" s="100">
        <v>1.3802908156715899E-3</v>
      </c>
      <c r="O61" s="100">
        <v>2.16981952636078E-4</v>
      </c>
      <c r="P61" s="100">
        <v>5.5045203931592497E-4</v>
      </c>
      <c r="Q61" s="100">
        <v>1.18848111459399E-3</v>
      </c>
      <c r="R61" s="100">
        <v>1.4692561865998899E-4</v>
      </c>
      <c r="S61" s="100">
        <v>3.8884217978215501E-4</v>
      </c>
      <c r="T61" s="100">
        <v>1.64071476546587E-4</v>
      </c>
      <c r="U61" s="100">
        <v>3.2989067323632602E-5</v>
      </c>
      <c r="V61" s="100">
        <v>2.2999854700978399E-4</v>
      </c>
      <c r="W61" s="100">
        <v>7.8942375685496497E-5</v>
      </c>
      <c r="X61" s="100">
        <v>3.74230355689991E-4</v>
      </c>
      <c r="Y61" s="100">
        <v>1.6860463000171299E-3</v>
      </c>
      <c r="Z61" s="100">
        <v>1.79352423744227E-3</v>
      </c>
      <c r="AA61" s="100">
        <v>3.0747739434320703E-4</v>
      </c>
      <c r="AB61" s="100">
        <v>2.2112054619663699E-4</v>
      </c>
      <c r="AC61" s="100">
        <v>8.0347609930015994E-5</v>
      </c>
      <c r="AD61" s="100">
        <v>6.1776483967741002E-9</v>
      </c>
      <c r="AE61" s="100">
        <v>2.67954664257991E-4</v>
      </c>
      <c r="AF61" s="100">
        <v>7.7598657375483303E-4</v>
      </c>
      <c r="AG61" s="100">
        <v>3.6292635157407699E-4</v>
      </c>
      <c r="AH61" s="100">
        <v>2.3064822055998799E-4</v>
      </c>
      <c r="AI61" s="100">
        <v>1.2381458206011599E-3</v>
      </c>
      <c r="AJ61" s="100">
        <v>7.1726803989070493E-5</v>
      </c>
      <c r="AK61" s="100">
        <v>3.6602601386494401E-4</v>
      </c>
      <c r="AL61" s="100">
        <v>3.6437167033333398E-4</v>
      </c>
      <c r="AM61" s="100">
        <v>1.07301966291485E-4</v>
      </c>
      <c r="AN61" s="100">
        <v>4.3745271175080002E-4</v>
      </c>
      <c r="AO61" s="100">
        <v>2.1122033277759899E-4</v>
      </c>
      <c r="AP61" s="100">
        <v>1.9038298032340799E-4</v>
      </c>
      <c r="AQ61" s="100">
        <v>1.3010648372604799E-3</v>
      </c>
      <c r="AR61" s="100">
        <v>1.12254215882345E-4</v>
      </c>
      <c r="AS61" s="100">
        <v>2.41152381306143E-4</v>
      </c>
      <c r="AT61" s="100">
        <v>3.81834628867324E-4</v>
      </c>
      <c r="AU61" s="100">
        <v>8.7123260995234796E-4</v>
      </c>
      <c r="AV61" s="100">
        <v>9.1997021140561696E-4</v>
      </c>
      <c r="AW61" s="100">
        <v>2.3189464507411301E-4</v>
      </c>
      <c r="AX61" s="100">
        <v>3.1288348588886898E-3</v>
      </c>
      <c r="AY61" s="100">
        <v>3.3798466332323001E-3</v>
      </c>
      <c r="AZ61" s="100">
        <v>1.21989659078962E-3</v>
      </c>
      <c r="BA61" s="100">
        <v>1.07922023450155E-3</v>
      </c>
      <c r="BB61" s="100">
        <v>1.20049403018961E-3</v>
      </c>
      <c r="BC61" s="100">
        <v>1.10498167210077E-4</v>
      </c>
      <c r="BD61" s="100">
        <v>1.43921714065295E-3</v>
      </c>
      <c r="BE61" s="100">
        <v>5.5950661189137999E-4</v>
      </c>
      <c r="BF61" s="100">
        <v>1.82076541488494E-3</v>
      </c>
      <c r="BG61" s="100">
        <v>1.30591438538972E-3</v>
      </c>
      <c r="BH61" s="100">
        <v>5.2139334086053E-4</v>
      </c>
      <c r="BI61" s="100">
        <v>2.4286781761748599E-4</v>
      </c>
      <c r="BJ61" s="100">
        <v>2.8015877070996999E-4</v>
      </c>
      <c r="BK61" s="100">
        <v>1.1886142222603599E-4</v>
      </c>
      <c r="BL61" s="100">
        <v>1.6719873057443699E-3</v>
      </c>
      <c r="BM61" s="100">
        <v>3.7422021120024998E-4</v>
      </c>
      <c r="BN61" s="100">
        <v>1.00669016348815E-5</v>
      </c>
      <c r="BO61" s="100">
        <v>3.1676426099125701E-3</v>
      </c>
      <c r="BP61" s="100">
        <v>8.1580006975639704E-4</v>
      </c>
      <c r="BQ61" s="101">
        <v>0</v>
      </c>
    </row>
    <row r="62" spans="1:69" ht="15" customHeight="1" x14ac:dyDescent="0.3">
      <c r="A62" s="33" t="s">
        <v>80</v>
      </c>
      <c r="B62" s="11" t="s">
        <v>148</v>
      </c>
      <c r="C62" s="99">
        <v>6.7415139592369802E-4</v>
      </c>
      <c r="D62" s="100">
        <v>2.22340365629726E-4</v>
      </c>
      <c r="E62" s="100">
        <v>1.2603483367549901E-3</v>
      </c>
      <c r="F62" s="100">
        <v>4.7693451587386701E-3</v>
      </c>
      <c r="G62" s="100">
        <v>1.8769358280678002E-2</v>
      </c>
      <c r="H62" s="100">
        <v>8.3329542018460694E-3</v>
      </c>
      <c r="I62" s="100">
        <v>5.4701911343745298E-3</v>
      </c>
      <c r="J62" s="100">
        <v>6.03743933162123E-4</v>
      </c>
      <c r="K62" s="100">
        <v>4.1912653141123399E-3</v>
      </c>
      <c r="L62" s="100">
        <v>1.7174801800643499E-3</v>
      </c>
      <c r="M62" s="100">
        <v>2.23380747592393E-3</v>
      </c>
      <c r="N62" s="100">
        <v>2.9116916356080901E-3</v>
      </c>
      <c r="O62" s="100">
        <v>5.2253808445484298E-4</v>
      </c>
      <c r="P62" s="100">
        <v>1.0572393766975501E-3</v>
      </c>
      <c r="Q62" s="100">
        <v>1.0084399125797801E-3</v>
      </c>
      <c r="R62" s="100">
        <v>2.1473058869281299E-3</v>
      </c>
      <c r="S62" s="100">
        <v>4.3353053714312003E-3</v>
      </c>
      <c r="T62" s="100">
        <v>3.5593024637816401E-3</v>
      </c>
      <c r="U62" s="100">
        <v>5.8883470208619495E-4</v>
      </c>
      <c r="V62" s="100">
        <v>7.9471347405053998E-4</v>
      </c>
      <c r="W62" s="100">
        <v>1.6298019822803E-3</v>
      </c>
      <c r="X62" s="100">
        <v>3.2903187658422299E-3</v>
      </c>
      <c r="Y62" s="100">
        <v>9.4812558127612301E-4</v>
      </c>
      <c r="Z62" s="100">
        <v>1.5114594154294299E-3</v>
      </c>
      <c r="AA62" s="100">
        <v>3.65560685459016E-3</v>
      </c>
      <c r="AB62" s="100">
        <v>2.03769345067128E-3</v>
      </c>
      <c r="AC62" s="100">
        <v>1.3073031504149399E-3</v>
      </c>
      <c r="AD62" s="100">
        <v>1.5305176122217101E-3</v>
      </c>
      <c r="AE62" s="100">
        <v>2.5005787678071601E-3</v>
      </c>
      <c r="AF62" s="100">
        <v>3.24156565852322E-3</v>
      </c>
      <c r="AG62" s="100">
        <v>1.2436711626472E-3</v>
      </c>
      <c r="AH62" s="100">
        <v>2.3950475451312201E-3</v>
      </c>
      <c r="AI62" s="100">
        <v>6.9200512120069103E-3</v>
      </c>
      <c r="AJ62" s="100">
        <v>3.5545259990618899E-3</v>
      </c>
      <c r="AK62" s="100">
        <v>9.3196702691153502E-3</v>
      </c>
      <c r="AL62" s="100">
        <v>1.58389610423567E-3</v>
      </c>
      <c r="AM62" s="100">
        <v>1.7753223868908301E-3</v>
      </c>
      <c r="AN62" s="100">
        <v>6.22881666706444E-4</v>
      </c>
      <c r="AO62" s="100">
        <v>9.0582789761772895E-3</v>
      </c>
      <c r="AP62" s="100">
        <v>2.7487867328252402E-3</v>
      </c>
      <c r="AQ62" s="100">
        <v>4.2384748500128699E-3</v>
      </c>
      <c r="AR62" s="100">
        <v>4.5504781696019897E-3</v>
      </c>
      <c r="AS62" s="100">
        <v>2.27975076996146E-2</v>
      </c>
      <c r="AT62" s="100">
        <v>2.73665273898752E-2</v>
      </c>
      <c r="AU62" s="100">
        <v>7.1465354234201504E-3</v>
      </c>
      <c r="AV62" s="100">
        <v>2.1463018443709401E-3</v>
      </c>
      <c r="AW62" s="100">
        <v>3.6460387941662999E-3</v>
      </c>
      <c r="AX62" s="100">
        <v>2.9529444934882399E-2</v>
      </c>
      <c r="AY62" s="100">
        <v>1.9699126940207E-2</v>
      </c>
      <c r="AZ62" s="100">
        <v>1.1198079096455701E-2</v>
      </c>
      <c r="BA62" s="100">
        <v>1.28854966113525E-2</v>
      </c>
      <c r="BB62" s="100">
        <v>8.6196498759980803E-4</v>
      </c>
      <c r="BC62" s="100">
        <v>2.2521404383510401E-4</v>
      </c>
      <c r="BD62" s="100">
        <v>1.45554929918076E-3</v>
      </c>
      <c r="BE62" s="100">
        <v>6.5485769358243203E-3</v>
      </c>
      <c r="BF62" s="100">
        <v>1.69632401772268E-3</v>
      </c>
      <c r="BG62" s="100">
        <v>1.3809257810212401E-2</v>
      </c>
      <c r="BH62" s="100">
        <v>1.9950585127383601E-3</v>
      </c>
      <c r="BI62" s="100">
        <v>3.6571888698405798E-3</v>
      </c>
      <c r="BJ62" s="100">
        <v>6.1859117061779099E-4</v>
      </c>
      <c r="BK62" s="100">
        <v>1.06259221287635E-3</v>
      </c>
      <c r="BL62" s="100">
        <v>8.8082938765491198E-3</v>
      </c>
      <c r="BM62" s="100">
        <v>2.33191332795779E-3</v>
      </c>
      <c r="BN62" s="100">
        <v>9.8817115698127101E-4</v>
      </c>
      <c r="BO62" s="100">
        <v>5.93343789507124E-3</v>
      </c>
      <c r="BP62" s="100">
        <v>8.57985224116666E-4</v>
      </c>
      <c r="BQ62" s="101">
        <v>0</v>
      </c>
    </row>
    <row r="63" spans="1:69" ht="15" customHeight="1" x14ac:dyDescent="0.3">
      <c r="A63" s="33" t="s">
        <v>81</v>
      </c>
      <c r="B63" s="11" t="s">
        <v>149</v>
      </c>
      <c r="C63" s="99">
        <v>2.2458303017689402E-6</v>
      </c>
      <c r="D63" s="100">
        <v>5.4111676870370401E-6</v>
      </c>
      <c r="E63" s="100">
        <v>1.9025934697854501E-5</v>
      </c>
      <c r="F63" s="100">
        <v>1.2173422482040099E-4</v>
      </c>
      <c r="G63" s="100">
        <v>8.0989314700616701E-5</v>
      </c>
      <c r="H63" s="100">
        <v>5.5831172775999195E-4</v>
      </c>
      <c r="I63" s="100">
        <v>9.5688779478519698E-4</v>
      </c>
      <c r="J63" s="100">
        <v>1.4335664038017901E-4</v>
      </c>
      <c r="K63" s="100">
        <v>5.4642813735994195E-4</v>
      </c>
      <c r="L63" s="100">
        <v>1.19743070110073E-4</v>
      </c>
      <c r="M63" s="100">
        <v>4.6401738073570701E-4</v>
      </c>
      <c r="N63" s="100">
        <v>1.3343619636307701E-3</v>
      </c>
      <c r="O63" s="100">
        <v>8.4487995525559401E-5</v>
      </c>
      <c r="P63" s="100">
        <v>2.32315302421912E-4</v>
      </c>
      <c r="Q63" s="100">
        <v>4.5122814573594498E-4</v>
      </c>
      <c r="R63" s="100">
        <v>4.0259547082748802E-5</v>
      </c>
      <c r="S63" s="100">
        <v>3.0295454929874801E-4</v>
      </c>
      <c r="T63" s="100">
        <v>5.8416704026079003E-5</v>
      </c>
      <c r="U63" s="100">
        <v>2.5212263461382398E-5</v>
      </c>
      <c r="V63" s="100">
        <v>4.8563370282999902E-4</v>
      </c>
      <c r="W63" s="100">
        <v>7.6425643138097995E-5</v>
      </c>
      <c r="X63" s="100">
        <v>3.29267407633667E-4</v>
      </c>
      <c r="Y63" s="100">
        <v>1.78698305343633E-4</v>
      </c>
      <c r="Z63" s="100">
        <v>4.1961310058871899E-4</v>
      </c>
      <c r="AA63" s="100">
        <v>2.01754024583121E-4</v>
      </c>
      <c r="AB63" s="100">
        <v>2.7696484663910798E-4</v>
      </c>
      <c r="AC63" s="100">
        <v>1.2074855866206E-4</v>
      </c>
      <c r="AD63" s="100">
        <v>5.3823948737679098E-4</v>
      </c>
      <c r="AE63" s="100">
        <v>3.5972095422505201E-4</v>
      </c>
      <c r="AF63" s="100">
        <v>1.0138551447353E-4</v>
      </c>
      <c r="AG63" s="100">
        <v>3.6291382387672398E-4</v>
      </c>
      <c r="AH63" s="100">
        <v>7.5665159290420902E-4</v>
      </c>
      <c r="AI63" s="100">
        <v>2.80344522331702E-4</v>
      </c>
      <c r="AJ63" s="100">
        <v>8.4917670962578995E-5</v>
      </c>
      <c r="AK63" s="100">
        <v>9.9687609756825594E-5</v>
      </c>
      <c r="AL63" s="100">
        <v>1.2083523167158E-4</v>
      </c>
      <c r="AM63" s="100">
        <v>1.1437658370113801E-4</v>
      </c>
      <c r="AN63" s="100">
        <v>7.4164339246629503E-5</v>
      </c>
      <c r="AO63" s="100">
        <v>1.9036444457179501E-4</v>
      </c>
      <c r="AP63" s="100">
        <v>1.0267965840894899E-4</v>
      </c>
      <c r="AQ63" s="100">
        <v>5.2329034129341002E-4</v>
      </c>
      <c r="AR63" s="100">
        <v>1.6282178683023501E-4</v>
      </c>
      <c r="AS63" s="100">
        <v>3.08640373866263E-7</v>
      </c>
      <c r="AT63" s="100">
        <v>1.1782791022978099E-3</v>
      </c>
      <c r="AU63" s="100">
        <v>6.8465942246912902E-4</v>
      </c>
      <c r="AV63" s="100">
        <v>6.1552280641143E-4</v>
      </c>
      <c r="AW63" s="100">
        <v>1.4186702653598199E-4</v>
      </c>
      <c r="AX63" s="100">
        <v>3.6973154616576299E-4</v>
      </c>
      <c r="AY63" s="100">
        <v>7.3362058629554698E-4</v>
      </c>
      <c r="AZ63" s="100">
        <v>1.05419857197281E-2</v>
      </c>
      <c r="BA63" s="100">
        <v>2.1699727569736002E-3</v>
      </c>
      <c r="BB63" s="100">
        <v>1.1313037363674401E-3</v>
      </c>
      <c r="BC63" s="100">
        <v>8.2296561832524405E-5</v>
      </c>
      <c r="BD63" s="100">
        <v>9.1065527500949002E-4</v>
      </c>
      <c r="BE63" s="100">
        <v>2.5762161797480699E-4</v>
      </c>
      <c r="BF63" s="100">
        <v>1.48347853396072E-4</v>
      </c>
      <c r="BG63" s="100">
        <v>2.5205699812776302E-4</v>
      </c>
      <c r="BH63" s="100">
        <v>5.9316088970977495E-4</v>
      </c>
      <c r="BI63" s="100">
        <v>3.7991790241341002E-4</v>
      </c>
      <c r="BJ63" s="100">
        <v>4.5403430538163802E-4</v>
      </c>
      <c r="BK63" s="100">
        <v>1.0517283204220099E-3</v>
      </c>
      <c r="BL63" s="100">
        <v>2.0978105935949599E-3</v>
      </c>
      <c r="BM63" s="100">
        <v>1.40924620887552E-3</v>
      </c>
      <c r="BN63" s="100">
        <v>7.4887573898961199E-4</v>
      </c>
      <c r="BO63" s="100">
        <v>6.3454902313699805E-4</v>
      </c>
      <c r="BP63" s="100">
        <v>1.4711613595039699E-3</v>
      </c>
      <c r="BQ63" s="101">
        <v>0</v>
      </c>
    </row>
    <row r="64" spans="1:69" ht="15" customHeight="1" x14ac:dyDescent="0.3">
      <c r="A64" s="33" t="s">
        <v>82</v>
      </c>
      <c r="B64" s="11" t="s">
        <v>150</v>
      </c>
      <c r="C64" s="99">
        <v>0</v>
      </c>
      <c r="D64" s="100">
        <v>0</v>
      </c>
      <c r="E64" s="100">
        <v>0</v>
      </c>
      <c r="F64" s="100">
        <v>2.1387472364307798E-8</v>
      </c>
      <c r="G64" s="100">
        <v>9.3146580039558105E-9</v>
      </c>
      <c r="H64" s="100">
        <v>1.23708117461528E-8</v>
      </c>
      <c r="I64" s="100">
        <v>2.5300402900896101E-8</v>
      </c>
      <c r="J64" s="100">
        <v>1.34618628513073E-7</v>
      </c>
      <c r="K64" s="100">
        <v>6.7107347249524096E-8</v>
      </c>
      <c r="L64" s="100">
        <v>7.9878804468799703E-8</v>
      </c>
      <c r="M64" s="100">
        <v>2.07615758937776E-8</v>
      </c>
      <c r="N64" s="100">
        <v>1.0196536168498699E-7</v>
      </c>
      <c r="O64" s="100">
        <v>7.9238647459222104E-8</v>
      </c>
      <c r="P64" s="100">
        <v>1.08221871904529E-7</v>
      </c>
      <c r="Q64" s="100">
        <v>1.3540432653453801E-7</v>
      </c>
      <c r="R64" s="100">
        <v>7.1804540280446507E-8</v>
      </c>
      <c r="S64" s="100">
        <v>1.2329233361909999E-7</v>
      </c>
      <c r="T64" s="100">
        <v>5.1416857044340898E-8</v>
      </c>
      <c r="U64" s="100">
        <v>1.1000654555661501E-8</v>
      </c>
      <c r="V64" s="100">
        <v>9.0201692995678505E-8</v>
      </c>
      <c r="W64" s="100">
        <v>3.4756518425401701E-8</v>
      </c>
      <c r="X64" s="100">
        <v>7.7424874726263294E-8</v>
      </c>
      <c r="Y64" s="100">
        <v>3.3079682943525399E-8</v>
      </c>
      <c r="Z64" s="100">
        <v>1.1705645095362299E-7</v>
      </c>
      <c r="AA64" s="100">
        <v>9.0670957886787202E-8</v>
      </c>
      <c r="AB64" s="100">
        <v>8.1631248728460495E-8</v>
      </c>
      <c r="AC64" s="100">
        <v>4.9158068704260102E-8</v>
      </c>
      <c r="AD64" s="100">
        <v>2.94932891200828E-8</v>
      </c>
      <c r="AE64" s="100">
        <v>6.8785112557202294E-8</v>
      </c>
      <c r="AF64" s="100">
        <v>4.4447250220506103E-8</v>
      </c>
      <c r="AG64" s="100">
        <v>6.6986734426240695E-8</v>
      </c>
      <c r="AH64" s="100">
        <v>1.11783659527714E-7</v>
      </c>
      <c r="AI64" s="100">
        <v>5.9442426145371001E-9</v>
      </c>
      <c r="AJ64" s="100">
        <v>1.4446766040241999E-8</v>
      </c>
      <c r="AK64" s="100">
        <v>4.4819797500524499E-8</v>
      </c>
      <c r="AL64" s="100">
        <v>7.5068614989331701E-8</v>
      </c>
      <c r="AM64" s="100">
        <v>6.1634337545391102E-9</v>
      </c>
      <c r="AN64" s="100">
        <v>1.2044102159793E-8</v>
      </c>
      <c r="AO64" s="100">
        <v>2.3509755506866701E-8</v>
      </c>
      <c r="AP64" s="100">
        <v>7.5515694854805495E-8</v>
      </c>
      <c r="AQ64" s="100">
        <v>3.0078242096430499E-7</v>
      </c>
      <c r="AR64" s="100">
        <v>6.4786789357901502E-8</v>
      </c>
      <c r="AS64" s="100">
        <v>1.3906459347034001E-8</v>
      </c>
      <c r="AT64" s="100">
        <v>1.7310814576330001E-8</v>
      </c>
      <c r="AU64" s="100">
        <v>1.67980203413408E-7</v>
      </c>
      <c r="AV64" s="100">
        <v>2.33572187464154E-7</v>
      </c>
      <c r="AW64" s="100">
        <v>5.5618727042042602E-7</v>
      </c>
      <c r="AX64" s="100">
        <v>1.79113416862794E-7</v>
      </c>
      <c r="AY64" s="100">
        <v>1.6396445000502901E-7</v>
      </c>
      <c r="AZ64" s="100">
        <v>1.8085833999454101E-7</v>
      </c>
      <c r="BA64" s="100">
        <v>2.0889481957822799E-7</v>
      </c>
      <c r="BB64" s="100">
        <v>6.9306998067962503E-9</v>
      </c>
      <c r="BC64" s="100">
        <v>1.4244139435559999E-7</v>
      </c>
      <c r="BD64" s="100">
        <v>4.4983669976233998E-7</v>
      </c>
      <c r="BE64" s="100">
        <v>5.2912056031840496E-7</v>
      </c>
      <c r="BF64" s="100">
        <v>2.9708865047756601E-7</v>
      </c>
      <c r="BG64" s="100">
        <v>1.2628588511248401E-6</v>
      </c>
      <c r="BH64" s="100">
        <v>4.2619439412182302E-7</v>
      </c>
      <c r="BI64" s="100">
        <v>6.6403596130721305E-8</v>
      </c>
      <c r="BJ64" s="100">
        <v>7.2550519610003204E-9</v>
      </c>
      <c r="BK64" s="100">
        <v>1.81542940344266E-9</v>
      </c>
      <c r="BL64" s="100">
        <v>2.4767846977504702E-7</v>
      </c>
      <c r="BM64" s="100">
        <v>0</v>
      </c>
      <c r="BN64" s="100">
        <v>1.3575051824588899E-7</v>
      </c>
      <c r="BO64" s="100">
        <v>6.5973986138043498E-7</v>
      </c>
      <c r="BP64" s="100">
        <v>3.0758963068147501E-7</v>
      </c>
      <c r="BQ64" s="101">
        <v>0</v>
      </c>
    </row>
    <row r="65" spans="1:69" ht="15" customHeight="1" x14ac:dyDescent="0.3">
      <c r="A65" s="33" t="s">
        <v>83</v>
      </c>
      <c r="B65" s="11" t="s">
        <v>151</v>
      </c>
      <c r="C65" s="99">
        <v>4.0959377274727798E-4</v>
      </c>
      <c r="D65" s="100">
        <v>2.4332848896420901E-4</v>
      </c>
      <c r="E65" s="100">
        <v>1.0544265323113001E-4</v>
      </c>
      <c r="F65" s="100">
        <v>1.58501939295786E-4</v>
      </c>
      <c r="G65" s="100">
        <v>2.4181532119032099E-4</v>
      </c>
      <c r="H65" s="100">
        <v>1.99656856085029E-4</v>
      </c>
      <c r="I65" s="100">
        <v>2.6145742321589802E-4</v>
      </c>
      <c r="J65" s="100">
        <v>8.9546482572887601E-5</v>
      </c>
      <c r="K65" s="100">
        <v>2.76576195952538E-4</v>
      </c>
      <c r="L65" s="100">
        <v>2.1823624027039699E-4</v>
      </c>
      <c r="M65" s="100">
        <v>3.0938607777101899E-4</v>
      </c>
      <c r="N65" s="100">
        <v>2.2467259428126399E-4</v>
      </c>
      <c r="O65" s="100">
        <v>7.0120164331866094E-5</v>
      </c>
      <c r="P65" s="100">
        <v>6.8006041506288504E-5</v>
      </c>
      <c r="Q65" s="100">
        <v>1.5666187028415599E-4</v>
      </c>
      <c r="R65" s="100">
        <v>7.3187559124971802E-5</v>
      </c>
      <c r="S65" s="100">
        <v>6.78983432847366E-4</v>
      </c>
      <c r="T65" s="100">
        <v>5.05590671162365E-5</v>
      </c>
      <c r="U65" s="100">
        <v>2.0225349530774401E-5</v>
      </c>
      <c r="V65" s="100">
        <v>1.0036794696199001E-4</v>
      </c>
      <c r="W65" s="100">
        <v>3.6374025622601699E-3</v>
      </c>
      <c r="X65" s="100">
        <v>8.0892183215934197E-4</v>
      </c>
      <c r="Y65" s="100">
        <v>4.81413848577895E-4</v>
      </c>
      <c r="Z65" s="100">
        <v>6.8571736600347597E-4</v>
      </c>
      <c r="AA65" s="100">
        <v>1.5051754734449901E-4</v>
      </c>
      <c r="AB65" s="100">
        <v>3.4906175534430898E-4</v>
      </c>
      <c r="AC65" s="100">
        <v>6.7013111556461202E-5</v>
      </c>
      <c r="AD65" s="100">
        <v>1.7248735736377901E-4</v>
      </c>
      <c r="AE65" s="100">
        <v>1.20157143805622E-4</v>
      </c>
      <c r="AF65" s="100">
        <v>1.20205905399037E-4</v>
      </c>
      <c r="AG65" s="100">
        <v>1.2214420474185601E-4</v>
      </c>
      <c r="AH65" s="100">
        <v>3.85438952144216E-4</v>
      </c>
      <c r="AI65" s="100">
        <v>1.9170536303853101E-4</v>
      </c>
      <c r="AJ65" s="100">
        <v>9.8786242690529795E-5</v>
      </c>
      <c r="AK65" s="100">
        <v>8.9313855505754905E-5</v>
      </c>
      <c r="AL65" s="100">
        <v>1.1020628998705999E-4</v>
      </c>
      <c r="AM65" s="100">
        <v>2.41143705050865E-4</v>
      </c>
      <c r="AN65" s="100">
        <v>1.5159287413219299E-4</v>
      </c>
      <c r="AO65" s="100">
        <v>2.6923991697743702E-4</v>
      </c>
      <c r="AP65" s="100">
        <v>1.01451102926283E-4</v>
      </c>
      <c r="AQ65" s="100">
        <v>1.8483106820222099E-4</v>
      </c>
      <c r="AR65" s="100">
        <v>3.9555743649024402E-5</v>
      </c>
      <c r="AS65" s="100">
        <v>4.6573532665103098E-4</v>
      </c>
      <c r="AT65" s="100">
        <v>1.03936060794555E-3</v>
      </c>
      <c r="AU65" s="100">
        <v>7.3870005285018605E-4</v>
      </c>
      <c r="AV65" s="100">
        <v>7.8889990492257098E-5</v>
      </c>
      <c r="AW65" s="100">
        <v>4.9126662904183298E-5</v>
      </c>
      <c r="AX65" s="100">
        <v>2.3136447438741299E-4</v>
      </c>
      <c r="AY65" s="100">
        <v>2.90842854383841E-4</v>
      </c>
      <c r="AZ65" s="100">
        <v>1.6784332632370901E-4</v>
      </c>
      <c r="BA65" s="100">
        <v>2.49200589904579E-4</v>
      </c>
      <c r="BB65" s="100">
        <v>1.83327869496698E-4</v>
      </c>
      <c r="BC65" s="100">
        <v>1.84444189664633E-5</v>
      </c>
      <c r="BD65" s="100">
        <v>3.1457141819550203E-4</v>
      </c>
      <c r="BE65" s="100">
        <v>6.4258228622210596E-4</v>
      </c>
      <c r="BF65" s="100">
        <v>3.2494453625709502E-4</v>
      </c>
      <c r="BG65" s="100">
        <v>1.79290146145246E-4</v>
      </c>
      <c r="BH65" s="100">
        <v>7.5137783290651601E-5</v>
      </c>
      <c r="BI65" s="100">
        <v>6.23848435621722E-5</v>
      </c>
      <c r="BJ65" s="100">
        <v>1.0938991636816E-4</v>
      </c>
      <c r="BK65" s="100">
        <v>8.4245849205039802E-5</v>
      </c>
      <c r="BL65" s="100">
        <v>1.8521230085675501E-4</v>
      </c>
      <c r="BM65" s="100">
        <v>3.2974220800305602E-4</v>
      </c>
      <c r="BN65" s="100">
        <v>1.0906615914301E-4</v>
      </c>
      <c r="BO65" s="100">
        <v>2.7704083185053999E-4</v>
      </c>
      <c r="BP65" s="100">
        <v>4.4643254076810702E-4</v>
      </c>
      <c r="BQ65" s="101">
        <v>0</v>
      </c>
    </row>
    <row r="66" spans="1:69" ht="15" customHeight="1" x14ac:dyDescent="0.3">
      <c r="A66" s="33" t="s">
        <v>84</v>
      </c>
      <c r="B66" s="11" t="s">
        <v>152</v>
      </c>
      <c r="C66" s="99">
        <v>1.19439004584662E-6</v>
      </c>
      <c r="D66" s="100">
        <v>4.69405817297141E-7</v>
      </c>
      <c r="E66" s="100">
        <v>1.4269053141262099E-7</v>
      </c>
      <c r="F66" s="100">
        <v>1.0299026239589399E-6</v>
      </c>
      <c r="G66" s="100">
        <v>1.9328894181817598E-6</v>
      </c>
      <c r="H66" s="100">
        <v>1.9431710458007602E-6</v>
      </c>
      <c r="I66" s="100">
        <v>3.04749705146361E-6</v>
      </c>
      <c r="J66" s="100">
        <v>1.2994041441675899E-6</v>
      </c>
      <c r="K66" s="100">
        <v>2.9172985284796101E-6</v>
      </c>
      <c r="L66" s="100">
        <v>1.1815969496506999E-6</v>
      </c>
      <c r="M66" s="100">
        <v>1.52375795052545E-6</v>
      </c>
      <c r="N66" s="100">
        <v>4.3412570610746501E-6</v>
      </c>
      <c r="O66" s="100">
        <v>5.6767881372605303E-7</v>
      </c>
      <c r="P66" s="100">
        <v>1.1033563105287999E-6</v>
      </c>
      <c r="Q66" s="100">
        <v>1.3564221050242801E-6</v>
      </c>
      <c r="R66" s="100">
        <v>6.18045911563962E-7</v>
      </c>
      <c r="S66" s="100">
        <v>2.8979040320348E-6</v>
      </c>
      <c r="T66" s="100">
        <v>6.8139572511477403E-7</v>
      </c>
      <c r="U66" s="100">
        <v>2.6409965077628499E-7</v>
      </c>
      <c r="V66" s="100">
        <v>1.9164684846428E-6</v>
      </c>
      <c r="W66" s="100">
        <v>8.4374789574258008E-6</v>
      </c>
      <c r="X66" s="100">
        <v>3.4173994262623798E-6</v>
      </c>
      <c r="Y66" s="100">
        <v>2.8917487765426302E-6</v>
      </c>
      <c r="Z66" s="100">
        <v>4.2130013170171996E-6</v>
      </c>
      <c r="AA66" s="100">
        <v>2.0907483809824298E-6</v>
      </c>
      <c r="AB66" s="100">
        <v>2.4563427077397301E-6</v>
      </c>
      <c r="AC66" s="100">
        <v>8.3745348105931798E-7</v>
      </c>
      <c r="AD66" s="100">
        <v>1.8427812454450701E-6</v>
      </c>
      <c r="AE66" s="100">
        <v>1.5599105043648199E-6</v>
      </c>
      <c r="AF66" s="100">
        <v>1.64126730771428E-6</v>
      </c>
      <c r="AG66" s="100">
        <v>1.5245309183234699E-6</v>
      </c>
      <c r="AH66" s="100">
        <v>4.2202864553264496E-6</v>
      </c>
      <c r="AI66" s="100">
        <v>2.38892009914147E-6</v>
      </c>
      <c r="AJ66" s="100">
        <v>1.8836428939589299E-6</v>
      </c>
      <c r="AK66" s="100">
        <v>9.9449101025881194E-7</v>
      </c>
      <c r="AL66" s="100">
        <v>1.24626870592998E-6</v>
      </c>
      <c r="AM66" s="100">
        <v>8.8632545773800404E-7</v>
      </c>
      <c r="AN66" s="100">
        <v>1.64091160551468E-6</v>
      </c>
      <c r="AO66" s="100">
        <v>2.5742832611397399E-6</v>
      </c>
      <c r="AP66" s="100">
        <v>1.8412266017938099E-6</v>
      </c>
      <c r="AQ66" s="100">
        <v>2.1420654856914798E-6</v>
      </c>
      <c r="AR66" s="100">
        <v>6.92956524834472E-7</v>
      </c>
      <c r="AS66" s="100">
        <v>2.7613770395346302E-7</v>
      </c>
      <c r="AT66" s="100">
        <v>1.2625708699692E-6</v>
      </c>
      <c r="AU66" s="100">
        <v>1.46797303745984E-5</v>
      </c>
      <c r="AV66" s="100">
        <v>9.6262370312234291E-7</v>
      </c>
      <c r="AW66" s="100">
        <v>1.12563430377592E-6</v>
      </c>
      <c r="AX66" s="100">
        <v>1.18810626110758E-6</v>
      </c>
      <c r="AY66" s="100">
        <v>1.3471563068772101E-6</v>
      </c>
      <c r="AZ66" s="100">
        <v>1.16144713120356E-5</v>
      </c>
      <c r="BA66" s="100">
        <v>3.9985261804860203E-6</v>
      </c>
      <c r="BB66" s="100">
        <v>2.14791237582622E-6</v>
      </c>
      <c r="BC66" s="100">
        <v>3.4675594403419098E-7</v>
      </c>
      <c r="BD66" s="100">
        <v>4.1265453006324098E-6</v>
      </c>
      <c r="BE66" s="100">
        <v>1.4029705253371199E-5</v>
      </c>
      <c r="BF66" s="100">
        <v>1.3312159382464801E-6</v>
      </c>
      <c r="BG66" s="100">
        <v>3.5621807879045599E-6</v>
      </c>
      <c r="BH66" s="100">
        <v>1.32768495300053E-6</v>
      </c>
      <c r="BI66" s="100">
        <v>9.5491603484784598E-7</v>
      </c>
      <c r="BJ66" s="100">
        <v>1.38356866507728E-6</v>
      </c>
      <c r="BK66" s="100">
        <v>1.6779063418577101E-6</v>
      </c>
      <c r="BL66" s="100">
        <v>2.76616427079143E-6</v>
      </c>
      <c r="BM66" s="100">
        <v>3.72059196602028E-6</v>
      </c>
      <c r="BN66" s="100">
        <v>8.3487800614489196E-7</v>
      </c>
      <c r="BO66" s="100">
        <v>2.47386399997787E-6</v>
      </c>
      <c r="BP66" s="100">
        <v>8.1240271323935292E-6</v>
      </c>
      <c r="BQ66" s="101">
        <v>0</v>
      </c>
    </row>
    <row r="67" spans="1:69" ht="15" customHeight="1" x14ac:dyDescent="0.3">
      <c r="A67" s="33" t="s">
        <v>85</v>
      </c>
      <c r="B67" s="11" t="s">
        <v>153</v>
      </c>
      <c r="C67" s="99">
        <v>0</v>
      </c>
      <c r="D67" s="100">
        <v>0</v>
      </c>
      <c r="E67" s="100">
        <v>0</v>
      </c>
      <c r="F67" s="100">
        <v>9.2177314124764796E-8</v>
      </c>
      <c r="G67" s="100">
        <v>5.0604101776803199E-8</v>
      </c>
      <c r="H67" s="100">
        <v>6.8670014610344596E-6</v>
      </c>
      <c r="I67" s="100">
        <v>9.8011916513832702E-8</v>
      </c>
      <c r="J67" s="100">
        <v>2.7465024641846602E-7</v>
      </c>
      <c r="K67" s="100">
        <v>2.3060023991728899E-7</v>
      </c>
      <c r="L67" s="100">
        <v>1.7922175504757599E-7</v>
      </c>
      <c r="M67" s="100">
        <v>7.1537539290466904E-8</v>
      </c>
      <c r="N67" s="100">
        <v>2.42278058783239E-7</v>
      </c>
      <c r="O67" s="100">
        <v>2.3567823202399199E-7</v>
      </c>
      <c r="P67" s="100">
        <v>3.7330741182478402E-7</v>
      </c>
      <c r="Q67" s="100">
        <v>3.3696969866022999E-7</v>
      </c>
      <c r="R67" s="100">
        <v>1.4041577629890201E-7</v>
      </c>
      <c r="S67" s="100">
        <v>2.4048289976640401E-7</v>
      </c>
      <c r="T67" s="100">
        <v>1.91330311243261E-7</v>
      </c>
      <c r="U67" s="100">
        <v>3.6754693682435399E-8</v>
      </c>
      <c r="V67" s="100">
        <v>2.8959011449227599E-7</v>
      </c>
      <c r="W67" s="100">
        <v>8.4615890928838694E-8</v>
      </c>
      <c r="X67" s="100">
        <v>1.7188040611650601E-7</v>
      </c>
      <c r="Y67" s="100">
        <v>1.6175991380334801E-7</v>
      </c>
      <c r="Z67" s="100">
        <v>2.6307520759235399E-7</v>
      </c>
      <c r="AA67" s="100">
        <v>2.5850727542071101E-7</v>
      </c>
      <c r="AB67" s="100">
        <v>1.9386540445333299E-7</v>
      </c>
      <c r="AC67" s="100">
        <v>2.4605600952278501E-6</v>
      </c>
      <c r="AD67" s="100">
        <v>6.6903096795812198E-6</v>
      </c>
      <c r="AE67" s="100">
        <v>1.56303319667724E-7</v>
      </c>
      <c r="AF67" s="100">
        <v>9.8253273140327099E-8</v>
      </c>
      <c r="AG67" s="100">
        <v>1.5152589705495801E-7</v>
      </c>
      <c r="AH67" s="100">
        <v>2.3156257418582501E-7</v>
      </c>
      <c r="AI67" s="100">
        <v>3.8549444278339603E-6</v>
      </c>
      <c r="AJ67" s="100">
        <v>8.2078683739244793E-8</v>
      </c>
      <c r="AK67" s="100">
        <v>2.0373735124619401E-7</v>
      </c>
      <c r="AL67" s="100">
        <v>2.4054649641433698E-7</v>
      </c>
      <c r="AM67" s="100">
        <v>3.3557016265863299E-8</v>
      </c>
      <c r="AN67" s="100">
        <v>8.3585791747519801E-7</v>
      </c>
      <c r="AO67" s="100">
        <v>1.38637026109928E-7</v>
      </c>
      <c r="AP67" s="100">
        <v>4.70000667976924E-7</v>
      </c>
      <c r="AQ67" s="100">
        <v>3.9501658899097796E-6</v>
      </c>
      <c r="AR67" s="100">
        <v>1.10389153797059E-5</v>
      </c>
      <c r="AS67" s="100">
        <v>2.7178104866843998E-5</v>
      </c>
      <c r="AT67" s="100">
        <v>1.07740442960143E-7</v>
      </c>
      <c r="AU67" s="100">
        <v>8.7262801941111101E-6</v>
      </c>
      <c r="AV67" s="100">
        <v>1.4537254055604801E-6</v>
      </c>
      <c r="AW67" s="100">
        <v>3.46164316067639E-6</v>
      </c>
      <c r="AX67" s="100">
        <v>5.5437907765060299E-7</v>
      </c>
      <c r="AY67" s="100">
        <v>6.8662711110960395E-7</v>
      </c>
      <c r="AZ67" s="100">
        <v>6.8640898329049501E-7</v>
      </c>
      <c r="BA67" s="100">
        <v>1.2350582390571199E-6</v>
      </c>
      <c r="BB67" s="100">
        <v>1.15248140573824E-5</v>
      </c>
      <c r="BC67" s="100">
        <v>8.8653823054157104E-7</v>
      </c>
      <c r="BD67" s="100">
        <v>5.9622263896580497E-5</v>
      </c>
      <c r="BE67" s="100">
        <v>1.0359058825779201E-5</v>
      </c>
      <c r="BF67" s="100">
        <v>3.3566659562836703E-5</v>
      </c>
      <c r="BG67" s="100">
        <v>7.8598827002844399E-6</v>
      </c>
      <c r="BH67" s="100">
        <v>3.18983965926132E-5</v>
      </c>
      <c r="BI67" s="100">
        <v>1.4490032470872799E-5</v>
      </c>
      <c r="BJ67" s="100">
        <v>4.5154577130405001E-8</v>
      </c>
      <c r="BK67" s="100">
        <v>3.7157175070601401E-6</v>
      </c>
      <c r="BL67" s="100">
        <v>1.5374996423800801E-6</v>
      </c>
      <c r="BM67" s="100">
        <v>7.4340067471242397E-6</v>
      </c>
      <c r="BN67" s="100">
        <v>8.4489501654531005E-7</v>
      </c>
      <c r="BO67" s="100">
        <v>4.0947456524298997E-6</v>
      </c>
      <c r="BP67" s="100">
        <v>1.22177481191218E-5</v>
      </c>
      <c r="BQ67" s="101">
        <v>0</v>
      </c>
    </row>
    <row r="68" spans="1:69" ht="15" customHeight="1" x14ac:dyDescent="0.3">
      <c r="A68" s="33" t="s">
        <v>86</v>
      </c>
      <c r="B68" s="11" t="s">
        <v>154</v>
      </c>
      <c r="C68" s="99">
        <v>6.1801709252435502E-9</v>
      </c>
      <c r="D68" s="100">
        <v>4.8220005869674004E-10</v>
      </c>
      <c r="E68" s="100">
        <v>0</v>
      </c>
      <c r="F68" s="100">
        <v>1.07305192994613E-8</v>
      </c>
      <c r="G68" s="100">
        <v>2.33035557364624E-8</v>
      </c>
      <c r="H68" s="100">
        <v>1.90296627043034E-8</v>
      </c>
      <c r="I68" s="100">
        <v>2.7421663796722599E-8</v>
      </c>
      <c r="J68" s="100">
        <v>1.42115944491833E-8</v>
      </c>
      <c r="K68" s="100">
        <v>3.5072498460607998E-8</v>
      </c>
      <c r="L68" s="100">
        <v>1.2358506925659201E-8</v>
      </c>
      <c r="M68" s="100">
        <v>1.0411850233460501E-8</v>
      </c>
      <c r="N68" s="100">
        <v>3.75171664442292E-8</v>
      </c>
      <c r="O68" s="100">
        <v>4.7924140230878604E-9</v>
      </c>
      <c r="P68" s="100">
        <v>1.0686204570411699E-8</v>
      </c>
      <c r="Q68" s="100">
        <v>9.1788797396891899E-9</v>
      </c>
      <c r="R68" s="100">
        <v>7.9135973140231297E-9</v>
      </c>
      <c r="S68" s="100">
        <v>2.2228812976208099E-8</v>
      </c>
      <c r="T68" s="100">
        <v>7.9497050653024504E-9</v>
      </c>
      <c r="U68" s="100">
        <v>1.8720358281155501E-9</v>
      </c>
      <c r="V68" s="100">
        <v>2.5603445974258101E-8</v>
      </c>
      <c r="W68" s="100">
        <v>1.7054603052849399E-8</v>
      </c>
      <c r="X68" s="100">
        <v>2.6131398165725701E-8</v>
      </c>
      <c r="Y68" s="100">
        <v>2.9580553643746001E-8</v>
      </c>
      <c r="Z68" s="100">
        <v>4.88122314841852E-8</v>
      </c>
      <c r="AA68" s="100">
        <v>2.6004476156203899E-8</v>
      </c>
      <c r="AB68" s="100">
        <v>2.2729513355008002E-8</v>
      </c>
      <c r="AC68" s="100">
        <v>7.9633536541430194E-9</v>
      </c>
      <c r="AD68" s="100">
        <v>1.3549192298190899E-8</v>
      </c>
      <c r="AE68" s="100">
        <v>1.3618647223958E-8</v>
      </c>
      <c r="AF68" s="100">
        <v>1.8030774206557099E-8</v>
      </c>
      <c r="AG68" s="100">
        <v>1.36666307918362E-8</v>
      </c>
      <c r="AH68" s="100">
        <v>4.5812779023833297E-8</v>
      </c>
      <c r="AI68" s="100">
        <v>2.9324449552365298E-8</v>
      </c>
      <c r="AJ68" s="100">
        <v>2.4351229720758798E-8</v>
      </c>
      <c r="AK68" s="100">
        <v>1.1049839260113801E-8</v>
      </c>
      <c r="AL68" s="100">
        <v>1.26986259296152E-8</v>
      </c>
      <c r="AM68" s="100">
        <v>9.5138902478870703E-9</v>
      </c>
      <c r="AN68" s="100">
        <v>2.1140029441420499E-8</v>
      </c>
      <c r="AO68" s="100">
        <v>2.6449054221058101E-8</v>
      </c>
      <c r="AP68" s="100">
        <v>2.03328256658518E-8</v>
      </c>
      <c r="AQ68" s="100">
        <v>9.3687589424843208E-9</v>
      </c>
      <c r="AR68" s="100">
        <v>5.0833325084627798E-9</v>
      </c>
      <c r="AS68" s="100">
        <v>2.0755909473185101E-10</v>
      </c>
      <c r="AT68" s="100">
        <v>2.5837036681089599E-10</v>
      </c>
      <c r="AU68" s="100">
        <v>2.0488365693448901E-7</v>
      </c>
      <c r="AV68" s="100">
        <v>4.16655654268822E-9</v>
      </c>
      <c r="AW68" s="100">
        <v>8.3013025435884493E-9</v>
      </c>
      <c r="AX68" s="100">
        <v>9.3259215781183192E-10</v>
      </c>
      <c r="AY68" s="100">
        <v>1.41015568868668E-9</v>
      </c>
      <c r="AZ68" s="100">
        <v>1.39420281003343E-9</v>
      </c>
      <c r="BA68" s="100">
        <v>1.2038962293964899E-8</v>
      </c>
      <c r="BB68" s="100">
        <v>3.1979333142898E-9</v>
      </c>
      <c r="BC68" s="100">
        <v>2.2130289560829901E-9</v>
      </c>
      <c r="BD68" s="100">
        <v>6.5840700645264699E-9</v>
      </c>
      <c r="BE68" s="100">
        <v>1.7500629376728199E-7</v>
      </c>
      <c r="BF68" s="100">
        <v>4.2343261578355898E-9</v>
      </c>
      <c r="BG68" s="100">
        <v>2.4904308082027999E-8</v>
      </c>
      <c r="BH68" s="100">
        <v>6.5681396364395703E-9</v>
      </c>
      <c r="BI68" s="100">
        <v>8.6221074822440304E-10</v>
      </c>
      <c r="BJ68" s="100">
        <v>1.47095918811313E-8</v>
      </c>
      <c r="BK68" s="100">
        <v>1.66423584443136E-8</v>
      </c>
      <c r="BL68" s="100">
        <v>7.4306535065287902E-9</v>
      </c>
      <c r="BM68" s="100">
        <v>3.7763537803850798E-8</v>
      </c>
      <c r="BN68" s="100">
        <v>2.0261271379983499E-9</v>
      </c>
      <c r="BO68" s="100">
        <v>9.8114634107738999E-9</v>
      </c>
      <c r="BP68" s="100">
        <v>4.58014799999444E-9</v>
      </c>
      <c r="BQ68" s="101">
        <v>0</v>
      </c>
    </row>
    <row r="69" spans="1:69" ht="15" customHeight="1" x14ac:dyDescent="0.3">
      <c r="A69" s="33" t="s">
        <v>87</v>
      </c>
      <c r="B69" s="11" t="s">
        <v>155</v>
      </c>
      <c r="C69" s="99">
        <v>0</v>
      </c>
      <c r="D69" s="100">
        <v>0</v>
      </c>
      <c r="E69" s="100">
        <v>0</v>
      </c>
      <c r="F69" s="100">
        <v>8.5274477238771106E-8</v>
      </c>
      <c r="G69" s="100">
        <v>5.1563573514428299E-8</v>
      </c>
      <c r="H69" s="100">
        <v>4.5005001688748597E-8</v>
      </c>
      <c r="I69" s="100">
        <v>8.5664053466763804E-8</v>
      </c>
      <c r="J69" s="100">
        <v>1.15350209253481E-7</v>
      </c>
      <c r="K69" s="100">
        <v>1.86712712670513E-7</v>
      </c>
      <c r="L69" s="100">
        <v>9.0860098203740295E-8</v>
      </c>
      <c r="M69" s="100">
        <v>5.8033527379409397E-8</v>
      </c>
      <c r="N69" s="100">
        <v>1.3460364931486399E-7</v>
      </c>
      <c r="O69" s="100">
        <v>1.6997599995094399E-7</v>
      </c>
      <c r="P69" s="100">
        <v>3.03072016737016E-7</v>
      </c>
      <c r="Q69" s="100">
        <v>1.9976185686690701E-7</v>
      </c>
      <c r="R69" s="100">
        <v>5.3140791596452598E-8</v>
      </c>
      <c r="S69" s="100">
        <v>9.0392375494375905E-8</v>
      </c>
      <c r="T69" s="100">
        <v>1.6325797887761501E-7</v>
      </c>
      <c r="U69" s="100">
        <v>2.9163484877855801E-8</v>
      </c>
      <c r="V69" s="100">
        <v>2.22875787025131E-7</v>
      </c>
      <c r="W69" s="100">
        <v>4.8683659630008702E-8</v>
      </c>
      <c r="X69" s="100">
        <v>8.5537294363662599E-8</v>
      </c>
      <c r="Y69" s="100">
        <v>1.5835994245458699E-7</v>
      </c>
      <c r="Z69" s="100">
        <v>1.3375424074199201E-7</v>
      </c>
      <c r="AA69" s="100">
        <v>1.7908890503046801E-7</v>
      </c>
      <c r="AB69" s="100">
        <v>1.0762678558527E-7</v>
      </c>
      <c r="AC69" s="100">
        <v>7.7140588539127805E-8</v>
      </c>
      <c r="AD69" s="100">
        <v>0</v>
      </c>
      <c r="AE69" s="100">
        <v>8.0961252721569905E-8</v>
      </c>
      <c r="AF69" s="100">
        <v>4.8527840197229198E-8</v>
      </c>
      <c r="AG69" s="100">
        <v>7.7891672530175096E-8</v>
      </c>
      <c r="AH69" s="100">
        <v>1.0061141461056299E-7</v>
      </c>
      <c r="AI69" s="100">
        <v>2.32883648079124E-8</v>
      </c>
      <c r="AJ69" s="100">
        <v>8.4929228062819403E-8</v>
      </c>
      <c r="AK69" s="100">
        <v>1.9327941288126899E-7</v>
      </c>
      <c r="AL69" s="100">
        <v>1.8485064246261299E-7</v>
      </c>
      <c r="AM69" s="100">
        <v>3.4219453670595302E-8</v>
      </c>
      <c r="AN69" s="100">
        <v>7.9814647148478702E-8</v>
      </c>
      <c r="AO69" s="100">
        <v>1.45197218156305E-7</v>
      </c>
      <c r="AP69" s="100">
        <v>5.0043236590348705E-7</v>
      </c>
      <c r="AQ69" s="100">
        <v>1.82117196818549E-6</v>
      </c>
      <c r="AR69" s="100">
        <v>4.2933335037176501E-7</v>
      </c>
      <c r="AS69" s="100">
        <v>9.2156238060942099E-8</v>
      </c>
      <c r="AT69" s="100">
        <v>1.14716442864038E-7</v>
      </c>
      <c r="AU69" s="100">
        <v>1.1131822435157201E-6</v>
      </c>
      <c r="AV69" s="100">
        <v>1.5478515109564801E-6</v>
      </c>
      <c r="AW69" s="100">
        <v>3.6857783293532699E-6</v>
      </c>
      <c r="AX69" s="100">
        <v>4.1407091806845302E-7</v>
      </c>
      <c r="AY69" s="100">
        <v>6.26109125776884E-7</v>
      </c>
      <c r="AZ69" s="100">
        <v>5.9274808984792002E-7</v>
      </c>
      <c r="BA69" s="100">
        <v>1.29456395137992E-6</v>
      </c>
      <c r="BB69" s="100">
        <v>4.4044395696370003E-8</v>
      </c>
      <c r="BC69" s="100">
        <v>9.4393998647591697E-7</v>
      </c>
      <c r="BD69" s="100">
        <v>2.9233271086497502E-6</v>
      </c>
      <c r="BE69" s="100">
        <v>3.4783044422741998E-6</v>
      </c>
      <c r="BF69" s="100">
        <v>1.880040814079E-6</v>
      </c>
      <c r="BG69" s="100">
        <v>8.3687959686481793E-6</v>
      </c>
      <c r="BH69" s="100">
        <v>2.7606727938001098E-6</v>
      </c>
      <c r="BI69" s="100">
        <v>3.8282157221163501E-7</v>
      </c>
      <c r="BJ69" s="100">
        <v>4.80782547863305E-8</v>
      </c>
      <c r="BK69" s="100">
        <v>1.2030606792963299E-8</v>
      </c>
      <c r="BL69" s="100">
        <v>1.6357855009498001E-6</v>
      </c>
      <c r="BM69" s="100">
        <v>0</v>
      </c>
      <c r="BN69" s="100">
        <v>8.9960044927126502E-7</v>
      </c>
      <c r="BO69" s="100">
        <v>4.3562897543836102E-6</v>
      </c>
      <c r="BP69" s="100">
        <v>2.0335857119975302E-6</v>
      </c>
      <c r="BQ69" s="101">
        <v>0</v>
      </c>
    </row>
    <row r="70" spans="1:69" ht="15" customHeight="1" x14ac:dyDescent="0.3">
      <c r="A70" s="33" t="s">
        <v>88</v>
      </c>
      <c r="B70" s="11" t="s">
        <v>156</v>
      </c>
      <c r="C70" s="99">
        <v>0</v>
      </c>
      <c r="D70" s="100">
        <v>1.56459817855537E-6</v>
      </c>
      <c r="E70" s="100">
        <v>1.9601875611895299E-6</v>
      </c>
      <c r="F70" s="100">
        <v>2.3106100969747602E-6</v>
      </c>
      <c r="G70" s="100">
        <v>1.9314265865580299E-6</v>
      </c>
      <c r="H70" s="100">
        <v>2.3392333101125899E-8</v>
      </c>
      <c r="I70" s="100">
        <v>4.5378758648050701E-8</v>
      </c>
      <c r="J70" s="100">
        <v>6.5525775004427101E-6</v>
      </c>
      <c r="K70" s="100">
        <v>4.9099906758597399E-6</v>
      </c>
      <c r="L70" s="100">
        <v>8.4646928907631308E-6</v>
      </c>
      <c r="M70" s="100">
        <v>5.56604179265726E-5</v>
      </c>
      <c r="N70" s="100">
        <v>1.7153360243640599E-5</v>
      </c>
      <c r="O70" s="100">
        <v>2.7842960678223398E-6</v>
      </c>
      <c r="P70" s="100">
        <v>6.9692075826620103E-6</v>
      </c>
      <c r="Q70" s="100">
        <v>1.48249441266513E-5</v>
      </c>
      <c r="R70" s="100">
        <v>1.8703082330759501E-6</v>
      </c>
      <c r="S70" s="100">
        <v>4.8982080712115203E-6</v>
      </c>
      <c r="T70" s="100">
        <v>2.1145884600672499E-6</v>
      </c>
      <c r="U70" s="100">
        <v>4.2408327776246401E-7</v>
      </c>
      <c r="V70" s="100">
        <v>2.97074182691277E-6</v>
      </c>
      <c r="W70" s="100">
        <v>1.01079420581998E-6</v>
      </c>
      <c r="X70" s="100">
        <v>4.69363051396642E-6</v>
      </c>
      <c r="Y70" s="100">
        <v>2.0906498549489401E-5</v>
      </c>
      <c r="Z70" s="100">
        <v>2.22654733471415E-5</v>
      </c>
      <c r="AA70" s="100">
        <v>3.9113226372194696E-6</v>
      </c>
      <c r="AB70" s="100">
        <v>2.8126185076941099E-6</v>
      </c>
      <c r="AC70" s="100">
        <v>1.0460610103363299E-6</v>
      </c>
      <c r="AD70" s="100">
        <v>1.43480865989592E-8</v>
      </c>
      <c r="AE70" s="100">
        <v>3.3747478421935701E-6</v>
      </c>
      <c r="AF70" s="100">
        <v>9.6267942442050004E-6</v>
      </c>
      <c r="AG70" s="100">
        <v>4.5459898307439998E-6</v>
      </c>
      <c r="AH70" s="100">
        <v>2.942218924639E-6</v>
      </c>
      <c r="AI70" s="100">
        <v>1.5308034580811399E-5</v>
      </c>
      <c r="AJ70" s="100">
        <v>9.2575532341503696E-7</v>
      </c>
      <c r="AK70" s="100">
        <v>4.6179063809353498E-6</v>
      </c>
      <c r="AL70" s="100">
        <v>4.6088661684130896E-6</v>
      </c>
      <c r="AM70" s="100">
        <v>1.3417566067441601E-6</v>
      </c>
      <c r="AN70" s="100">
        <v>5.4408501655090696E-6</v>
      </c>
      <c r="AO70" s="100">
        <v>2.6766253860502201E-6</v>
      </c>
      <c r="AP70" s="100">
        <v>2.5808990434907101E-6</v>
      </c>
      <c r="AQ70" s="100">
        <v>1.6919035655458798E-5</v>
      </c>
      <c r="AR70" s="100">
        <v>1.5831678415566E-6</v>
      </c>
      <c r="AS70" s="100">
        <v>3.0213762087976798E-6</v>
      </c>
      <c r="AT70" s="100">
        <v>4.7697005874604801E-6</v>
      </c>
      <c r="AU70" s="100">
        <v>1.1272454941394899E-5</v>
      </c>
      <c r="AV70" s="100">
        <v>1.20733711420008E-5</v>
      </c>
      <c r="AW70" s="100">
        <v>4.5506293157776396E-6</v>
      </c>
      <c r="AX70" s="100">
        <v>3.8899836131937601E-5</v>
      </c>
      <c r="AY70" s="100">
        <v>6.3819969818839799E-5</v>
      </c>
      <c r="AZ70" s="100">
        <v>1.53860949492936E-5</v>
      </c>
      <c r="BA70" s="100">
        <v>1.3931472815197099E-5</v>
      </c>
      <c r="BB70" s="100">
        <v>1.48513346501035E-5</v>
      </c>
      <c r="BC70" s="100">
        <v>1.7968403805786301E-6</v>
      </c>
      <c r="BD70" s="100">
        <v>1.9121528922917999E-5</v>
      </c>
      <c r="BE70" s="100">
        <v>8.5051477218455395E-6</v>
      </c>
      <c r="BF70" s="100">
        <v>2.3360320075872301E-5</v>
      </c>
      <c r="BG70" s="100">
        <v>1.9961086598497302E-5</v>
      </c>
      <c r="BH70" s="100">
        <v>7.7086627384198104E-6</v>
      </c>
      <c r="BI70" s="100">
        <v>3.1796899822257001E-6</v>
      </c>
      <c r="BJ70" s="100">
        <v>3.4831059255687301E-6</v>
      </c>
      <c r="BK70" s="100">
        <v>1.47393124260297E-6</v>
      </c>
      <c r="BL70" s="100">
        <v>2.1404507329186199E-5</v>
      </c>
      <c r="BM70" s="100">
        <v>4.6231629665470797E-6</v>
      </c>
      <c r="BN70" s="100">
        <v>5.3582036226465595E-7</v>
      </c>
      <c r="BO70" s="100">
        <v>4.1127045567919902E-5</v>
      </c>
      <c r="BP70" s="100">
        <v>1.1008950064734101E-5</v>
      </c>
      <c r="BQ70" s="101">
        <v>0</v>
      </c>
    </row>
    <row r="71" spans="1:69" ht="15" customHeight="1" x14ac:dyDescent="0.3">
      <c r="A71" s="33" t="s">
        <v>89</v>
      </c>
      <c r="B71" s="11" t="s">
        <v>157</v>
      </c>
      <c r="C71" s="99">
        <v>2.34814610344378E-9</v>
      </c>
      <c r="D71" s="100">
        <v>0</v>
      </c>
      <c r="E71" s="100">
        <v>0</v>
      </c>
      <c r="F71" s="100">
        <v>8.64085028490492E-8</v>
      </c>
      <c r="G71" s="100">
        <v>4.5885124539093302E-8</v>
      </c>
      <c r="H71" s="100">
        <v>1.74903002698528E-7</v>
      </c>
      <c r="I71" s="100">
        <v>1.56854498891383E-7</v>
      </c>
      <c r="J71" s="100">
        <v>6.8488551082426804E-7</v>
      </c>
      <c r="K71" s="100">
        <v>2.8469607689839402E-7</v>
      </c>
      <c r="L71" s="100">
        <v>4.9352170977885304E-7</v>
      </c>
      <c r="M71" s="100">
        <v>1.2915449589274E-7</v>
      </c>
      <c r="N71" s="100">
        <v>5.71719534420949E-7</v>
      </c>
      <c r="O71" s="100">
        <v>3.8101552526136999E-7</v>
      </c>
      <c r="P71" s="100">
        <v>4.8771642709024902E-7</v>
      </c>
      <c r="Q71" s="100">
        <v>6.2700092202813796E-7</v>
      </c>
      <c r="R71" s="100">
        <v>3.2923988616095602E-7</v>
      </c>
      <c r="S71" s="100">
        <v>6.7864923494385403E-7</v>
      </c>
      <c r="T71" s="100">
        <v>2.14739669326746E-7</v>
      </c>
      <c r="U71" s="100">
        <v>5.2009193097434297E-8</v>
      </c>
      <c r="V71" s="100">
        <v>3.8738730705673898E-7</v>
      </c>
      <c r="W71" s="100">
        <v>2.55924101637101E-7</v>
      </c>
      <c r="X71" s="100">
        <v>5.1394284694988695E-7</v>
      </c>
      <c r="Y71" s="100">
        <v>1.5234819853683801E-7</v>
      </c>
      <c r="Z71" s="100">
        <v>8.1519822541298199E-7</v>
      </c>
      <c r="AA71" s="100">
        <v>4.5653017488984302E-7</v>
      </c>
      <c r="AB71" s="100">
        <v>4.1110320229038099E-7</v>
      </c>
      <c r="AC71" s="100">
        <v>2.61964071139868E-7</v>
      </c>
      <c r="AD71" s="100">
        <v>1.5482839366036799E-7</v>
      </c>
      <c r="AE71" s="100">
        <v>3.7885320886345302E-7</v>
      </c>
      <c r="AF71" s="100">
        <v>3.1756725881923598E-7</v>
      </c>
      <c r="AG71" s="100">
        <v>5.1895847338760699E-7</v>
      </c>
      <c r="AH71" s="100">
        <v>5.8562711690636004E-7</v>
      </c>
      <c r="AI71" s="100">
        <v>2.1891972462784399E-7</v>
      </c>
      <c r="AJ71" s="100">
        <v>1.3680237489444201E-7</v>
      </c>
      <c r="AK71" s="100">
        <v>2.3783785959026799E-7</v>
      </c>
      <c r="AL71" s="100">
        <v>4.0375791812580401E-7</v>
      </c>
      <c r="AM71" s="100">
        <v>9.5693412028038505E-8</v>
      </c>
      <c r="AN71" s="100">
        <v>3.2833429176569902E-7</v>
      </c>
      <c r="AO71" s="100">
        <v>8.0556165795531202E-7</v>
      </c>
      <c r="AP71" s="100">
        <v>3.1756983682103898E-7</v>
      </c>
      <c r="AQ71" s="100">
        <v>1.73257769036624E-6</v>
      </c>
      <c r="AR71" s="100">
        <v>4.1586141032051001E-7</v>
      </c>
      <c r="AS71" s="100">
        <v>5.00217418303762E-8</v>
      </c>
      <c r="AT71" s="100">
        <v>1.23601109731668E-6</v>
      </c>
      <c r="AU71" s="100">
        <v>1.8151331046911899E-6</v>
      </c>
      <c r="AV71" s="100">
        <v>9.6108092478946207E-7</v>
      </c>
      <c r="AW71" s="100">
        <v>2.0449008914748599E-6</v>
      </c>
      <c r="AX71" s="100">
        <v>2.2620870936770601E-6</v>
      </c>
      <c r="AY71" s="100">
        <v>3.9059084818560504E-6</v>
      </c>
      <c r="AZ71" s="100">
        <v>2.2208664143558099E-6</v>
      </c>
      <c r="BA71" s="100">
        <v>5.8856330059896303E-6</v>
      </c>
      <c r="BB71" s="100">
        <v>3.6372140524047299E-6</v>
      </c>
      <c r="BC71" s="100">
        <v>5.4186497282017898E-7</v>
      </c>
      <c r="BD71" s="100">
        <v>2.7487086985151401E-6</v>
      </c>
      <c r="BE71" s="100">
        <v>1.9389219765145999E-6</v>
      </c>
      <c r="BF71" s="100">
        <v>1.5008994297969499E-5</v>
      </c>
      <c r="BG71" s="100">
        <v>4.9761637500234297E-6</v>
      </c>
      <c r="BH71" s="100">
        <v>1.9309155652591798E-6</v>
      </c>
      <c r="BI71" s="100">
        <v>9.5954556360535802E-7</v>
      </c>
      <c r="BJ71" s="100">
        <v>1.5779472751395701E-6</v>
      </c>
      <c r="BK71" s="100">
        <v>3.7397405622081397E-7</v>
      </c>
      <c r="BL71" s="100">
        <v>1.0727480395383699E-6</v>
      </c>
      <c r="BM71" s="100">
        <v>1.0191219073145199E-6</v>
      </c>
      <c r="BN71" s="100">
        <v>4.8829664025760097E-7</v>
      </c>
      <c r="BO71" s="100">
        <v>2.9627412157098701E-6</v>
      </c>
      <c r="BP71" s="100">
        <v>2.6079368023833099E-6</v>
      </c>
      <c r="BQ71" s="101">
        <v>0</v>
      </c>
    </row>
    <row r="72" spans="1:69" ht="15" customHeight="1" x14ac:dyDescent="0.3">
      <c r="A72" s="34" t="s">
        <v>90</v>
      </c>
      <c r="B72" s="35" t="s">
        <v>158</v>
      </c>
      <c r="C72" s="102">
        <v>0</v>
      </c>
      <c r="D72" s="103">
        <v>0</v>
      </c>
      <c r="E72" s="103">
        <v>0</v>
      </c>
      <c r="F72" s="103">
        <v>0</v>
      </c>
      <c r="G72" s="103">
        <v>0</v>
      </c>
      <c r="H72" s="103">
        <v>0</v>
      </c>
      <c r="I72" s="103">
        <v>0</v>
      </c>
      <c r="J72" s="103">
        <v>0</v>
      </c>
      <c r="K72" s="103">
        <v>0</v>
      </c>
      <c r="L72" s="103">
        <v>0</v>
      </c>
      <c r="M72" s="103">
        <v>0</v>
      </c>
      <c r="N72" s="103">
        <v>0</v>
      </c>
      <c r="O72" s="103">
        <v>0</v>
      </c>
      <c r="P72" s="103">
        <v>0</v>
      </c>
      <c r="Q72" s="103">
        <v>0</v>
      </c>
      <c r="R72" s="103">
        <v>0</v>
      </c>
      <c r="S72" s="103">
        <v>0</v>
      </c>
      <c r="T72" s="103">
        <v>0</v>
      </c>
      <c r="U72" s="103">
        <v>0</v>
      </c>
      <c r="V72" s="103">
        <v>0</v>
      </c>
      <c r="W72" s="103">
        <v>0</v>
      </c>
      <c r="X72" s="103">
        <v>0</v>
      </c>
      <c r="Y72" s="103">
        <v>0</v>
      </c>
      <c r="Z72" s="103">
        <v>0</v>
      </c>
      <c r="AA72" s="103">
        <v>0</v>
      </c>
      <c r="AB72" s="103">
        <v>0</v>
      </c>
      <c r="AC72" s="103">
        <v>0</v>
      </c>
      <c r="AD72" s="103">
        <v>0</v>
      </c>
      <c r="AE72" s="103">
        <v>0</v>
      </c>
      <c r="AF72" s="103">
        <v>0</v>
      </c>
      <c r="AG72" s="103">
        <v>0</v>
      </c>
      <c r="AH72" s="103">
        <v>0</v>
      </c>
      <c r="AI72" s="103">
        <v>0</v>
      </c>
      <c r="AJ72" s="103">
        <v>0</v>
      </c>
      <c r="AK72" s="103">
        <v>0</v>
      </c>
      <c r="AL72" s="103">
        <v>0</v>
      </c>
      <c r="AM72" s="103">
        <v>0</v>
      </c>
      <c r="AN72" s="103">
        <v>0</v>
      </c>
      <c r="AO72" s="103">
        <v>0</v>
      </c>
      <c r="AP72" s="103">
        <v>0</v>
      </c>
      <c r="AQ72" s="103">
        <v>0</v>
      </c>
      <c r="AR72" s="103">
        <v>0</v>
      </c>
      <c r="AS72" s="103">
        <v>0</v>
      </c>
      <c r="AT72" s="103">
        <v>0</v>
      </c>
      <c r="AU72" s="103">
        <v>0</v>
      </c>
      <c r="AV72" s="103">
        <v>0</v>
      </c>
      <c r="AW72" s="103">
        <v>0</v>
      </c>
      <c r="AX72" s="103">
        <v>0</v>
      </c>
      <c r="AY72" s="103">
        <v>0</v>
      </c>
      <c r="AZ72" s="103">
        <v>0</v>
      </c>
      <c r="BA72" s="103">
        <v>0</v>
      </c>
      <c r="BB72" s="103">
        <v>0</v>
      </c>
      <c r="BC72" s="103">
        <v>0</v>
      </c>
      <c r="BD72" s="103">
        <v>0</v>
      </c>
      <c r="BE72" s="103">
        <v>0</v>
      </c>
      <c r="BF72" s="103">
        <v>0</v>
      </c>
      <c r="BG72" s="103">
        <v>0</v>
      </c>
      <c r="BH72" s="103">
        <v>0</v>
      </c>
      <c r="BI72" s="103">
        <v>0</v>
      </c>
      <c r="BJ72" s="103">
        <v>0</v>
      </c>
      <c r="BK72" s="103">
        <v>0</v>
      </c>
      <c r="BL72" s="103">
        <v>0</v>
      </c>
      <c r="BM72" s="103">
        <v>0</v>
      </c>
      <c r="BN72" s="103">
        <v>0</v>
      </c>
      <c r="BO72" s="103">
        <v>0</v>
      </c>
      <c r="BP72" s="103">
        <v>0</v>
      </c>
      <c r="BQ72" s="104">
        <v>0</v>
      </c>
    </row>
    <row r="73" spans="1:69" ht="15" customHeight="1" x14ac:dyDescent="0.3">
      <c r="A73" s="54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</row>
    <row r="74" spans="1:69" ht="15" customHeight="1" x14ac:dyDescent="0.3">
      <c r="A74" s="42"/>
    </row>
    <row r="75" spans="1:69" ht="15" customHeight="1" x14ac:dyDescent="0.2">
      <c r="A75" s="53"/>
    </row>
    <row r="102" ht="15" customHeight="1" x14ac:dyDescent="0.2"/>
  </sheetData>
  <mergeCells count="2">
    <mergeCell ref="A3:A5"/>
    <mergeCell ref="B3:B5"/>
  </mergeCells>
  <pageMargins left="0.196527777777778" right="0" top="0.196527777777778" bottom="0.196527777777778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BQ102"/>
  <sheetViews>
    <sheetView showGridLines="0" zoomScale="90" zoomScaleNormal="90" workbookViewId="0">
      <pane xSplit="2" ySplit="5" topLeftCell="BC37" activePane="bottomRight" state="frozen"/>
      <selection activeCell="F33" sqref="F33"/>
      <selection pane="topRight" activeCell="F33" sqref="F33"/>
      <selection pane="bottomLeft" activeCell="F33" sqref="F33"/>
      <selection pane="bottomRight" activeCell="BE46" sqref="BE46"/>
    </sheetView>
  </sheetViews>
  <sheetFormatPr defaultColWidth="11.42578125" defaultRowHeight="12.75" x14ac:dyDescent="0.2"/>
  <cols>
    <col min="1" max="1" width="14.7109375" customWidth="1"/>
    <col min="2" max="2" width="63" customWidth="1"/>
    <col min="3" max="69" width="20.7109375" customWidth="1"/>
  </cols>
  <sheetData>
    <row r="1" spans="1:69" ht="15" customHeight="1" x14ac:dyDescent="0.3">
      <c r="A1" s="12" t="s">
        <v>204</v>
      </c>
      <c r="B1" s="58"/>
      <c r="C1" s="58"/>
      <c r="D1" s="58"/>
      <c r="E1" s="58"/>
      <c r="F1" s="58"/>
      <c r="G1" s="58"/>
      <c r="AZ1" s="58"/>
      <c r="BA1" s="58"/>
      <c r="BB1" s="58"/>
      <c r="BC1" s="58"/>
    </row>
    <row r="2" spans="1:69" ht="15" customHeight="1" x14ac:dyDescent="0.3">
      <c r="A2" s="12" t="s">
        <v>192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</row>
    <row r="3" spans="1:69" ht="15" customHeight="1" x14ac:dyDescent="0.2">
      <c r="A3" s="126" t="s">
        <v>189</v>
      </c>
      <c r="B3" s="126" t="s">
        <v>190</v>
      </c>
      <c r="C3" s="14" t="s">
        <v>191</v>
      </c>
      <c r="D3" s="15"/>
      <c r="E3" s="15"/>
      <c r="F3" s="15"/>
      <c r="G3" s="15"/>
      <c r="H3" s="15"/>
      <c r="I3" s="15"/>
      <c r="J3" s="15"/>
      <c r="K3" s="15"/>
      <c r="L3" s="16" t="str">
        <f>C3</f>
        <v>Atividades</v>
      </c>
      <c r="M3" s="15"/>
      <c r="N3" s="15"/>
      <c r="O3" s="15"/>
      <c r="P3" s="15"/>
      <c r="Q3" s="15"/>
      <c r="R3" s="15"/>
      <c r="S3" s="15"/>
      <c r="T3" s="15"/>
      <c r="U3" s="16" t="str">
        <f>L3</f>
        <v>Atividades</v>
      </c>
      <c r="V3" s="15"/>
      <c r="W3" s="15"/>
      <c r="X3" s="15"/>
      <c r="Y3" s="15"/>
      <c r="Z3" s="15"/>
      <c r="AA3" s="15"/>
      <c r="AB3" s="15"/>
      <c r="AC3" s="15"/>
      <c r="AD3" s="16" t="str">
        <f>U3</f>
        <v>Atividades</v>
      </c>
      <c r="AE3" s="15"/>
      <c r="AF3" s="15"/>
      <c r="AG3" s="15"/>
      <c r="AH3" s="15"/>
      <c r="AI3" s="15"/>
      <c r="AJ3" s="15"/>
      <c r="AK3" s="15"/>
      <c r="AL3" s="15"/>
      <c r="AM3" s="16" t="str">
        <f>AD3</f>
        <v>Atividades</v>
      </c>
      <c r="AN3" s="15"/>
      <c r="AO3" s="15"/>
      <c r="AP3" s="15"/>
      <c r="AQ3" s="15"/>
      <c r="AR3" s="15"/>
      <c r="AS3" s="15"/>
      <c r="AT3" s="15"/>
      <c r="AU3" s="15"/>
      <c r="AV3" s="16" t="str">
        <f>AM3</f>
        <v>Atividades</v>
      </c>
      <c r="AW3" s="15"/>
      <c r="AX3" s="15"/>
      <c r="AY3" s="15"/>
      <c r="AZ3" s="15"/>
      <c r="BA3" s="15"/>
      <c r="BB3" s="15"/>
      <c r="BC3" s="15"/>
      <c r="BD3" s="15"/>
      <c r="BE3" s="16" t="str">
        <f>AV3</f>
        <v>Atividades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59" t="str">
        <f>BE3</f>
        <v>Atividades</v>
      </c>
    </row>
    <row r="4" spans="1:69" ht="15" customHeight="1" x14ac:dyDescent="0.2">
      <c r="A4" s="126"/>
      <c r="B4" s="126"/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7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7" t="s">
        <v>48</v>
      </c>
      <c r="AB4" s="17" t="s">
        <v>49</v>
      </c>
      <c r="AC4" s="17" t="s">
        <v>50</v>
      </c>
      <c r="AD4" s="17" t="s">
        <v>51</v>
      </c>
      <c r="AE4" s="17" t="s">
        <v>52</v>
      </c>
      <c r="AF4" s="17" t="s">
        <v>53</v>
      </c>
      <c r="AG4" s="17" t="s">
        <v>54</v>
      </c>
      <c r="AH4" s="17" t="s">
        <v>55</v>
      </c>
      <c r="AI4" s="17" t="s">
        <v>56</v>
      </c>
      <c r="AJ4" s="17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7" t="s">
        <v>73</v>
      </c>
      <c r="BA4" s="17" t="s">
        <v>74</v>
      </c>
      <c r="BB4" s="17" t="s">
        <v>75</v>
      </c>
      <c r="BC4" s="17" t="s">
        <v>76</v>
      </c>
      <c r="BD4" s="17" t="s">
        <v>77</v>
      </c>
      <c r="BE4" s="17" t="s">
        <v>78</v>
      </c>
      <c r="BF4" s="17" t="s">
        <v>79</v>
      </c>
      <c r="BG4" s="17" t="s">
        <v>80</v>
      </c>
      <c r="BH4" s="17" t="s">
        <v>81</v>
      </c>
      <c r="BI4" s="17" t="s">
        <v>82</v>
      </c>
      <c r="BJ4" s="17" t="s">
        <v>83</v>
      </c>
      <c r="BK4" s="17" t="s">
        <v>84</v>
      </c>
      <c r="BL4" s="17" t="s">
        <v>85</v>
      </c>
      <c r="BM4" s="17" t="s">
        <v>86</v>
      </c>
      <c r="BN4" s="17" t="s">
        <v>87</v>
      </c>
      <c r="BO4" s="17" t="s">
        <v>88</v>
      </c>
      <c r="BP4" s="17" t="s">
        <v>89</v>
      </c>
      <c r="BQ4" s="17" t="s">
        <v>90</v>
      </c>
    </row>
    <row r="5" spans="1:69" ht="60" customHeight="1" x14ac:dyDescent="0.2">
      <c r="A5" s="126"/>
      <c r="B5" s="126"/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  <c r="O5" s="18" t="s">
        <v>104</v>
      </c>
      <c r="P5" s="18" t="s">
        <v>105</v>
      </c>
      <c r="Q5" s="18" t="s">
        <v>106</v>
      </c>
      <c r="R5" s="18" t="s">
        <v>107</v>
      </c>
      <c r="S5" s="18" t="s">
        <v>108</v>
      </c>
      <c r="T5" s="18" t="s">
        <v>109</v>
      </c>
      <c r="U5" s="18" t="s">
        <v>110</v>
      </c>
      <c r="V5" s="18" t="s">
        <v>111</v>
      </c>
      <c r="W5" s="18" t="s">
        <v>112</v>
      </c>
      <c r="X5" s="18" t="s">
        <v>113</v>
      </c>
      <c r="Y5" s="18" t="s">
        <v>114</v>
      </c>
      <c r="Z5" s="18" t="s">
        <v>115</v>
      </c>
      <c r="AA5" s="18" t="s">
        <v>116</v>
      </c>
      <c r="AB5" s="18" t="s">
        <v>117</v>
      </c>
      <c r="AC5" s="18" t="s">
        <v>118</v>
      </c>
      <c r="AD5" s="18" t="s">
        <v>119</v>
      </c>
      <c r="AE5" s="18" t="s">
        <v>120</v>
      </c>
      <c r="AF5" s="18" t="s">
        <v>121</v>
      </c>
      <c r="AG5" s="18" t="s">
        <v>122</v>
      </c>
      <c r="AH5" s="18" t="s">
        <v>123</v>
      </c>
      <c r="AI5" s="18" t="s">
        <v>124</v>
      </c>
      <c r="AJ5" s="18" t="s">
        <v>125</v>
      </c>
      <c r="AK5" s="18" t="s">
        <v>126</v>
      </c>
      <c r="AL5" s="18" t="s">
        <v>127</v>
      </c>
      <c r="AM5" s="18" t="s">
        <v>128</v>
      </c>
      <c r="AN5" s="18" t="s">
        <v>129</v>
      </c>
      <c r="AO5" s="18" t="s">
        <v>130</v>
      </c>
      <c r="AP5" s="18" t="s">
        <v>131</v>
      </c>
      <c r="AQ5" s="18" t="s">
        <v>132</v>
      </c>
      <c r="AR5" s="18" t="s">
        <v>133</v>
      </c>
      <c r="AS5" s="18" t="s">
        <v>134</v>
      </c>
      <c r="AT5" s="18" t="s">
        <v>135</v>
      </c>
      <c r="AU5" s="18" t="s">
        <v>136</v>
      </c>
      <c r="AV5" s="18" t="s">
        <v>137</v>
      </c>
      <c r="AW5" s="18" t="s">
        <v>138</v>
      </c>
      <c r="AX5" s="18" t="s">
        <v>139</v>
      </c>
      <c r="AY5" s="18" t="s">
        <v>140</v>
      </c>
      <c r="AZ5" s="18" t="s">
        <v>141</v>
      </c>
      <c r="BA5" s="18" t="s">
        <v>142</v>
      </c>
      <c r="BB5" s="18" t="s">
        <v>143</v>
      </c>
      <c r="BC5" s="18" t="s">
        <v>144</v>
      </c>
      <c r="BD5" s="18" t="s">
        <v>145</v>
      </c>
      <c r="BE5" s="18" t="s">
        <v>146</v>
      </c>
      <c r="BF5" s="18" t="s">
        <v>147</v>
      </c>
      <c r="BG5" s="18" t="s">
        <v>148</v>
      </c>
      <c r="BH5" s="18" t="s">
        <v>149</v>
      </c>
      <c r="BI5" s="18" t="s">
        <v>150</v>
      </c>
      <c r="BJ5" s="18" t="s">
        <v>151</v>
      </c>
      <c r="BK5" s="18" t="s">
        <v>152</v>
      </c>
      <c r="BL5" s="18" t="s">
        <v>153</v>
      </c>
      <c r="BM5" s="18" t="s">
        <v>154</v>
      </c>
      <c r="BN5" s="18" t="s">
        <v>155</v>
      </c>
      <c r="BO5" s="18" t="s">
        <v>156</v>
      </c>
      <c r="BP5" s="18" t="s">
        <v>157</v>
      </c>
      <c r="BQ5" s="18" t="s">
        <v>158</v>
      </c>
    </row>
    <row r="6" spans="1:69" ht="15" customHeight="1" x14ac:dyDescent="0.3">
      <c r="A6" s="19" t="s">
        <v>24</v>
      </c>
      <c r="B6" s="11" t="s">
        <v>92</v>
      </c>
      <c r="C6" s="96">
        <v>1.0298873851224499</v>
      </c>
      <c r="D6" s="97">
        <v>8.6267260365026799E-2</v>
      </c>
      <c r="E6" s="97">
        <v>1.9558525545572001E-2</v>
      </c>
      <c r="F6" s="97">
        <v>1.27644358705411E-2</v>
      </c>
      <c r="G6" s="97">
        <v>5.0078089051911303E-3</v>
      </c>
      <c r="H6" s="97">
        <v>5.6185225819174499E-3</v>
      </c>
      <c r="I6" s="97">
        <v>7.3189291671390596E-3</v>
      </c>
      <c r="J6" s="97">
        <v>0.1072098841265</v>
      </c>
      <c r="K6" s="97">
        <v>0.45768085740332598</v>
      </c>
      <c r="L6" s="97">
        <v>0.33879828893032699</v>
      </c>
      <c r="M6" s="97">
        <v>6.2536567550204897E-2</v>
      </c>
      <c r="N6" s="97">
        <v>0.43855648821453302</v>
      </c>
      <c r="O6" s="97">
        <v>0.186848207385441</v>
      </c>
      <c r="P6" s="97">
        <v>6.05536868661311E-2</v>
      </c>
      <c r="Q6" s="97">
        <v>2.6230345585122501E-2</v>
      </c>
      <c r="R6" s="97">
        <v>1.2470310115039299E-2</v>
      </c>
      <c r="S6" s="97">
        <v>1.48494306996311E-2</v>
      </c>
      <c r="T6" s="97">
        <v>6.0566358051625203E-3</v>
      </c>
      <c r="U6" s="97">
        <v>5.5793706824239599E-2</v>
      </c>
      <c r="V6" s="97">
        <v>0.41399198484165001</v>
      </c>
      <c r="W6" s="97">
        <v>9.3617425803673802E-3</v>
      </c>
      <c r="X6" s="97">
        <v>1.52037382653214E-2</v>
      </c>
      <c r="Y6" s="97">
        <v>4.4866213969535197E-2</v>
      </c>
      <c r="Z6" s="97">
        <v>1.28082868879982E-2</v>
      </c>
      <c r="AA6" s="97">
        <v>8.4448141278555197E-3</v>
      </c>
      <c r="AB6" s="97">
        <v>8.5054857041582197E-3</v>
      </c>
      <c r="AC6" s="97">
        <v>5.9434272617672097E-3</v>
      </c>
      <c r="AD6" s="97">
        <v>7.4042152767124997E-3</v>
      </c>
      <c r="AE6" s="97">
        <v>6.2561690643033697E-3</v>
      </c>
      <c r="AF6" s="97">
        <v>3.2436390761563E-3</v>
      </c>
      <c r="AG6" s="97">
        <v>6.0449208330579304E-3</v>
      </c>
      <c r="AH6" s="97">
        <v>5.6393463124152499E-3</v>
      </c>
      <c r="AI6" s="97">
        <v>6.5535783550181E-3</v>
      </c>
      <c r="AJ6" s="97">
        <v>8.0227257916696097E-3</v>
      </c>
      <c r="AK6" s="97">
        <v>3.8742611331129499E-3</v>
      </c>
      <c r="AL6" s="97">
        <v>9.1680166969419601E-3</v>
      </c>
      <c r="AM6" s="97">
        <v>4.3937673443472996E-3</v>
      </c>
      <c r="AN6" s="97">
        <v>3.2940898972073701E-3</v>
      </c>
      <c r="AO6" s="97">
        <v>4.8343453546318797E-3</v>
      </c>
      <c r="AP6" s="97">
        <v>6.6023303014823096E-3</v>
      </c>
      <c r="AQ6" s="97">
        <v>1.7976781559375599E-2</v>
      </c>
      <c r="AR6" s="97">
        <v>1.78978769027744E-2</v>
      </c>
      <c r="AS6" s="97">
        <v>8.1336500966360404E-3</v>
      </c>
      <c r="AT6" s="97">
        <v>1.4561065220301201E-2</v>
      </c>
      <c r="AU6" s="97">
        <v>4.2754851832033803E-3</v>
      </c>
      <c r="AV6" s="97">
        <v>2.86496605541076E-2</v>
      </c>
      <c r="AW6" s="97">
        <v>6.1684302099897698E-2</v>
      </c>
      <c r="AX6" s="97">
        <v>4.6069491594196198E-3</v>
      </c>
      <c r="AY6" s="97">
        <v>4.6986238628804597E-3</v>
      </c>
      <c r="AZ6" s="97">
        <v>3.0213401806162398E-3</v>
      </c>
      <c r="BA6" s="97">
        <v>1.88472688348139E-3</v>
      </c>
      <c r="BB6" s="97">
        <v>1.6917334427309901E-3</v>
      </c>
      <c r="BC6" s="97">
        <v>3.7574796809654098E-4</v>
      </c>
      <c r="BD6" s="97">
        <v>2.3729232150556702E-3</v>
      </c>
      <c r="BE6" s="97">
        <v>4.9911139352346E-3</v>
      </c>
      <c r="BF6" s="97">
        <v>4.06629507633402E-3</v>
      </c>
      <c r="BG6" s="97">
        <v>4.9360357001693098E-3</v>
      </c>
      <c r="BH6" s="97">
        <v>3.69810786827415E-3</v>
      </c>
      <c r="BI6" s="97">
        <v>3.7521067973508202E-3</v>
      </c>
      <c r="BJ6" s="97">
        <v>5.32830811140882E-3</v>
      </c>
      <c r="BK6" s="97">
        <v>4.9306132204904396E-3</v>
      </c>
      <c r="BL6" s="97">
        <v>3.4381709135721402E-3</v>
      </c>
      <c r="BM6" s="97">
        <v>1.23009647750857E-2</v>
      </c>
      <c r="BN6" s="97">
        <v>5.7450217806611099E-3</v>
      </c>
      <c r="BO6" s="97">
        <v>4.1289687657435001E-3</v>
      </c>
      <c r="BP6" s="97">
        <v>1.4135070521949599E-2</v>
      </c>
      <c r="BQ6" s="98">
        <v>0</v>
      </c>
    </row>
    <row r="7" spans="1:69" ht="15" customHeight="1" x14ac:dyDescent="0.3">
      <c r="A7" s="19" t="s">
        <v>25</v>
      </c>
      <c r="B7" s="11" t="s">
        <v>93</v>
      </c>
      <c r="C7" s="99">
        <v>3.2770635215923299E-3</v>
      </c>
      <c r="D7" s="100">
        <v>1.0497979107908699</v>
      </c>
      <c r="E7" s="100">
        <v>7.0620737114529099E-3</v>
      </c>
      <c r="F7" s="100">
        <v>1.3011387670649E-3</v>
      </c>
      <c r="G7" s="100">
        <v>5.4181347681558597E-4</v>
      </c>
      <c r="H7" s="100">
        <v>6.0225756996812102E-4</v>
      </c>
      <c r="I7" s="100">
        <v>7.6478329935152902E-4</v>
      </c>
      <c r="J7" s="100">
        <v>0.38146135857925101</v>
      </c>
      <c r="K7" s="100">
        <v>4.4900864193165701E-3</v>
      </c>
      <c r="L7" s="100">
        <v>2.51603808908606E-2</v>
      </c>
      <c r="M7" s="100">
        <v>3.1646049958874798E-3</v>
      </c>
      <c r="N7" s="100">
        <v>2.2676141933750199E-2</v>
      </c>
      <c r="O7" s="100">
        <v>8.5219289683107907E-3</v>
      </c>
      <c r="P7" s="100">
        <v>7.7716207670287E-3</v>
      </c>
      <c r="Q7" s="100">
        <v>2.1100792319947399E-2</v>
      </c>
      <c r="R7" s="100">
        <v>6.8687058694745402E-3</v>
      </c>
      <c r="S7" s="100">
        <v>5.1483908410133701E-3</v>
      </c>
      <c r="T7" s="100">
        <v>1.09357595298791E-3</v>
      </c>
      <c r="U7" s="100">
        <v>1.92871857080017E-3</v>
      </c>
      <c r="V7" s="100">
        <v>1.43708330640577E-2</v>
      </c>
      <c r="W7" s="100">
        <v>1.04871725127951E-3</v>
      </c>
      <c r="X7" s="100">
        <v>1.62045898097646E-3</v>
      </c>
      <c r="Y7" s="100">
        <v>2.6891526260192498E-2</v>
      </c>
      <c r="Z7" s="100">
        <v>1.22358770434757E-3</v>
      </c>
      <c r="AA7" s="100">
        <v>1.29970852039082E-3</v>
      </c>
      <c r="AB7" s="100">
        <v>1.77372902793345E-3</v>
      </c>
      <c r="AC7" s="100">
        <v>1.10127915136581E-3</v>
      </c>
      <c r="AD7" s="100">
        <v>1.4761020121973601E-3</v>
      </c>
      <c r="AE7" s="100">
        <v>1.2546520886586099E-3</v>
      </c>
      <c r="AF7" s="100">
        <v>4.5817217400550799E-4</v>
      </c>
      <c r="AG7" s="100">
        <v>8.10759863689433E-4</v>
      </c>
      <c r="AH7" s="100">
        <v>8.0524044366391695E-4</v>
      </c>
      <c r="AI7" s="100">
        <v>9.0305007266392996E-4</v>
      </c>
      <c r="AJ7" s="100">
        <v>9.1123838417154796E-4</v>
      </c>
      <c r="AK7" s="100">
        <v>5.42586314125007E-4</v>
      </c>
      <c r="AL7" s="100">
        <v>1.4742063118850901E-3</v>
      </c>
      <c r="AM7" s="100">
        <v>5.9621287522250703E-4</v>
      </c>
      <c r="AN7" s="100">
        <v>3.6719961810295702E-4</v>
      </c>
      <c r="AO7" s="100">
        <v>5.9285147804999101E-4</v>
      </c>
      <c r="AP7" s="100">
        <v>2.12599125830879E-3</v>
      </c>
      <c r="AQ7" s="100">
        <v>1.2977254473422999E-3</v>
      </c>
      <c r="AR7" s="100">
        <v>8.70664017476187E-4</v>
      </c>
      <c r="AS7" s="100">
        <v>5.2166186091117403E-4</v>
      </c>
      <c r="AT7" s="100">
        <v>1.7049379011471401E-3</v>
      </c>
      <c r="AU7" s="100">
        <v>6.8967697644422698E-4</v>
      </c>
      <c r="AV7" s="100">
        <v>2.7856742695083599E-2</v>
      </c>
      <c r="AW7" s="100">
        <v>4.7620430133630903E-2</v>
      </c>
      <c r="AX7" s="100">
        <v>8.2051675073292903E-4</v>
      </c>
      <c r="AY7" s="100">
        <v>1.68238268331239E-3</v>
      </c>
      <c r="AZ7" s="100">
        <v>1.10483985499295E-3</v>
      </c>
      <c r="BA7" s="100">
        <v>4.3350577684970299E-4</v>
      </c>
      <c r="BB7" s="100">
        <v>5.4298909365281295E-4</v>
      </c>
      <c r="BC7" s="100">
        <v>1.18549897573463E-4</v>
      </c>
      <c r="BD7" s="100">
        <v>6.7737546862325904E-4</v>
      </c>
      <c r="BE7" s="100">
        <v>8.6323372606455595E-4</v>
      </c>
      <c r="BF7" s="100">
        <v>1.0578950604600999E-3</v>
      </c>
      <c r="BG7" s="100">
        <v>5.3436018333388703E-4</v>
      </c>
      <c r="BH7" s="100">
        <v>9.1273390815759501E-4</v>
      </c>
      <c r="BI7" s="100">
        <v>3.6575207973597499E-4</v>
      </c>
      <c r="BJ7" s="100">
        <v>2.9166395717454699E-3</v>
      </c>
      <c r="BK7" s="100">
        <v>2.813947839677E-3</v>
      </c>
      <c r="BL7" s="100">
        <v>1.74234067767445E-3</v>
      </c>
      <c r="BM7" s="100">
        <v>6.3035537921316397E-3</v>
      </c>
      <c r="BN7" s="100">
        <v>2.8184154343394402E-3</v>
      </c>
      <c r="BO7" s="100">
        <v>9.32990863232898E-4</v>
      </c>
      <c r="BP7" s="100">
        <v>5.55182235507958E-3</v>
      </c>
      <c r="BQ7" s="101">
        <v>0</v>
      </c>
    </row>
    <row r="8" spans="1:69" ht="15" customHeight="1" x14ac:dyDescent="0.3">
      <c r="A8" s="19" t="s">
        <v>26</v>
      </c>
      <c r="B8" s="11" t="s">
        <v>94</v>
      </c>
      <c r="C8" s="99">
        <v>2.8745698921528902E-3</v>
      </c>
      <c r="D8" s="100">
        <v>7.8370044564173204E-3</v>
      </c>
      <c r="E8" s="100">
        <v>1.0487000021147199</v>
      </c>
      <c r="F8" s="100">
        <v>5.6670159219692504E-4</v>
      </c>
      <c r="G8" s="100">
        <v>5.9317226294849197E-4</v>
      </c>
      <c r="H8" s="100">
        <v>3.8619999741767302E-4</v>
      </c>
      <c r="I8" s="100">
        <v>4.5938690770159102E-4</v>
      </c>
      <c r="J8" s="100">
        <v>1.09937238081335E-2</v>
      </c>
      <c r="K8" s="100">
        <v>1.53135833371494E-3</v>
      </c>
      <c r="L8" s="100">
        <v>3.0797001271998898E-3</v>
      </c>
      <c r="M8" s="100">
        <v>1.59633252057535E-3</v>
      </c>
      <c r="N8" s="100">
        <v>5.8337798769594997E-3</v>
      </c>
      <c r="O8" s="100">
        <v>2.01528388691049E-3</v>
      </c>
      <c r="P8" s="100">
        <v>1.2015827890219501E-3</v>
      </c>
      <c r="Q8" s="100">
        <v>2.2174687333250398E-3</v>
      </c>
      <c r="R8" s="100">
        <v>6.7344653307027505E-2</v>
      </c>
      <c r="S8" s="100">
        <v>4.3732833186806999E-2</v>
      </c>
      <c r="T8" s="100">
        <v>3.9742264780626797E-3</v>
      </c>
      <c r="U8" s="100">
        <v>5.3054260636045702E-4</v>
      </c>
      <c r="V8" s="100">
        <v>1.94215264036154E-3</v>
      </c>
      <c r="W8" s="100">
        <v>1.58993473967216E-3</v>
      </c>
      <c r="X8" s="100">
        <v>8.3045061501050795E-4</v>
      </c>
      <c r="Y8" s="100">
        <v>3.3188211592136002E-3</v>
      </c>
      <c r="Z8" s="100">
        <v>1.08424872605213E-3</v>
      </c>
      <c r="AA8" s="100">
        <v>5.2642466607264599E-3</v>
      </c>
      <c r="AB8" s="100">
        <v>2.7485649221610999E-3</v>
      </c>
      <c r="AC8" s="100">
        <v>5.7891893802068904E-3</v>
      </c>
      <c r="AD8" s="100">
        <v>5.8491257701351004E-4</v>
      </c>
      <c r="AE8" s="100">
        <v>2.63185540887281E-3</v>
      </c>
      <c r="AF8" s="100">
        <v>7.0074685026680502E-4</v>
      </c>
      <c r="AG8" s="100">
        <v>1.1096616368199E-3</v>
      </c>
      <c r="AH8" s="100">
        <v>1.32394745525942E-3</v>
      </c>
      <c r="AI8" s="100">
        <v>1.4602515654730799E-3</v>
      </c>
      <c r="AJ8" s="100">
        <v>1.82294619014541E-3</v>
      </c>
      <c r="AK8" s="100">
        <v>8.9466795466752399E-4</v>
      </c>
      <c r="AL8" s="100">
        <v>6.8163456841754304E-3</v>
      </c>
      <c r="AM8" s="100">
        <v>7.0777648570848203E-4</v>
      </c>
      <c r="AN8" s="100">
        <v>3.0508041036929101E-4</v>
      </c>
      <c r="AO8" s="100">
        <v>4.8263843766318198E-4</v>
      </c>
      <c r="AP8" s="100">
        <v>3.2292861493036901E-3</v>
      </c>
      <c r="AQ8" s="100">
        <v>8.3371066294928204E-4</v>
      </c>
      <c r="AR8" s="100">
        <v>4.64706096529679E-4</v>
      </c>
      <c r="AS8" s="100">
        <v>3.7310565540829099E-4</v>
      </c>
      <c r="AT8" s="100">
        <v>4.9523068069890603E-4</v>
      </c>
      <c r="AU8" s="100">
        <v>4.3844635365417799E-4</v>
      </c>
      <c r="AV8" s="100">
        <v>2.5159305796390698E-3</v>
      </c>
      <c r="AW8" s="100">
        <v>3.6345216489884901E-3</v>
      </c>
      <c r="AX8" s="100">
        <v>2.37418092965608E-3</v>
      </c>
      <c r="AY8" s="100">
        <v>7.6435829868210805E-4</v>
      </c>
      <c r="AZ8" s="100">
        <v>3.8821268035736298E-4</v>
      </c>
      <c r="BA8" s="100">
        <v>3.5582041172868399E-4</v>
      </c>
      <c r="BB8" s="100">
        <v>2.5011313066991298E-4</v>
      </c>
      <c r="BC8" s="100">
        <v>9.8408081917482804E-5</v>
      </c>
      <c r="BD8" s="100">
        <v>4.3588747518164499E-4</v>
      </c>
      <c r="BE8" s="100">
        <v>5.14524092032354E-4</v>
      </c>
      <c r="BF8" s="100">
        <v>7.4094562629495396E-4</v>
      </c>
      <c r="BG8" s="100">
        <v>6.19435048044738E-4</v>
      </c>
      <c r="BH8" s="100">
        <v>6.1494585708574796E-4</v>
      </c>
      <c r="BI8" s="100">
        <v>1.6907177656744001E-4</v>
      </c>
      <c r="BJ8" s="100">
        <v>4.3896095909945899E-4</v>
      </c>
      <c r="BK8" s="100">
        <v>4.81934239174707E-4</v>
      </c>
      <c r="BL8" s="100">
        <v>4.4956120294509098E-4</v>
      </c>
      <c r="BM8" s="100">
        <v>9.9965123813484198E-4</v>
      </c>
      <c r="BN8" s="100">
        <v>6.3304917450390298E-4</v>
      </c>
      <c r="BO8" s="100">
        <v>4.0146241968426499E-4</v>
      </c>
      <c r="BP8" s="100">
        <v>8.7265244415210802E-4</v>
      </c>
      <c r="BQ8" s="101">
        <v>0</v>
      </c>
    </row>
    <row r="9" spans="1:69" ht="15" customHeight="1" x14ac:dyDescent="0.3">
      <c r="A9" s="19" t="s">
        <v>27</v>
      </c>
      <c r="B9" s="11" t="s">
        <v>95</v>
      </c>
      <c r="C9" s="99">
        <v>1.8599355734221399E-3</v>
      </c>
      <c r="D9" s="100">
        <v>4.6850926577535002E-3</v>
      </c>
      <c r="E9" s="100">
        <v>8.8916336437769696E-4</v>
      </c>
      <c r="F9" s="100">
        <v>1.01497718774253</v>
      </c>
      <c r="G9" s="100">
        <v>3.0030571600034401E-3</v>
      </c>
      <c r="H9" s="100">
        <v>7.3808238475037299E-4</v>
      </c>
      <c r="I9" s="100">
        <v>1.04388602136989E-3</v>
      </c>
      <c r="J9" s="100">
        <v>2.5758587583531701E-3</v>
      </c>
      <c r="K9" s="100">
        <v>1.5435471375756899E-3</v>
      </c>
      <c r="L9" s="100">
        <v>2.2158059782116002E-3</v>
      </c>
      <c r="M9" s="100">
        <v>3.2064531424773998E-3</v>
      </c>
      <c r="N9" s="100">
        <v>1.1464366571280599E-3</v>
      </c>
      <c r="O9" s="100">
        <v>1.2678092368992499E-3</v>
      </c>
      <c r="P9" s="100">
        <v>6.3881905288143599E-4</v>
      </c>
      <c r="Q9" s="100">
        <v>8.5080807003877902E-4</v>
      </c>
      <c r="R9" s="100">
        <v>9.7885735979641691E-4</v>
      </c>
      <c r="S9" s="100">
        <v>1.43829039743246E-3</v>
      </c>
      <c r="T9" s="100">
        <v>8.4008451219811005E-4</v>
      </c>
      <c r="U9" s="100">
        <v>1.81198085596953E-3</v>
      </c>
      <c r="V9" s="100">
        <v>7.1621427320855196E-3</v>
      </c>
      <c r="W9" s="100">
        <v>7.4084728812406197E-3</v>
      </c>
      <c r="X9" s="100">
        <v>2.9030073079198099E-3</v>
      </c>
      <c r="Y9" s="100">
        <v>2.19405574441091E-3</v>
      </c>
      <c r="Z9" s="100">
        <v>5.8335380333314805E-4</v>
      </c>
      <c r="AA9" s="100">
        <v>2.2424842107834002E-3</v>
      </c>
      <c r="AB9" s="100">
        <v>6.1441206300016898E-2</v>
      </c>
      <c r="AC9" s="100">
        <v>8.0617696380423497E-3</v>
      </c>
      <c r="AD9" s="100">
        <v>7.4993605503616799E-3</v>
      </c>
      <c r="AE9" s="100">
        <v>2.94215498945309E-3</v>
      </c>
      <c r="AF9" s="100">
        <v>3.2097066788822998E-4</v>
      </c>
      <c r="AG9" s="100">
        <v>2.5927359885527901E-3</v>
      </c>
      <c r="AH9" s="100">
        <v>1.5837833747232501E-3</v>
      </c>
      <c r="AI9" s="100">
        <v>2.2904083395295901E-3</v>
      </c>
      <c r="AJ9" s="100">
        <v>2.5572429793372601E-3</v>
      </c>
      <c r="AK9" s="100">
        <v>1.2329866931306899E-3</v>
      </c>
      <c r="AL9" s="100">
        <v>1.9412276060249501E-3</v>
      </c>
      <c r="AM9" s="100">
        <v>1.08070960895335E-3</v>
      </c>
      <c r="AN9" s="100">
        <v>2.0830402685862101E-3</v>
      </c>
      <c r="AO9" s="100">
        <v>8.2040781665998798E-3</v>
      </c>
      <c r="AP9" s="100">
        <v>1.8568332159050498E-2</v>
      </c>
      <c r="AQ9" s="100">
        <v>5.3383093596574903E-4</v>
      </c>
      <c r="AR9" s="100">
        <v>7.6087883281882897E-4</v>
      </c>
      <c r="AS9" s="100">
        <v>4.0894509478238102E-4</v>
      </c>
      <c r="AT9" s="100">
        <v>6.0270049406559005E-4</v>
      </c>
      <c r="AU9" s="100">
        <v>5.7450185141964599E-4</v>
      </c>
      <c r="AV9" s="100">
        <v>1.5906627291436401E-3</v>
      </c>
      <c r="AW9" s="100">
        <v>1.26451051145998E-3</v>
      </c>
      <c r="AX9" s="100">
        <v>3.5860488046740802E-4</v>
      </c>
      <c r="AY9" s="100">
        <v>3.97437272345728E-4</v>
      </c>
      <c r="AZ9" s="100">
        <v>6.8308169599595996E-4</v>
      </c>
      <c r="BA9" s="100">
        <v>2.6518827703576799E-4</v>
      </c>
      <c r="BB9" s="100">
        <v>1.6047707240241299E-4</v>
      </c>
      <c r="BC9" s="100">
        <v>6.1663530626638696E-4</v>
      </c>
      <c r="BD9" s="100">
        <v>2.23693312185111E-4</v>
      </c>
      <c r="BE9" s="100">
        <v>4.53602374286384E-4</v>
      </c>
      <c r="BF9" s="100">
        <v>2.9193782064588602E-4</v>
      </c>
      <c r="BG9" s="100">
        <v>3.5308792785189501E-4</v>
      </c>
      <c r="BH9" s="100">
        <v>6.1038411872779696E-4</v>
      </c>
      <c r="BI9" s="100">
        <v>1.56191963060622E-4</v>
      </c>
      <c r="BJ9" s="100">
        <v>6.6111791209838295E-4</v>
      </c>
      <c r="BK9" s="100">
        <v>3.1034186392609999E-4</v>
      </c>
      <c r="BL9" s="100">
        <v>3.1772944945476198E-4</v>
      </c>
      <c r="BM9" s="100">
        <v>8.2424995252185402E-4</v>
      </c>
      <c r="BN9" s="100">
        <v>3.5541836797511802E-4</v>
      </c>
      <c r="BO9" s="100">
        <v>5.0975529432230001E-4</v>
      </c>
      <c r="BP9" s="100">
        <v>7.0817337358585798E-4</v>
      </c>
      <c r="BQ9" s="101">
        <v>0</v>
      </c>
    </row>
    <row r="10" spans="1:69" ht="15" customHeight="1" x14ac:dyDescent="0.3">
      <c r="A10" s="19" t="s">
        <v>28</v>
      </c>
      <c r="B10" s="11" t="s">
        <v>96</v>
      </c>
      <c r="C10" s="99">
        <v>1.78350806662427E-2</v>
      </c>
      <c r="D10" s="100">
        <v>1.8136914854721901E-2</v>
      </c>
      <c r="E10" s="100">
        <v>1.22156677029696E-2</v>
      </c>
      <c r="F10" s="100">
        <v>3.6206381346415697E-2</v>
      </c>
      <c r="G10" s="100">
        <v>1.03490787624597</v>
      </c>
      <c r="H10" s="100">
        <v>2.9054310892200001E-2</v>
      </c>
      <c r="I10" s="100">
        <v>3.3742504752385903E-2</v>
      </c>
      <c r="J10" s="100">
        <v>2.26876873407942E-2</v>
      </c>
      <c r="K10" s="100">
        <v>2.7832724015824799E-2</v>
      </c>
      <c r="L10" s="100">
        <v>2.2564116497418799E-2</v>
      </c>
      <c r="M10" s="100">
        <v>1.95876582587667E-2</v>
      </c>
      <c r="N10" s="100">
        <v>1.4614101684046E-2</v>
      </c>
      <c r="O10" s="100">
        <v>1.5319929334773399E-2</v>
      </c>
      <c r="P10" s="100">
        <v>9.3340754356109994E-3</v>
      </c>
      <c r="Q10" s="100">
        <v>1.28687081542484E-2</v>
      </c>
      <c r="R10" s="100">
        <v>1.86945647185594E-2</v>
      </c>
      <c r="S10" s="100">
        <v>2.8090669512543898E-2</v>
      </c>
      <c r="T10" s="100">
        <v>1.01729691710535E-2</v>
      </c>
      <c r="U10" s="100">
        <v>0.35031239213379101</v>
      </c>
      <c r="V10" s="100">
        <v>2.68129261077024E-2</v>
      </c>
      <c r="W10" s="100">
        <v>3.4227806981299701E-2</v>
      </c>
      <c r="X10" s="100">
        <v>1.78362541429294E-2</v>
      </c>
      <c r="Y10" s="100">
        <v>1.8990246354245999E-2</v>
      </c>
      <c r="Z10" s="100">
        <v>9.7841748302851701E-3</v>
      </c>
      <c r="AA10" s="100">
        <v>2.0382454836377E-2</v>
      </c>
      <c r="AB10" s="100">
        <v>3.2178404321488198E-2</v>
      </c>
      <c r="AC10" s="100">
        <v>2.1230725625363E-2</v>
      </c>
      <c r="AD10" s="100">
        <v>2.64390002248319E-2</v>
      </c>
      <c r="AE10" s="100">
        <v>1.54177087455751E-2</v>
      </c>
      <c r="AF10" s="100">
        <v>5.7116211612482804E-3</v>
      </c>
      <c r="AG10" s="100">
        <v>1.3827829669490199E-2</v>
      </c>
      <c r="AH10" s="100">
        <v>1.0893494597207801E-2</v>
      </c>
      <c r="AI10" s="100">
        <v>1.2894888767315701E-2</v>
      </c>
      <c r="AJ10" s="100">
        <v>1.3656686565799801E-2</v>
      </c>
      <c r="AK10" s="100">
        <v>7.8840966877782998E-3</v>
      </c>
      <c r="AL10" s="100">
        <v>1.15466705451525E-2</v>
      </c>
      <c r="AM10" s="100">
        <v>8.0724808065014506E-3</v>
      </c>
      <c r="AN10" s="100">
        <v>5.1038372467374797E-2</v>
      </c>
      <c r="AO10" s="100">
        <v>2.7509469844276602E-2</v>
      </c>
      <c r="AP10" s="100">
        <v>1.6627627018890999E-2</v>
      </c>
      <c r="AQ10" s="100">
        <v>1.2961952296185301E-2</v>
      </c>
      <c r="AR10" s="100">
        <v>8.9784170630097193E-2</v>
      </c>
      <c r="AS10" s="100">
        <v>3.9120560573149103E-2</v>
      </c>
      <c r="AT10" s="100">
        <v>6.8117136545054094E-2</v>
      </c>
      <c r="AU10" s="100">
        <v>1.4953007581015299E-2</v>
      </c>
      <c r="AV10" s="100">
        <v>1.0002174811397299E-2</v>
      </c>
      <c r="AW10" s="100">
        <v>1.21521937474289E-2</v>
      </c>
      <c r="AX10" s="100">
        <v>7.0985634280457503E-3</v>
      </c>
      <c r="AY10" s="100">
        <v>5.6058917769633097E-3</v>
      </c>
      <c r="AZ10" s="100">
        <v>5.21734369150111E-3</v>
      </c>
      <c r="BA10" s="100">
        <v>2.8809521704545398E-3</v>
      </c>
      <c r="BB10" s="100">
        <v>2.3320433989279499E-3</v>
      </c>
      <c r="BC10" s="100">
        <v>5.9885058236669702E-4</v>
      </c>
      <c r="BD10" s="100">
        <v>3.5476504198330098E-3</v>
      </c>
      <c r="BE10" s="100">
        <v>7.5783192250999899E-3</v>
      </c>
      <c r="BF10" s="100">
        <v>4.8024987877871503E-3</v>
      </c>
      <c r="BG10" s="100">
        <v>7.7047230758609904E-3</v>
      </c>
      <c r="BH10" s="100">
        <v>5.0533345299323502E-3</v>
      </c>
      <c r="BI10" s="100">
        <v>5.8405756926115998E-3</v>
      </c>
      <c r="BJ10" s="100">
        <v>7.2522274682203097E-3</v>
      </c>
      <c r="BK10" s="100">
        <v>2.55241207067062E-3</v>
      </c>
      <c r="BL10" s="100">
        <v>4.9902518377315996E-3</v>
      </c>
      <c r="BM10" s="100">
        <v>5.3446457008891101E-3</v>
      </c>
      <c r="BN10" s="100">
        <v>3.5503274930403098E-3</v>
      </c>
      <c r="BO10" s="100">
        <v>6.1410036255584496E-3</v>
      </c>
      <c r="BP10" s="100">
        <v>9.5115455122276801E-3</v>
      </c>
      <c r="BQ10" s="101">
        <v>0</v>
      </c>
    </row>
    <row r="11" spans="1:69" ht="15" customHeight="1" x14ac:dyDescent="0.3">
      <c r="A11" s="19" t="s">
        <v>29</v>
      </c>
      <c r="B11" s="11" t="s">
        <v>97</v>
      </c>
      <c r="C11" s="99">
        <v>9.1591158504216602E-4</v>
      </c>
      <c r="D11" s="100">
        <v>1.6207166434586101E-3</v>
      </c>
      <c r="E11" s="100">
        <v>7.2755668679316604E-4</v>
      </c>
      <c r="F11" s="100">
        <v>3.6876129126869601E-3</v>
      </c>
      <c r="G11" s="100">
        <v>1.4168855211230401E-2</v>
      </c>
      <c r="H11" s="100">
        <v>1.0287364823318099</v>
      </c>
      <c r="I11" s="100">
        <v>7.76227428362407E-3</v>
      </c>
      <c r="J11" s="100">
        <v>2.73004609716462E-3</v>
      </c>
      <c r="K11" s="100">
        <v>1.43100583871969E-3</v>
      </c>
      <c r="L11" s="100">
        <v>2.1294966010406802E-3</v>
      </c>
      <c r="M11" s="100">
        <v>7.3241400146082103E-3</v>
      </c>
      <c r="N11" s="100">
        <v>1.12869546121768E-3</v>
      </c>
      <c r="O11" s="100">
        <v>1.1555270899283299E-3</v>
      </c>
      <c r="P11" s="100">
        <v>9.8599548763767496E-4</v>
      </c>
      <c r="Q11" s="100">
        <v>1.1897643561877001E-3</v>
      </c>
      <c r="R11" s="100">
        <v>2.4980650379619598E-3</v>
      </c>
      <c r="S11" s="100">
        <v>2.6487767594561098E-3</v>
      </c>
      <c r="T11" s="100">
        <v>2.0921288250114901E-3</v>
      </c>
      <c r="U11" s="100">
        <v>5.2352832708306898E-3</v>
      </c>
      <c r="V11" s="100">
        <v>1.46422762699938E-3</v>
      </c>
      <c r="W11" s="100">
        <v>1.6270990111885101E-3</v>
      </c>
      <c r="X11" s="100">
        <v>2.3392203377176502E-3</v>
      </c>
      <c r="Y11" s="100">
        <v>3.5062704463424501E-3</v>
      </c>
      <c r="Z11" s="100">
        <v>9.6994418144422502E-4</v>
      </c>
      <c r="AA11" s="100">
        <v>4.2241825457034702E-3</v>
      </c>
      <c r="AB11" s="100">
        <v>7.9894101886027295E-3</v>
      </c>
      <c r="AC11" s="100">
        <v>0.201228990901413</v>
      </c>
      <c r="AD11" s="100">
        <v>7.5008287682536597E-3</v>
      </c>
      <c r="AE11" s="100">
        <v>5.7336765790850501E-2</v>
      </c>
      <c r="AF11" s="100">
        <v>1.87089224396696E-3</v>
      </c>
      <c r="AG11" s="100">
        <v>1.56658812516863E-2</v>
      </c>
      <c r="AH11" s="100">
        <v>2.5827524144791E-2</v>
      </c>
      <c r="AI11" s="100">
        <v>2.0118063119949001E-2</v>
      </c>
      <c r="AJ11" s="100">
        <v>3.11685955206682E-2</v>
      </c>
      <c r="AK11" s="100">
        <v>1.0549357093303201E-2</v>
      </c>
      <c r="AL11" s="100">
        <v>8.0931770722530404E-3</v>
      </c>
      <c r="AM11" s="100">
        <v>1.0877177125379899E-2</v>
      </c>
      <c r="AN11" s="100">
        <v>2.3408744126729099E-3</v>
      </c>
      <c r="AO11" s="100">
        <v>2.90515914818855E-3</v>
      </c>
      <c r="AP11" s="100">
        <v>1.25425536334239E-2</v>
      </c>
      <c r="AQ11" s="100">
        <v>1.71270784834871E-3</v>
      </c>
      <c r="AR11" s="100">
        <v>2.9500695975092799E-3</v>
      </c>
      <c r="AS11" s="100">
        <v>1.4539878497855799E-3</v>
      </c>
      <c r="AT11" s="100">
        <v>1.5646808877963401E-3</v>
      </c>
      <c r="AU11" s="100">
        <v>1.10504398450086E-3</v>
      </c>
      <c r="AV11" s="100">
        <v>1.24676260162046E-3</v>
      </c>
      <c r="AW11" s="100">
        <v>1.8068322358237899E-3</v>
      </c>
      <c r="AX11" s="100">
        <v>9.6137553755982303E-4</v>
      </c>
      <c r="AY11" s="100">
        <v>6.9142307052705201E-4</v>
      </c>
      <c r="AZ11" s="100">
        <v>1.04151657763316E-3</v>
      </c>
      <c r="BA11" s="100">
        <v>5.2805964092580504E-4</v>
      </c>
      <c r="BB11" s="100">
        <v>2.5883622291400098E-4</v>
      </c>
      <c r="BC11" s="100">
        <v>1.5918565332052599E-4</v>
      </c>
      <c r="BD11" s="100">
        <v>4.22777191658307E-4</v>
      </c>
      <c r="BE11" s="100">
        <v>9.3620465853055197E-4</v>
      </c>
      <c r="BF11" s="100">
        <v>5.9910037293191601E-4</v>
      </c>
      <c r="BG11" s="100">
        <v>2.02252032004584E-3</v>
      </c>
      <c r="BH11" s="100">
        <v>8.87369460861399E-4</v>
      </c>
      <c r="BI11" s="100">
        <v>5.5487230697063704E-4</v>
      </c>
      <c r="BJ11" s="100">
        <v>7.58313021202105E-4</v>
      </c>
      <c r="BK11" s="100">
        <v>3.4271064582652998E-4</v>
      </c>
      <c r="BL11" s="100">
        <v>4.9942089709023596E-4</v>
      </c>
      <c r="BM11" s="100">
        <v>1.0737622504986199E-3</v>
      </c>
      <c r="BN11" s="100">
        <v>6.6275861609729802E-4</v>
      </c>
      <c r="BO11" s="100">
        <v>1.01645318453937E-3</v>
      </c>
      <c r="BP11" s="100">
        <v>9.1003160357665898E-4</v>
      </c>
      <c r="BQ11" s="101">
        <v>0</v>
      </c>
    </row>
    <row r="12" spans="1:69" ht="15" customHeight="1" x14ac:dyDescent="0.3">
      <c r="A12" s="19" t="s">
        <v>30</v>
      </c>
      <c r="B12" s="11" t="s">
        <v>98</v>
      </c>
      <c r="C12" s="99">
        <v>2.1080649773485199E-4</v>
      </c>
      <c r="D12" s="100">
        <v>2.4280071686778499E-4</v>
      </c>
      <c r="E12" s="100">
        <v>1.03249709901046E-4</v>
      </c>
      <c r="F12" s="100">
        <v>4.3675013898541402E-4</v>
      </c>
      <c r="G12" s="100">
        <v>1.2753541352025399E-3</v>
      </c>
      <c r="H12" s="100">
        <v>5.0177954134054601E-4</v>
      </c>
      <c r="I12" s="100">
        <v>1.03858596417442</v>
      </c>
      <c r="J12" s="100">
        <v>4.36533949726428E-4</v>
      </c>
      <c r="K12" s="100">
        <v>2.50179550651354E-4</v>
      </c>
      <c r="L12" s="100">
        <v>4.2239432764362001E-4</v>
      </c>
      <c r="M12" s="100">
        <v>8.5770852804682805E-4</v>
      </c>
      <c r="N12" s="100">
        <v>2.2579342765417001E-4</v>
      </c>
      <c r="O12" s="100">
        <v>2.2856313413173801E-4</v>
      </c>
      <c r="P12" s="100">
        <v>1.93786170795501E-4</v>
      </c>
      <c r="Q12" s="100">
        <v>2.2237966744457401E-4</v>
      </c>
      <c r="R12" s="100">
        <v>3.6904520305001102E-4</v>
      </c>
      <c r="S12" s="100">
        <v>6.8750039835178901E-4</v>
      </c>
      <c r="T12" s="100">
        <v>1.41674869589826E-3</v>
      </c>
      <c r="U12" s="100">
        <v>5.0629939785177397E-4</v>
      </c>
      <c r="V12" s="100">
        <v>2.6549860394347501E-4</v>
      </c>
      <c r="W12" s="100">
        <v>5.9517378043518799E-4</v>
      </c>
      <c r="X12" s="100">
        <v>5.9454744322613099E-4</v>
      </c>
      <c r="Y12" s="100">
        <v>5.3562999413370995E-4</v>
      </c>
      <c r="Z12" s="100">
        <v>1.795063460919E-4</v>
      </c>
      <c r="AA12" s="100">
        <v>5.4737278551967195E-4</v>
      </c>
      <c r="AB12" s="100">
        <v>1.24875753729681E-3</v>
      </c>
      <c r="AC12" s="100">
        <v>1.3150210613076601E-2</v>
      </c>
      <c r="AD12" s="100">
        <v>6.2094047936192401E-2</v>
      </c>
      <c r="AE12" s="100">
        <v>5.3422869869450404E-3</v>
      </c>
      <c r="AF12" s="100">
        <v>4.1388216242460102E-4</v>
      </c>
      <c r="AG12" s="100">
        <v>6.47515831245387E-3</v>
      </c>
      <c r="AH12" s="100">
        <v>2.9659511569824402E-3</v>
      </c>
      <c r="AI12" s="100">
        <v>2.5910468698376E-3</v>
      </c>
      <c r="AJ12" s="100">
        <v>5.3793274856579303E-3</v>
      </c>
      <c r="AK12" s="100">
        <v>2.40317202179625E-3</v>
      </c>
      <c r="AL12" s="100">
        <v>2.5742109750057302E-3</v>
      </c>
      <c r="AM12" s="100">
        <v>2.1845868114381199E-3</v>
      </c>
      <c r="AN12" s="100">
        <v>3.7301491392320802E-4</v>
      </c>
      <c r="AO12" s="100">
        <v>4.4454011257636999E-4</v>
      </c>
      <c r="AP12" s="100">
        <v>1.41022778171263E-3</v>
      </c>
      <c r="AQ12" s="100">
        <v>2.86987289727812E-4</v>
      </c>
      <c r="AR12" s="100">
        <v>4.2310892635777201E-4</v>
      </c>
      <c r="AS12" s="100">
        <v>2.17437870602644E-4</v>
      </c>
      <c r="AT12" s="100">
        <v>1.8893359788465901E-4</v>
      </c>
      <c r="AU12" s="100">
        <v>1.7958413634244801E-4</v>
      </c>
      <c r="AV12" s="100">
        <v>2.14520625873661E-4</v>
      </c>
      <c r="AW12" s="100">
        <v>2.6398415512747498E-4</v>
      </c>
      <c r="AX12" s="100">
        <v>2.4148560123794999E-4</v>
      </c>
      <c r="AY12" s="100">
        <v>1.40629765039524E-4</v>
      </c>
      <c r="AZ12" s="100">
        <v>1.7219125342094599E-4</v>
      </c>
      <c r="BA12" s="100">
        <v>9.4592726254125E-5</v>
      </c>
      <c r="BB12" s="100">
        <v>5.05600195750649E-5</v>
      </c>
      <c r="BC12" s="100">
        <v>2.96881873709485E-5</v>
      </c>
      <c r="BD12" s="100">
        <v>9.4325363462828494E-5</v>
      </c>
      <c r="BE12" s="100">
        <v>1.4485881016332601E-4</v>
      </c>
      <c r="BF12" s="100">
        <v>1.4610849642325999E-4</v>
      </c>
      <c r="BG12" s="100">
        <v>2.3427842591703399E-4</v>
      </c>
      <c r="BH12" s="100">
        <v>1.5228923714804499E-4</v>
      </c>
      <c r="BI12" s="100">
        <v>8.1523824610389695E-5</v>
      </c>
      <c r="BJ12" s="100">
        <v>9.8778468179101006E-5</v>
      </c>
      <c r="BK12" s="100">
        <v>5.61996992298689E-5</v>
      </c>
      <c r="BL12" s="100">
        <v>1.0616646108095099E-4</v>
      </c>
      <c r="BM12" s="100">
        <v>1.7664525085924599E-4</v>
      </c>
      <c r="BN12" s="100">
        <v>1.6725446855737E-4</v>
      </c>
      <c r="BO12" s="100">
        <v>2.4440191340033198E-4</v>
      </c>
      <c r="BP12" s="100">
        <v>1.8595386088999001E-4</v>
      </c>
      <c r="BQ12" s="101">
        <v>0</v>
      </c>
    </row>
    <row r="13" spans="1:69" ht="15" customHeight="1" x14ac:dyDescent="0.3">
      <c r="A13" s="19" t="s">
        <v>31</v>
      </c>
      <c r="B13" s="11" t="s">
        <v>99</v>
      </c>
      <c r="C13" s="99">
        <v>9.3499467736636805E-4</v>
      </c>
      <c r="D13" s="100">
        <v>1.7892619972652499E-2</v>
      </c>
      <c r="E13" s="100">
        <v>1.7419254572152299E-3</v>
      </c>
      <c r="F13" s="100">
        <v>1.5651694078240401E-3</v>
      </c>
      <c r="G13" s="100">
        <v>6.5890472136848196E-4</v>
      </c>
      <c r="H13" s="100">
        <v>6.5719949729794395E-4</v>
      </c>
      <c r="I13" s="100">
        <v>8.4869076408576605E-4</v>
      </c>
      <c r="J13" s="100">
        <v>1.11916063696033</v>
      </c>
      <c r="K13" s="100">
        <v>1.07168346013581E-3</v>
      </c>
      <c r="L13" s="100">
        <v>1.4447358763711501E-2</v>
      </c>
      <c r="M13" s="100">
        <v>2.57280215076559E-3</v>
      </c>
      <c r="N13" s="100">
        <v>1.4950841555463001E-3</v>
      </c>
      <c r="O13" s="100">
        <v>1.1711611110153499E-3</v>
      </c>
      <c r="P13" s="100">
        <v>9.9148064704431492E-4</v>
      </c>
      <c r="Q13" s="100">
        <v>5.82041936291098E-2</v>
      </c>
      <c r="R13" s="100">
        <v>1.33593613805258E-3</v>
      </c>
      <c r="S13" s="100">
        <v>1.6077161212324201E-3</v>
      </c>
      <c r="T13" s="100">
        <v>1.17378742616181E-3</v>
      </c>
      <c r="U13" s="100">
        <v>2.2776301017109501E-3</v>
      </c>
      <c r="V13" s="100">
        <v>2.00626774871581E-2</v>
      </c>
      <c r="W13" s="100">
        <v>1.4412590340618201E-3</v>
      </c>
      <c r="X13" s="100">
        <v>2.53676540169603E-3</v>
      </c>
      <c r="Y13" s="100">
        <v>7.4355608543712301E-2</v>
      </c>
      <c r="Z13" s="100">
        <v>1.5953391793633201E-3</v>
      </c>
      <c r="AA13" s="100">
        <v>1.2607030228018101E-3</v>
      </c>
      <c r="AB13" s="100">
        <v>1.0902472908061801E-3</v>
      </c>
      <c r="AC13" s="100">
        <v>8.0125578388874695E-4</v>
      </c>
      <c r="AD13" s="100">
        <v>1.02517873378255E-3</v>
      </c>
      <c r="AE13" s="100">
        <v>1.9841244203147898E-3</v>
      </c>
      <c r="AF13" s="100">
        <v>6.2975224630472696E-4</v>
      </c>
      <c r="AG13" s="100">
        <v>1.04225679160671E-3</v>
      </c>
      <c r="AH13" s="100">
        <v>1.0892031464234001E-3</v>
      </c>
      <c r="AI13" s="100">
        <v>1.2169317178971899E-3</v>
      </c>
      <c r="AJ13" s="100">
        <v>9.5710092357355098E-4</v>
      </c>
      <c r="AK13" s="100">
        <v>6.7050170405081797E-4</v>
      </c>
      <c r="AL13" s="100">
        <v>9.9619148355882103E-4</v>
      </c>
      <c r="AM13" s="100">
        <v>8.7724985965866498E-4</v>
      </c>
      <c r="AN13" s="100">
        <v>5.4546019859882597E-4</v>
      </c>
      <c r="AO13" s="100">
        <v>5.7412215167400998E-4</v>
      </c>
      <c r="AP13" s="100">
        <v>8.8206753509002995E-4</v>
      </c>
      <c r="AQ13" s="100">
        <v>1.35861835359606E-3</v>
      </c>
      <c r="AR13" s="100">
        <v>1.1213747219844001E-3</v>
      </c>
      <c r="AS13" s="100">
        <v>6.7320973584545296E-4</v>
      </c>
      <c r="AT13" s="100">
        <v>3.0018912762180701E-3</v>
      </c>
      <c r="AU13" s="100">
        <v>7.1724981775109795E-4</v>
      </c>
      <c r="AV13" s="100">
        <v>2.9524721694416299E-2</v>
      </c>
      <c r="AW13" s="100">
        <v>0.107426128294471</v>
      </c>
      <c r="AX13" s="100">
        <v>9.3412288715934795E-4</v>
      </c>
      <c r="AY13" s="100">
        <v>3.1671221292710401E-3</v>
      </c>
      <c r="AZ13" s="100">
        <v>9.4753964018531303E-4</v>
      </c>
      <c r="BA13" s="100">
        <v>5.6284848030541601E-4</v>
      </c>
      <c r="BB13" s="100">
        <v>8.9875895112659203E-4</v>
      </c>
      <c r="BC13" s="100">
        <v>9.4938011433296101E-5</v>
      </c>
      <c r="BD13" s="100">
        <v>1.1951910010782601E-3</v>
      </c>
      <c r="BE13" s="100">
        <v>8.5063116452206396E-4</v>
      </c>
      <c r="BF13" s="100">
        <v>1.71510433143696E-3</v>
      </c>
      <c r="BG13" s="100">
        <v>7.1499320000727098E-4</v>
      </c>
      <c r="BH13" s="100">
        <v>1.5142426290198001E-3</v>
      </c>
      <c r="BI13" s="100">
        <v>4.8208714908033198E-4</v>
      </c>
      <c r="BJ13" s="100">
        <v>6.2105812954505197E-3</v>
      </c>
      <c r="BK13" s="100">
        <v>6.3743017696126199E-3</v>
      </c>
      <c r="BL13" s="100">
        <v>3.79950109171193E-3</v>
      </c>
      <c r="BM13" s="100">
        <v>1.42071884280809E-2</v>
      </c>
      <c r="BN13" s="100">
        <v>5.9355648027177403E-3</v>
      </c>
      <c r="BO13" s="100">
        <v>1.44774174968698E-3</v>
      </c>
      <c r="BP13" s="100">
        <v>1.04971817149823E-2</v>
      </c>
      <c r="BQ13" s="101">
        <v>0</v>
      </c>
    </row>
    <row r="14" spans="1:69" ht="15" customHeight="1" x14ac:dyDescent="0.3">
      <c r="A14" s="19" t="s">
        <v>32</v>
      </c>
      <c r="B14" s="11" t="s">
        <v>100</v>
      </c>
      <c r="C14" s="99">
        <v>2.59006038127064E-3</v>
      </c>
      <c r="D14" s="100">
        <v>4.0400972291073896E-3</v>
      </c>
      <c r="E14" s="100">
        <v>1.9222400414512801E-3</v>
      </c>
      <c r="F14" s="100">
        <v>4.6865198676677199E-3</v>
      </c>
      <c r="G14" s="100">
        <v>2.5157102713699001E-3</v>
      </c>
      <c r="H14" s="100">
        <v>2.8412412516418701E-3</v>
      </c>
      <c r="I14" s="100">
        <v>3.6856374875044E-3</v>
      </c>
      <c r="J14" s="100">
        <v>6.1453183797518501E-3</v>
      </c>
      <c r="K14" s="100">
        <v>1.0284123166054699</v>
      </c>
      <c r="L14" s="100">
        <v>1.50950375987255E-2</v>
      </c>
      <c r="M14" s="100">
        <v>1.6083387403653001E-2</v>
      </c>
      <c r="N14" s="100">
        <v>2.1284011756779902E-3</v>
      </c>
      <c r="O14" s="100">
        <v>1.91285068369907E-3</v>
      </c>
      <c r="P14" s="100">
        <v>1.29324770682353E-3</v>
      </c>
      <c r="Q14" s="100">
        <v>1.8969057414675401E-3</v>
      </c>
      <c r="R14" s="100">
        <v>3.4931753001182101E-3</v>
      </c>
      <c r="S14" s="100">
        <v>3.3929113035695898E-3</v>
      </c>
      <c r="T14" s="100">
        <v>1.6915603960623599E-3</v>
      </c>
      <c r="U14" s="100">
        <v>3.7025726158348302E-2</v>
      </c>
      <c r="V14" s="100">
        <v>2.5228656037705299E-2</v>
      </c>
      <c r="W14" s="100">
        <v>4.3695828809834298E-3</v>
      </c>
      <c r="X14" s="100">
        <v>8.7550925547657203E-3</v>
      </c>
      <c r="Y14" s="100">
        <v>1.9478433791415999E-2</v>
      </c>
      <c r="Z14" s="100">
        <v>6.5894176548211498E-3</v>
      </c>
      <c r="AA14" s="100">
        <v>2.64147720489566E-3</v>
      </c>
      <c r="AB14" s="100">
        <v>3.4390693355192902E-3</v>
      </c>
      <c r="AC14" s="100">
        <v>2.28586276552938E-3</v>
      </c>
      <c r="AD14" s="100">
        <v>2.7660344736565598E-3</v>
      </c>
      <c r="AE14" s="100">
        <v>1.9907090264721498E-3</v>
      </c>
      <c r="AF14" s="100">
        <v>8.3864543203610704E-4</v>
      </c>
      <c r="AG14" s="100">
        <v>1.7844286839378499E-3</v>
      </c>
      <c r="AH14" s="100">
        <v>1.74476566483177E-3</v>
      </c>
      <c r="AI14" s="100">
        <v>1.7589028844847E-3</v>
      </c>
      <c r="AJ14" s="100">
        <v>1.65440767655999E-3</v>
      </c>
      <c r="AK14" s="100">
        <v>1.0753690682279899E-3</v>
      </c>
      <c r="AL14" s="100">
        <v>1.67466728569164E-3</v>
      </c>
      <c r="AM14" s="100">
        <v>1.40664894203501E-3</v>
      </c>
      <c r="AN14" s="100">
        <v>1.61899003218781E-3</v>
      </c>
      <c r="AO14" s="100">
        <v>1.7947155557094701E-3</v>
      </c>
      <c r="AP14" s="100">
        <v>2.2318457020847199E-3</v>
      </c>
      <c r="AQ14" s="100">
        <v>2.1392600940230398E-3</v>
      </c>
      <c r="AR14" s="100">
        <v>1.08221070744213E-2</v>
      </c>
      <c r="AS14" s="100">
        <v>4.6979825087517099E-3</v>
      </c>
      <c r="AT14" s="100">
        <v>8.0827412432040394E-3</v>
      </c>
      <c r="AU14" s="100">
        <v>2.07114605228686E-3</v>
      </c>
      <c r="AV14" s="100">
        <v>2.1972966782523198E-3</v>
      </c>
      <c r="AW14" s="100">
        <v>7.6503011764231096E-3</v>
      </c>
      <c r="AX14" s="100">
        <v>1.43555552072809E-3</v>
      </c>
      <c r="AY14" s="100">
        <v>1.32275650581419E-3</v>
      </c>
      <c r="AZ14" s="100">
        <v>8.3802221025385296E-4</v>
      </c>
      <c r="BA14" s="100">
        <v>6.4697540688853897E-4</v>
      </c>
      <c r="BB14" s="100">
        <v>5.2064089611838604E-4</v>
      </c>
      <c r="BC14" s="100">
        <v>1.2861977928773399E-4</v>
      </c>
      <c r="BD14" s="100">
        <v>8.7413277282544504E-4</v>
      </c>
      <c r="BE14" s="100">
        <v>2.34914585359885E-3</v>
      </c>
      <c r="BF14" s="100">
        <v>1.19156754955372E-3</v>
      </c>
      <c r="BG14" s="100">
        <v>2.4996462980385E-3</v>
      </c>
      <c r="BH14" s="100">
        <v>1.1552005984538699E-3</v>
      </c>
      <c r="BI14" s="100">
        <v>1.8892836461185899E-3</v>
      </c>
      <c r="BJ14" s="100">
        <v>1.1254842598494299E-3</v>
      </c>
      <c r="BK14" s="100">
        <v>7.4686518247204397E-4</v>
      </c>
      <c r="BL14" s="100">
        <v>8.0981128029611403E-4</v>
      </c>
      <c r="BM14" s="100">
        <v>1.7526102098946201E-3</v>
      </c>
      <c r="BN14" s="100">
        <v>1.0479534213761201E-3</v>
      </c>
      <c r="BO14" s="100">
        <v>1.48879791068127E-3</v>
      </c>
      <c r="BP14" s="100">
        <v>2.3976246334533502E-3</v>
      </c>
      <c r="BQ14" s="101">
        <v>0</v>
      </c>
    </row>
    <row r="15" spans="1:69" ht="15" customHeight="1" x14ac:dyDescent="0.3">
      <c r="A15" s="19" t="s">
        <v>33</v>
      </c>
      <c r="B15" s="11" t="s">
        <v>101</v>
      </c>
      <c r="C15" s="99">
        <v>9.5501090076868904E-3</v>
      </c>
      <c r="D15" s="100">
        <v>0.113845895705704</v>
      </c>
      <c r="E15" s="100">
        <v>4.2317002004352497E-2</v>
      </c>
      <c r="F15" s="100">
        <v>1.41795824799736E-2</v>
      </c>
      <c r="G15" s="100">
        <v>3.0419490320024401E-3</v>
      </c>
      <c r="H15" s="100">
        <v>3.3788632490820798E-3</v>
      </c>
      <c r="I15" s="100">
        <v>4.50698251529925E-3</v>
      </c>
      <c r="J15" s="100">
        <v>0.17150282510312401</v>
      </c>
      <c r="K15" s="100">
        <v>8.1867400380706903E-3</v>
      </c>
      <c r="L15" s="100">
        <v>1.1272322559800301</v>
      </c>
      <c r="M15" s="100">
        <v>4.8794696264403602E-2</v>
      </c>
      <c r="N15" s="100">
        <v>9.7055072454702296E-3</v>
      </c>
      <c r="O15" s="100">
        <v>6.3392619673181697E-3</v>
      </c>
      <c r="P15" s="100">
        <v>4.6974719039752401E-3</v>
      </c>
      <c r="Q15" s="100">
        <v>1.35995540034686E-2</v>
      </c>
      <c r="R15" s="100">
        <v>1.00720964730365E-2</v>
      </c>
      <c r="S15" s="100">
        <v>1.9720522145224899E-2</v>
      </c>
      <c r="T15" s="100">
        <v>6.10326483553565E-3</v>
      </c>
      <c r="U15" s="100">
        <v>2.47321872533443E-2</v>
      </c>
      <c r="V15" s="100">
        <v>0.116966174465675</v>
      </c>
      <c r="W15" s="100">
        <v>8.08345379936189E-3</v>
      </c>
      <c r="X15" s="100">
        <v>1.8795917470829301E-2</v>
      </c>
      <c r="Y15" s="100">
        <v>4.9765666160428899E-2</v>
      </c>
      <c r="Z15" s="100">
        <v>7.8632683211884505E-3</v>
      </c>
      <c r="AA15" s="100">
        <v>6.4600643855269096E-3</v>
      </c>
      <c r="AB15" s="100">
        <v>6.4701694385018802E-3</v>
      </c>
      <c r="AC15" s="100">
        <v>4.0809936704701002E-3</v>
      </c>
      <c r="AD15" s="100">
        <v>4.5571679944584496E-3</v>
      </c>
      <c r="AE15" s="100">
        <v>5.2234328720122203E-3</v>
      </c>
      <c r="AF15" s="100">
        <v>2.4020221759872601E-3</v>
      </c>
      <c r="AG15" s="100">
        <v>4.4542020646945396E-3</v>
      </c>
      <c r="AH15" s="100">
        <v>4.2399319759888303E-3</v>
      </c>
      <c r="AI15" s="100">
        <v>4.4589055665286703E-3</v>
      </c>
      <c r="AJ15" s="100">
        <v>4.2331523926162004E-3</v>
      </c>
      <c r="AK15" s="100">
        <v>2.6899937886695501E-3</v>
      </c>
      <c r="AL15" s="100">
        <v>4.8927700978220797E-3</v>
      </c>
      <c r="AM15" s="100">
        <v>3.4617556552740299E-3</v>
      </c>
      <c r="AN15" s="100">
        <v>1.93647939821744E-3</v>
      </c>
      <c r="AO15" s="100">
        <v>2.7503328752969498E-3</v>
      </c>
      <c r="AP15" s="100">
        <v>4.40744901756505E-3</v>
      </c>
      <c r="AQ15" s="100">
        <v>6.9726868092704402E-3</v>
      </c>
      <c r="AR15" s="100">
        <v>8.5083992701279407E-3</v>
      </c>
      <c r="AS15" s="100">
        <v>3.9893801157770198E-3</v>
      </c>
      <c r="AT15" s="100">
        <v>8.6545427643731094E-3</v>
      </c>
      <c r="AU15" s="100">
        <v>2.5860595811594699E-3</v>
      </c>
      <c r="AV15" s="100">
        <v>2.18206205979928E-2</v>
      </c>
      <c r="AW15" s="100">
        <v>8.5991333614115997E-2</v>
      </c>
      <c r="AX15" s="100">
        <v>3.6880851547343202E-3</v>
      </c>
      <c r="AY15" s="100">
        <v>4.0777737390767996E-3</v>
      </c>
      <c r="AZ15" s="100">
        <v>2.1154193217484399E-3</v>
      </c>
      <c r="BA15" s="100">
        <v>1.3456926584737899E-3</v>
      </c>
      <c r="BB15" s="100">
        <v>1.57007727665404E-3</v>
      </c>
      <c r="BC15" s="100">
        <v>3.0627068626981602E-4</v>
      </c>
      <c r="BD15" s="100">
        <v>2.0249616708828098E-3</v>
      </c>
      <c r="BE15" s="100">
        <v>2.8676978100748499E-3</v>
      </c>
      <c r="BF15" s="100">
        <v>3.6863522635545301E-3</v>
      </c>
      <c r="BG15" s="100">
        <v>2.8707998097253001E-3</v>
      </c>
      <c r="BH15" s="100">
        <v>2.4836971638663098E-3</v>
      </c>
      <c r="BI15" s="100">
        <v>1.7902778288165699E-3</v>
      </c>
      <c r="BJ15" s="100">
        <v>5.6473597606146201E-3</v>
      </c>
      <c r="BK15" s="100">
        <v>6.5977260452109998E-3</v>
      </c>
      <c r="BL15" s="100">
        <v>3.7383532911828502E-3</v>
      </c>
      <c r="BM15" s="100">
        <v>1.90353098114803E-2</v>
      </c>
      <c r="BN15" s="100">
        <v>6.38633299331597E-3</v>
      </c>
      <c r="BO15" s="100">
        <v>3.8227017636109999E-3</v>
      </c>
      <c r="BP15" s="100">
        <v>1.52252140510825E-2</v>
      </c>
      <c r="BQ15" s="101">
        <v>0</v>
      </c>
    </row>
    <row r="16" spans="1:69" ht="15" customHeight="1" x14ac:dyDescent="0.3">
      <c r="A16" s="19" t="s">
        <v>34</v>
      </c>
      <c r="B16" s="11" t="s">
        <v>102</v>
      </c>
      <c r="C16" s="99">
        <v>3.4931883789306401E-4</v>
      </c>
      <c r="D16" s="100">
        <v>4.8348028734081499E-4</v>
      </c>
      <c r="E16" s="100">
        <v>2.0349377916538099E-4</v>
      </c>
      <c r="F16" s="100">
        <v>1.16801372652472E-3</v>
      </c>
      <c r="G16" s="100">
        <v>4.6799483457333297E-4</v>
      </c>
      <c r="H16" s="100">
        <v>4.21102786693942E-4</v>
      </c>
      <c r="I16" s="100">
        <v>5.7914958202931401E-4</v>
      </c>
      <c r="J16" s="100">
        <v>2.1917368388558E-3</v>
      </c>
      <c r="K16" s="100">
        <v>4.7163030912145999E-4</v>
      </c>
      <c r="L16" s="100">
        <v>9.2785678676527697E-4</v>
      </c>
      <c r="M16" s="100">
        <v>1.11440659151293</v>
      </c>
      <c r="N16" s="100">
        <v>6.9441313930173199E-4</v>
      </c>
      <c r="O16" s="100">
        <v>6.2788171507543002E-4</v>
      </c>
      <c r="P16" s="100">
        <v>6.2880523789682504E-4</v>
      </c>
      <c r="Q16" s="100">
        <v>7.4006987315712103E-4</v>
      </c>
      <c r="R16" s="100">
        <v>7.4991489962290695E-4</v>
      </c>
      <c r="S16" s="100">
        <v>7.7033020121268297E-4</v>
      </c>
      <c r="T16" s="100">
        <v>8.2896856680380498E-4</v>
      </c>
      <c r="U16" s="100">
        <v>4.4369846396635998E-4</v>
      </c>
      <c r="V16" s="100">
        <v>6.0557822568975503E-4</v>
      </c>
      <c r="W16" s="100">
        <v>5.5690599560482895E-4</v>
      </c>
      <c r="X16" s="100">
        <v>1.0514899508087901E-3</v>
      </c>
      <c r="Y16" s="100">
        <v>1.0582334164594899E-3</v>
      </c>
      <c r="Z16" s="100">
        <v>1.0472552945517701E-3</v>
      </c>
      <c r="AA16" s="100">
        <v>7.0612025689680002E-4</v>
      </c>
      <c r="AB16" s="100">
        <v>6.8281134730683495E-4</v>
      </c>
      <c r="AC16" s="100">
        <v>5.8478759603773699E-4</v>
      </c>
      <c r="AD16" s="100">
        <v>7.1255059497496605E-4</v>
      </c>
      <c r="AE16" s="100">
        <v>8.7897318293105097E-4</v>
      </c>
      <c r="AF16" s="100">
        <v>5.02130740817162E-4</v>
      </c>
      <c r="AG16" s="100">
        <v>8.1572682933426198E-4</v>
      </c>
      <c r="AH16" s="100">
        <v>9.9197762366230106E-4</v>
      </c>
      <c r="AI16" s="100">
        <v>9.9494656868660109E-4</v>
      </c>
      <c r="AJ16" s="100">
        <v>7.2554847329906001E-4</v>
      </c>
      <c r="AK16" s="100">
        <v>5.6796735411520196E-4</v>
      </c>
      <c r="AL16" s="100">
        <v>6.8043030572914099E-4</v>
      </c>
      <c r="AM16" s="100">
        <v>8.2444300174439001E-4</v>
      </c>
      <c r="AN16" s="100">
        <v>4.12120641062417E-4</v>
      </c>
      <c r="AO16" s="100">
        <v>3.75319591671056E-4</v>
      </c>
      <c r="AP16" s="100">
        <v>6.4757735593807403E-4</v>
      </c>
      <c r="AQ16" s="100">
        <v>7.0201413192972999E-4</v>
      </c>
      <c r="AR16" s="100">
        <v>4.9342055095272295E-4</v>
      </c>
      <c r="AS16" s="100">
        <v>3.75755060274645E-4</v>
      </c>
      <c r="AT16" s="100">
        <v>2.7142833209960601E-3</v>
      </c>
      <c r="AU16" s="100">
        <v>5.5386993095127095E-4</v>
      </c>
      <c r="AV16" s="100">
        <v>2.11095823578933E-2</v>
      </c>
      <c r="AW16" s="100">
        <v>0.11169393244187099</v>
      </c>
      <c r="AX16" s="100">
        <v>6.9055041212047995E-4</v>
      </c>
      <c r="AY16" s="100">
        <v>3.01303371103501E-3</v>
      </c>
      <c r="AZ16" s="100">
        <v>7.6369620025771201E-4</v>
      </c>
      <c r="BA16" s="100">
        <v>4.70566974413611E-4</v>
      </c>
      <c r="BB16" s="100">
        <v>9.9933062656635098E-4</v>
      </c>
      <c r="BC16" s="100">
        <v>9.21264168368029E-5</v>
      </c>
      <c r="BD16" s="100">
        <v>1.10679734313649E-3</v>
      </c>
      <c r="BE16" s="100">
        <v>4.8133230358658199E-4</v>
      </c>
      <c r="BF16" s="100">
        <v>1.4251489477391699E-3</v>
      </c>
      <c r="BG16" s="100">
        <v>4.5633224175535298E-4</v>
      </c>
      <c r="BH16" s="100">
        <v>9.7163687156975995E-4</v>
      </c>
      <c r="BI16" s="100">
        <v>2.80375988340814E-4</v>
      </c>
      <c r="BJ16" s="100">
        <v>1.72904633474606E-3</v>
      </c>
      <c r="BK16" s="100">
        <v>1.02931350980785E-3</v>
      </c>
      <c r="BL16" s="100">
        <v>8.9884080625122402E-4</v>
      </c>
      <c r="BM16" s="100">
        <v>3.7364772242598301E-3</v>
      </c>
      <c r="BN16" s="100">
        <v>2.4513732610032999E-3</v>
      </c>
      <c r="BO16" s="100">
        <v>1.92030427295732E-3</v>
      </c>
      <c r="BP16" s="100">
        <v>8.0624072190940595E-3</v>
      </c>
      <c r="BQ16" s="101">
        <v>0</v>
      </c>
    </row>
    <row r="17" spans="1:69" ht="15" customHeight="1" x14ac:dyDescent="0.3">
      <c r="A17" s="19" t="s">
        <v>35</v>
      </c>
      <c r="B17" s="11" t="s">
        <v>103</v>
      </c>
      <c r="C17" s="99">
        <v>2.0445638974717099E-5</v>
      </c>
      <c r="D17" s="100">
        <v>1.6357937581811301E-5</v>
      </c>
      <c r="E17" s="100">
        <v>6.1353579552201301E-6</v>
      </c>
      <c r="F17" s="100">
        <v>9.4006385400167601E-6</v>
      </c>
      <c r="G17" s="100">
        <v>7.2499401886612298E-6</v>
      </c>
      <c r="H17" s="100">
        <v>1.19074046096529E-5</v>
      </c>
      <c r="I17" s="100">
        <v>1.16147852076358E-5</v>
      </c>
      <c r="J17" s="100">
        <v>2.5322676792242701E-5</v>
      </c>
      <c r="K17" s="100">
        <v>1.4796227484703801E-5</v>
      </c>
      <c r="L17" s="100">
        <v>2.4208001353860301E-5</v>
      </c>
      <c r="M17" s="100">
        <v>1.76006145386803E-5</v>
      </c>
      <c r="N17" s="100">
        <v>1.06629638529837</v>
      </c>
      <c r="O17" s="100">
        <v>2.1786571380815401E-5</v>
      </c>
      <c r="P17" s="100">
        <v>2.0107682811170001E-5</v>
      </c>
      <c r="Q17" s="100">
        <v>2.53007203184838E-5</v>
      </c>
      <c r="R17" s="100">
        <v>2.8880422022525E-5</v>
      </c>
      <c r="S17" s="100">
        <v>4.7057557926550399E-5</v>
      </c>
      <c r="T17" s="100">
        <v>3.8806366745912299E-5</v>
      </c>
      <c r="U17" s="100">
        <v>6.4380575677780702E-6</v>
      </c>
      <c r="V17" s="100">
        <v>1.6249873308583299E-5</v>
      </c>
      <c r="W17" s="100">
        <v>1.1801652289399501E-5</v>
      </c>
      <c r="X17" s="100">
        <v>1.49739964558505E-5</v>
      </c>
      <c r="Y17" s="100">
        <v>3.0800646671701197E-5</v>
      </c>
      <c r="Z17" s="100">
        <v>1.89224041574954E-5</v>
      </c>
      <c r="AA17" s="100">
        <v>2.1882774252383399E-5</v>
      </c>
      <c r="AB17" s="100">
        <v>2.21846914744289E-5</v>
      </c>
      <c r="AC17" s="100">
        <v>1.30467351968946E-5</v>
      </c>
      <c r="AD17" s="100">
        <v>1.8451668369885699E-5</v>
      </c>
      <c r="AE17" s="100">
        <v>1.87656917116412E-5</v>
      </c>
      <c r="AF17" s="100">
        <v>1.45287139180571E-5</v>
      </c>
      <c r="AG17" s="100">
        <v>2.25507021704501E-5</v>
      </c>
      <c r="AH17" s="100">
        <v>2.7100284640144901E-5</v>
      </c>
      <c r="AI17" s="100">
        <v>2.2041065042916699E-5</v>
      </c>
      <c r="AJ17" s="100">
        <v>2.08985591379764E-5</v>
      </c>
      <c r="AK17" s="100">
        <v>1.2559479690640301E-5</v>
      </c>
      <c r="AL17" s="100">
        <v>2.09246564855697E-5</v>
      </c>
      <c r="AM17" s="100">
        <v>2.0716000536006399E-5</v>
      </c>
      <c r="AN17" s="100">
        <v>4.7422419902271998E-6</v>
      </c>
      <c r="AO17" s="100">
        <v>6.7149389791764301E-6</v>
      </c>
      <c r="AP17" s="100">
        <v>1.36683429774414E-5</v>
      </c>
      <c r="AQ17" s="100">
        <v>8.6969280866134705E-6</v>
      </c>
      <c r="AR17" s="100">
        <v>1.0308093265096299E-5</v>
      </c>
      <c r="AS17" s="100">
        <v>6.50384867844836E-6</v>
      </c>
      <c r="AT17" s="100">
        <v>5.7983425189392997E-6</v>
      </c>
      <c r="AU17" s="100">
        <v>6.1290389059944896E-6</v>
      </c>
      <c r="AV17" s="100">
        <v>1.00789475373028E-5</v>
      </c>
      <c r="AW17" s="100">
        <v>1.63428640996025E-5</v>
      </c>
      <c r="AX17" s="100">
        <v>2.6498486178721599E-5</v>
      </c>
      <c r="AY17" s="100">
        <v>7.7501012076109398E-6</v>
      </c>
      <c r="AZ17" s="100">
        <v>6.6002734477605103E-6</v>
      </c>
      <c r="BA17" s="100">
        <v>6.0624095455208702E-6</v>
      </c>
      <c r="BB17" s="100">
        <v>3.0120618872563099E-6</v>
      </c>
      <c r="BC17" s="100">
        <v>8.1785327091254696E-7</v>
      </c>
      <c r="BD17" s="100">
        <v>5.0645908870173704E-6</v>
      </c>
      <c r="BE17" s="100">
        <v>2.4096115453664601E-5</v>
      </c>
      <c r="BF17" s="100">
        <v>1.1069053231595E-5</v>
      </c>
      <c r="BG17" s="100">
        <v>9.1225699783701202E-6</v>
      </c>
      <c r="BH17" s="100">
        <v>7.5042712997624301E-6</v>
      </c>
      <c r="BI17" s="100">
        <v>3.0596496641633698E-6</v>
      </c>
      <c r="BJ17" s="100">
        <v>3.1978940165203101E-6</v>
      </c>
      <c r="BK17" s="100">
        <v>3.4123931632735298E-6</v>
      </c>
      <c r="BL17" s="100">
        <v>5.58053297506476E-6</v>
      </c>
      <c r="BM17" s="100">
        <v>9.0109813337839296E-6</v>
      </c>
      <c r="BN17" s="100">
        <v>8.7800806548107303E-6</v>
      </c>
      <c r="BO17" s="100">
        <v>7.8080881955715892E-6</v>
      </c>
      <c r="BP17" s="100">
        <v>8.4620934890534599E-6</v>
      </c>
      <c r="BQ17" s="101">
        <v>0</v>
      </c>
    </row>
    <row r="18" spans="1:69" ht="15" customHeight="1" x14ac:dyDescent="0.3">
      <c r="A18" s="19" t="s">
        <v>36</v>
      </c>
      <c r="B18" s="11" t="s">
        <v>104</v>
      </c>
      <c r="C18" s="99">
        <v>2.4019022712228198E-3</v>
      </c>
      <c r="D18" s="100">
        <v>8.31350448491519E-4</v>
      </c>
      <c r="E18" s="100">
        <v>4.7676647133371999E-4</v>
      </c>
      <c r="F18" s="100">
        <v>1.1527465065284201E-2</v>
      </c>
      <c r="G18" s="100">
        <v>1.06432781856405E-3</v>
      </c>
      <c r="H18" s="100">
        <v>4.6866186791413199E-4</v>
      </c>
      <c r="I18" s="100">
        <v>8.8053371974268295E-4</v>
      </c>
      <c r="J18" s="100">
        <v>1.25323576896513E-3</v>
      </c>
      <c r="K18" s="100">
        <v>4.9450589244734297E-3</v>
      </c>
      <c r="L18" s="100">
        <v>2.54895756959918E-3</v>
      </c>
      <c r="M18" s="100">
        <v>1.63598565011901E-3</v>
      </c>
      <c r="N18" s="100">
        <v>1.6127533366020099E-3</v>
      </c>
      <c r="O18" s="100">
        <v>1.20281948752283</v>
      </c>
      <c r="P18" s="100">
        <v>0.29569534429456601</v>
      </c>
      <c r="Q18" s="100">
        <v>0.100884420560255</v>
      </c>
      <c r="R18" s="100">
        <v>1.1641155874316E-3</v>
      </c>
      <c r="S18" s="100">
        <v>2.8261074821401598E-3</v>
      </c>
      <c r="T18" s="100">
        <v>1.3705970427242799E-3</v>
      </c>
      <c r="U18" s="100">
        <v>7.7999782451206598E-4</v>
      </c>
      <c r="V18" s="100">
        <v>1.6072035936570499E-3</v>
      </c>
      <c r="W18" s="100">
        <v>7.4633389733925201E-4</v>
      </c>
      <c r="X18" s="100">
        <v>1.3838657733343E-3</v>
      </c>
      <c r="Y18" s="100">
        <v>1.51922628974934E-3</v>
      </c>
      <c r="Z18" s="100">
        <v>2.9979957019906898E-3</v>
      </c>
      <c r="AA18" s="100">
        <v>7.8746189888851108E-3</v>
      </c>
      <c r="AB18" s="100">
        <v>2.1285722663022498E-3</v>
      </c>
      <c r="AC18" s="100">
        <v>6.3666275510696499E-4</v>
      </c>
      <c r="AD18" s="100">
        <v>7.4261360988347796E-4</v>
      </c>
      <c r="AE18" s="100">
        <v>1.5199807652140601E-3</v>
      </c>
      <c r="AF18" s="100">
        <v>5.7850357899740705E-4</v>
      </c>
      <c r="AG18" s="100">
        <v>1.45740707278801E-3</v>
      </c>
      <c r="AH18" s="100">
        <v>1.04012775019593E-3</v>
      </c>
      <c r="AI18" s="100">
        <v>5.3567936842693602E-3</v>
      </c>
      <c r="AJ18" s="100">
        <v>1.7799691831948301E-2</v>
      </c>
      <c r="AK18" s="100">
        <v>3.0564096989062601E-3</v>
      </c>
      <c r="AL18" s="100">
        <v>2.23835407515682E-2</v>
      </c>
      <c r="AM18" s="100">
        <v>8.6882492012155905E-4</v>
      </c>
      <c r="AN18" s="100">
        <v>6.6868209756548703E-4</v>
      </c>
      <c r="AO18" s="100">
        <v>1.4798757657454101E-3</v>
      </c>
      <c r="AP18" s="100">
        <v>2.2812761569279199E-3</v>
      </c>
      <c r="AQ18" s="100">
        <v>1.0496679917583599E-3</v>
      </c>
      <c r="AR18" s="100">
        <v>1.6994120088329699E-3</v>
      </c>
      <c r="AS18" s="100">
        <v>1.6357371477905499E-3</v>
      </c>
      <c r="AT18" s="100">
        <v>2.2136026596927699E-3</v>
      </c>
      <c r="AU18" s="100">
        <v>9.1881057461420197E-4</v>
      </c>
      <c r="AV18" s="100">
        <v>1.40240408726487E-2</v>
      </c>
      <c r="AW18" s="100">
        <v>1.97912753209766E-3</v>
      </c>
      <c r="AX18" s="100">
        <v>6.9446274733351698E-4</v>
      </c>
      <c r="AY18" s="100">
        <v>2.2693110225194802E-3</v>
      </c>
      <c r="AZ18" s="100">
        <v>6.9263833592288703E-4</v>
      </c>
      <c r="BA18" s="100">
        <v>3.7245016930122601E-4</v>
      </c>
      <c r="BB18" s="100">
        <v>5.7037058908742397E-4</v>
      </c>
      <c r="BC18" s="100">
        <v>9.2556816840987604E-5</v>
      </c>
      <c r="BD18" s="100">
        <v>3.4709854820316998E-4</v>
      </c>
      <c r="BE18" s="100">
        <v>1.4567032592486199E-3</v>
      </c>
      <c r="BF18" s="100">
        <v>1.12880224504307E-3</v>
      </c>
      <c r="BG18" s="100">
        <v>6.3239748697844101E-4</v>
      </c>
      <c r="BH18" s="100">
        <v>6.6532819882888995E-4</v>
      </c>
      <c r="BI18" s="100">
        <v>2.3776895942683499E-3</v>
      </c>
      <c r="BJ18" s="100">
        <v>7.6692292618278505E-4</v>
      </c>
      <c r="BK18" s="100">
        <v>1.1316134445063201E-3</v>
      </c>
      <c r="BL18" s="100">
        <v>4.3666380042265503E-4</v>
      </c>
      <c r="BM18" s="100">
        <v>1.38686436059698E-3</v>
      </c>
      <c r="BN18" s="100">
        <v>1.5040209201098401E-3</v>
      </c>
      <c r="BO18" s="100">
        <v>1.89576833262328E-3</v>
      </c>
      <c r="BP18" s="100">
        <v>8.8005533593719393E-3</v>
      </c>
      <c r="BQ18" s="101">
        <v>0</v>
      </c>
    </row>
    <row r="19" spans="1:69" ht="15" customHeight="1" x14ac:dyDescent="0.3">
      <c r="A19" s="19" t="s">
        <v>37</v>
      </c>
      <c r="B19" s="11" t="s">
        <v>105</v>
      </c>
      <c r="C19" s="99">
        <v>2.3236111946867201E-4</v>
      </c>
      <c r="D19" s="100">
        <v>2.5747535112200198E-4</v>
      </c>
      <c r="E19" s="100">
        <v>5.5932434297525295E-4</v>
      </c>
      <c r="F19" s="100">
        <v>6.2315216458788203E-4</v>
      </c>
      <c r="G19" s="100">
        <v>7.9962044482132595E-4</v>
      </c>
      <c r="H19" s="100">
        <v>2.7794676296176901E-4</v>
      </c>
      <c r="I19" s="100">
        <v>3.5505728224610901E-4</v>
      </c>
      <c r="J19" s="100">
        <v>5.10120948134779E-4</v>
      </c>
      <c r="K19" s="100">
        <v>5.0811370655643698E-4</v>
      </c>
      <c r="L19" s="100">
        <v>4.9389029711992499E-4</v>
      </c>
      <c r="M19" s="100">
        <v>6.7198663627950701E-4</v>
      </c>
      <c r="N19" s="100">
        <v>5.23067882453528E-4</v>
      </c>
      <c r="O19" s="100">
        <v>2.4786725866813501E-3</v>
      </c>
      <c r="P19" s="100">
        <v>1.0438455732819301</v>
      </c>
      <c r="Q19" s="100">
        <v>3.53698486100376E-3</v>
      </c>
      <c r="R19" s="100">
        <v>4.6496908091017502E-4</v>
      </c>
      <c r="S19" s="100">
        <v>5.7522346812322598E-4</v>
      </c>
      <c r="T19" s="100">
        <v>3.86101715912504E-4</v>
      </c>
      <c r="U19" s="100">
        <v>4.0269159549165902E-4</v>
      </c>
      <c r="V19" s="100">
        <v>4.1019112551982101E-4</v>
      </c>
      <c r="W19" s="100">
        <v>3.2693077858546098E-4</v>
      </c>
      <c r="X19" s="100">
        <v>5.4172517123186295E-4</v>
      </c>
      <c r="Y19" s="100">
        <v>5.0152771229954203E-4</v>
      </c>
      <c r="Z19" s="100">
        <v>4.23036575247405E-4</v>
      </c>
      <c r="AA19" s="100">
        <v>4.39728248123771E-4</v>
      </c>
      <c r="AB19" s="100">
        <v>7.2869296634977003E-4</v>
      </c>
      <c r="AC19" s="100">
        <v>4.3070269722668799E-4</v>
      </c>
      <c r="AD19" s="100">
        <v>4.03210310639433E-4</v>
      </c>
      <c r="AE19" s="100">
        <v>9.7113354698585895E-4</v>
      </c>
      <c r="AF19" s="100">
        <v>2.9544889251491399E-4</v>
      </c>
      <c r="AG19" s="100">
        <v>4.35726596919522E-4</v>
      </c>
      <c r="AH19" s="100">
        <v>4.6860947784294798E-4</v>
      </c>
      <c r="AI19" s="100">
        <v>6.1434079284671103E-4</v>
      </c>
      <c r="AJ19" s="100">
        <v>8.89865630463163E-4</v>
      </c>
      <c r="AK19" s="100">
        <v>3.4405854749715298E-4</v>
      </c>
      <c r="AL19" s="100">
        <v>8.5019493784889595E-4</v>
      </c>
      <c r="AM19" s="100">
        <v>3.2286685078732101E-4</v>
      </c>
      <c r="AN19" s="100">
        <v>7.5067074211040399E-4</v>
      </c>
      <c r="AO19" s="100">
        <v>2.5869660681324801E-3</v>
      </c>
      <c r="AP19" s="100">
        <v>4.4144352424227201E-4</v>
      </c>
      <c r="AQ19" s="100">
        <v>7.7425781524431204E-4</v>
      </c>
      <c r="AR19" s="100">
        <v>1.1761000657175801E-3</v>
      </c>
      <c r="AS19" s="100">
        <v>9.5475619438931396E-4</v>
      </c>
      <c r="AT19" s="100">
        <v>5.6198074577485796E-3</v>
      </c>
      <c r="AU19" s="100">
        <v>1.7555501264688599E-3</v>
      </c>
      <c r="AV19" s="100">
        <v>5.0611980542375002E-3</v>
      </c>
      <c r="AW19" s="100">
        <v>1.41235297539363E-3</v>
      </c>
      <c r="AX19" s="100">
        <v>4.1928817840849899E-4</v>
      </c>
      <c r="AY19" s="100">
        <v>5.4845755310238197E-3</v>
      </c>
      <c r="AZ19" s="100">
        <v>9.99768666005202E-4</v>
      </c>
      <c r="BA19" s="100">
        <v>3.3235400460256202E-4</v>
      </c>
      <c r="BB19" s="100">
        <v>1.3884803069113001E-3</v>
      </c>
      <c r="BC19" s="100">
        <v>1.2576142380979499E-4</v>
      </c>
      <c r="BD19" s="100">
        <v>2.9966640614420499E-4</v>
      </c>
      <c r="BE19" s="100">
        <v>3.3870923629972199E-3</v>
      </c>
      <c r="BF19" s="100">
        <v>2.0227334270897898E-3</v>
      </c>
      <c r="BG19" s="100">
        <v>2.9903496611236101E-4</v>
      </c>
      <c r="BH19" s="100">
        <v>1.0297840454119799E-3</v>
      </c>
      <c r="BI19" s="100">
        <v>7.1866525517006096E-3</v>
      </c>
      <c r="BJ19" s="100">
        <v>1.56545787175906E-3</v>
      </c>
      <c r="BK19" s="100">
        <v>2.6703266574670801E-3</v>
      </c>
      <c r="BL19" s="100">
        <v>4.1413984485152999E-4</v>
      </c>
      <c r="BM19" s="100">
        <v>1.0341452723625301E-3</v>
      </c>
      <c r="BN19" s="100">
        <v>5.7205007710828704E-4</v>
      </c>
      <c r="BO19" s="100">
        <v>4.54337893083827E-3</v>
      </c>
      <c r="BP19" s="100">
        <v>8.2431463957896509E-3</v>
      </c>
      <c r="BQ19" s="101">
        <v>0</v>
      </c>
    </row>
    <row r="20" spans="1:69" ht="15" customHeight="1" x14ac:dyDescent="0.3">
      <c r="A20" s="19" t="s">
        <v>38</v>
      </c>
      <c r="B20" s="11" t="s">
        <v>106</v>
      </c>
      <c r="C20" s="99">
        <v>5.9454459495995801E-5</v>
      </c>
      <c r="D20" s="100">
        <v>1.0130854623796E-4</v>
      </c>
      <c r="E20" s="100">
        <v>3.6930909142665699E-5</v>
      </c>
      <c r="F20" s="100">
        <v>1.48636856963114E-4</v>
      </c>
      <c r="G20" s="100">
        <v>7.09153591817811E-5</v>
      </c>
      <c r="H20" s="100">
        <v>6.7218081311564001E-5</v>
      </c>
      <c r="I20" s="100">
        <v>7.2100360612550703E-5</v>
      </c>
      <c r="J20" s="100">
        <v>2.0194620032513299E-4</v>
      </c>
      <c r="K20" s="100">
        <v>8.2128969617252507E-5</v>
      </c>
      <c r="L20" s="100">
        <v>2.0139314482581799E-4</v>
      </c>
      <c r="M20" s="100">
        <v>2.2929628746867501E-4</v>
      </c>
      <c r="N20" s="100">
        <v>2.1600252415073201E-4</v>
      </c>
      <c r="O20" s="100">
        <v>2.5597290011435499E-4</v>
      </c>
      <c r="P20" s="100">
        <v>2.6809918680814301E-4</v>
      </c>
      <c r="Q20" s="100">
        <v>1.2057718823632799</v>
      </c>
      <c r="R20" s="100">
        <v>1.6411434539197401E-4</v>
      </c>
      <c r="S20" s="100">
        <v>7.8762695062953997E-4</v>
      </c>
      <c r="T20" s="100">
        <v>2.2642496924046501E-4</v>
      </c>
      <c r="U20" s="100">
        <v>5.0927676592138397E-5</v>
      </c>
      <c r="V20" s="100">
        <v>1.1644538063059401E-4</v>
      </c>
      <c r="W20" s="100">
        <v>9.5050794943102006E-5</v>
      </c>
      <c r="X20" s="100">
        <v>1.5315509307604999E-4</v>
      </c>
      <c r="Y20" s="100">
        <v>3.11378475321567E-4</v>
      </c>
      <c r="Z20" s="100">
        <v>1.11752036234711E-4</v>
      </c>
      <c r="AA20" s="100">
        <v>3.2327108924903598E-4</v>
      </c>
      <c r="AB20" s="100">
        <v>1.7076346946843501E-4</v>
      </c>
      <c r="AC20" s="100">
        <v>8.0072877406403204E-5</v>
      </c>
      <c r="AD20" s="100">
        <v>1.01377056513483E-4</v>
      </c>
      <c r="AE20" s="100">
        <v>4.6289493449489498E-4</v>
      </c>
      <c r="AF20" s="100">
        <v>7.8731776645384697E-5</v>
      </c>
      <c r="AG20" s="100">
        <v>1.53533479333877E-4</v>
      </c>
      <c r="AH20" s="100">
        <v>1.3396705811767799E-4</v>
      </c>
      <c r="AI20" s="100">
        <v>5.1488753393014305E-4</v>
      </c>
      <c r="AJ20" s="100">
        <v>3.9230041941221302E-4</v>
      </c>
      <c r="AK20" s="100">
        <v>1.1058482595071099E-4</v>
      </c>
      <c r="AL20" s="100">
        <v>6.1907175243737099E-4</v>
      </c>
      <c r="AM20" s="100">
        <v>1.12021532087425E-4</v>
      </c>
      <c r="AN20" s="100">
        <v>5.8641392616197495E-4</v>
      </c>
      <c r="AO20" s="100">
        <v>1.02082881484675E-4</v>
      </c>
      <c r="AP20" s="100">
        <v>1.80191703611426E-4</v>
      </c>
      <c r="AQ20" s="100">
        <v>9.9947563566625601E-5</v>
      </c>
      <c r="AR20" s="100">
        <v>1.3143808762165101E-4</v>
      </c>
      <c r="AS20" s="100">
        <v>5.3602684466456101E-5</v>
      </c>
      <c r="AT20" s="100">
        <v>9.5973079848562506E-5</v>
      </c>
      <c r="AU20" s="100">
        <v>9.3709143301377797E-5</v>
      </c>
      <c r="AV20" s="100">
        <v>1.9343352898782101E-4</v>
      </c>
      <c r="AW20" s="100">
        <v>2.0247038212501799E-4</v>
      </c>
      <c r="AX20" s="100">
        <v>1.3008814652147E-4</v>
      </c>
      <c r="AY20" s="100">
        <v>1.1653566317987201E-3</v>
      </c>
      <c r="AZ20" s="100">
        <v>9.4996587378939402E-5</v>
      </c>
      <c r="BA20" s="100">
        <v>5.9915597817752398E-5</v>
      </c>
      <c r="BB20" s="100">
        <v>4.4339915898692497E-5</v>
      </c>
      <c r="BC20" s="100">
        <v>7.9686306605322697E-6</v>
      </c>
      <c r="BD20" s="100">
        <v>4.4945186035132799E-5</v>
      </c>
      <c r="BE20" s="100">
        <v>1.41001500669097E-4</v>
      </c>
      <c r="BF20" s="100">
        <v>3.2819436299067698E-4</v>
      </c>
      <c r="BG20" s="100">
        <v>6.6186533500069202E-5</v>
      </c>
      <c r="BH20" s="100">
        <v>8.8106860460277194E-5</v>
      </c>
      <c r="BI20" s="100">
        <v>1.93866109422104E-3</v>
      </c>
      <c r="BJ20" s="100">
        <v>7.2494764137887203E-5</v>
      </c>
      <c r="BK20" s="100">
        <v>5.9930594409813102E-5</v>
      </c>
      <c r="BL20" s="100">
        <v>7.0732335048844896E-5</v>
      </c>
      <c r="BM20" s="100">
        <v>9.9640765211272996E-5</v>
      </c>
      <c r="BN20" s="100">
        <v>8.2736782096082804E-5</v>
      </c>
      <c r="BO20" s="100">
        <v>9.9428767617429606E-5</v>
      </c>
      <c r="BP20" s="100">
        <v>1.07842562313159E-4</v>
      </c>
      <c r="BQ20" s="101">
        <v>0</v>
      </c>
    </row>
    <row r="21" spans="1:69" ht="15" customHeight="1" x14ac:dyDescent="0.3">
      <c r="A21" s="19" t="s">
        <v>39</v>
      </c>
      <c r="B21" s="11" t="s">
        <v>107</v>
      </c>
      <c r="C21" s="99">
        <v>1.57987939953238E-3</v>
      </c>
      <c r="D21" s="100">
        <v>3.0295526500343302E-3</v>
      </c>
      <c r="E21" s="100">
        <v>1.07674783742108E-3</v>
      </c>
      <c r="F21" s="100">
        <v>8.4820661732446195E-4</v>
      </c>
      <c r="G21" s="100">
        <v>4.9007924474934702E-4</v>
      </c>
      <c r="H21" s="100">
        <v>7.5905941907840899E-4</v>
      </c>
      <c r="I21" s="100">
        <v>8.0647787582667203E-4</v>
      </c>
      <c r="J21" s="100">
        <v>2.2449689389265502E-3</v>
      </c>
      <c r="K21" s="100">
        <v>1.07676910345329E-3</v>
      </c>
      <c r="L21" s="100">
        <v>2.33793639195288E-3</v>
      </c>
      <c r="M21" s="100">
        <v>3.15169084086721E-3</v>
      </c>
      <c r="N21" s="100">
        <v>1.9553074111583199E-3</v>
      </c>
      <c r="O21" s="100">
        <v>1.68162471806203E-3</v>
      </c>
      <c r="P21" s="100">
        <v>2.4759783463810898E-3</v>
      </c>
      <c r="Q21" s="100">
        <v>1.4874715547029699E-3</v>
      </c>
      <c r="R21" s="100">
        <v>1.15523387384762</v>
      </c>
      <c r="S21" s="100">
        <v>1.0971511836624899E-2</v>
      </c>
      <c r="T21" s="100">
        <v>1.6202632587757799E-3</v>
      </c>
      <c r="U21" s="100">
        <v>4.5493022457707101E-4</v>
      </c>
      <c r="V21" s="100">
        <v>1.22700312927532E-3</v>
      </c>
      <c r="W21" s="100">
        <v>6.9225317119235802E-4</v>
      </c>
      <c r="X21" s="100">
        <v>1.3053560177206101E-3</v>
      </c>
      <c r="Y21" s="100">
        <v>1.5186334864503799E-3</v>
      </c>
      <c r="Z21" s="100">
        <v>7.6029167849198001E-4</v>
      </c>
      <c r="AA21" s="100">
        <v>1.09259464890276E-3</v>
      </c>
      <c r="AB21" s="100">
        <v>1.6193483741460801E-3</v>
      </c>
      <c r="AC21" s="100">
        <v>8.0948932791439002E-4</v>
      </c>
      <c r="AD21" s="100">
        <v>1.0609554012320601E-3</v>
      </c>
      <c r="AE21" s="100">
        <v>3.54829274199191E-3</v>
      </c>
      <c r="AF21" s="100">
        <v>6.9369746161244896E-4</v>
      </c>
      <c r="AG21" s="100">
        <v>1.1171897400376299E-3</v>
      </c>
      <c r="AH21" s="100">
        <v>3.6149659257437398E-3</v>
      </c>
      <c r="AI21" s="100">
        <v>2.7658372715221001E-3</v>
      </c>
      <c r="AJ21" s="100">
        <v>2.22457194999195E-3</v>
      </c>
      <c r="AK21" s="100">
        <v>3.9817258014192003E-3</v>
      </c>
      <c r="AL21" s="100">
        <v>9.5001148488380496E-2</v>
      </c>
      <c r="AM21" s="100">
        <v>1.16075209034802E-3</v>
      </c>
      <c r="AN21" s="100">
        <v>1.7859800245360799E-3</v>
      </c>
      <c r="AO21" s="100">
        <v>1.0487128823008301E-3</v>
      </c>
      <c r="AP21" s="100">
        <v>1.2111536928700199E-2</v>
      </c>
      <c r="AQ21" s="100">
        <v>3.0195089817561301E-3</v>
      </c>
      <c r="AR21" s="100">
        <v>5.9997578447186105E-4</v>
      </c>
      <c r="AS21" s="100">
        <v>8.5294104290207704E-4</v>
      </c>
      <c r="AT21" s="100">
        <v>5.5959170407461503E-4</v>
      </c>
      <c r="AU21" s="100">
        <v>1.44148399425143E-3</v>
      </c>
      <c r="AV21" s="100">
        <v>1.07466936468258E-3</v>
      </c>
      <c r="AW21" s="100">
        <v>1.24684859602382E-3</v>
      </c>
      <c r="AX21" s="100">
        <v>1.1500849505509899E-3</v>
      </c>
      <c r="AY21" s="100">
        <v>5.2548337402309802E-3</v>
      </c>
      <c r="AZ21" s="100">
        <v>9.5324081746758099E-4</v>
      </c>
      <c r="BA21" s="100">
        <v>4.8692906033206902E-4</v>
      </c>
      <c r="BB21" s="100">
        <v>3.2003104303227401E-4</v>
      </c>
      <c r="BC21" s="100">
        <v>7.0309663470353003E-4</v>
      </c>
      <c r="BD21" s="100">
        <v>4.9713310308628601E-4</v>
      </c>
      <c r="BE21" s="100">
        <v>9.2943932048545101E-4</v>
      </c>
      <c r="BF21" s="100">
        <v>1.9175940852646501E-3</v>
      </c>
      <c r="BG21" s="100">
        <v>1.03053255982389E-3</v>
      </c>
      <c r="BH21" s="100">
        <v>1.0907541982187799E-3</v>
      </c>
      <c r="BI21" s="100">
        <v>2.84960179396276E-4</v>
      </c>
      <c r="BJ21" s="100">
        <v>6.2654231547757495E-4</v>
      </c>
      <c r="BK21" s="100">
        <v>5.3607003734819705E-4</v>
      </c>
      <c r="BL21" s="100">
        <v>6.2117368031383005E-4</v>
      </c>
      <c r="BM21" s="100">
        <v>1.9630159159694598E-3</v>
      </c>
      <c r="BN21" s="100">
        <v>3.5934319472829602E-3</v>
      </c>
      <c r="BO21" s="100">
        <v>1.3243857299008301E-3</v>
      </c>
      <c r="BP21" s="100">
        <v>2.56623157131433E-3</v>
      </c>
      <c r="BQ21" s="101">
        <v>0</v>
      </c>
    </row>
    <row r="22" spans="1:69" ht="15" customHeight="1" x14ac:dyDescent="0.3">
      <c r="A22" s="19" t="s">
        <v>40</v>
      </c>
      <c r="B22" s="11" t="s">
        <v>108</v>
      </c>
      <c r="C22" s="99">
        <v>3.5201239523341699E-3</v>
      </c>
      <c r="D22" s="100">
        <v>6.21342364191053E-3</v>
      </c>
      <c r="E22" s="100">
        <v>2.6325648574443399E-3</v>
      </c>
      <c r="F22" s="100">
        <v>4.1571692440787499E-3</v>
      </c>
      <c r="G22" s="100">
        <v>2.5154964262473298E-3</v>
      </c>
      <c r="H22" s="100">
        <v>3.9807285793949697E-3</v>
      </c>
      <c r="I22" s="100">
        <v>4.4957247321542699E-3</v>
      </c>
      <c r="J22" s="100">
        <v>2.4092691134705399E-2</v>
      </c>
      <c r="K22" s="100">
        <v>4.3197926000002199E-3</v>
      </c>
      <c r="L22" s="100">
        <v>2.2853154925696902E-2</v>
      </c>
      <c r="M22" s="100">
        <v>1.3938788764594401E-2</v>
      </c>
      <c r="N22" s="100">
        <v>9.1872451520242898E-2</v>
      </c>
      <c r="O22" s="100">
        <v>2.1507067192820601E-2</v>
      </c>
      <c r="P22" s="100">
        <v>1.5027133907420401E-2</v>
      </c>
      <c r="Q22" s="100">
        <v>3.3169322978117199E-2</v>
      </c>
      <c r="R22" s="100">
        <v>5.88767666169666E-2</v>
      </c>
      <c r="S22" s="100">
        <v>1.19323441864964</v>
      </c>
      <c r="T22" s="100">
        <v>9.7798468184624607E-2</v>
      </c>
      <c r="U22" s="100">
        <v>3.1004747389072099E-3</v>
      </c>
      <c r="V22" s="100">
        <v>7.3316047017377402E-3</v>
      </c>
      <c r="W22" s="100">
        <v>3.8195692383336602E-3</v>
      </c>
      <c r="X22" s="100">
        <v>7.67640799983606E-3</v>
      </c>
      <c r="Y22" s="100">
        <v>5.6136208777207097E-2</v>
      </c>
      <c r="Z22" s="100">
        <v>2.36376201775805E-2</v>
      </c>
      <c r="AA22" s="100">
        <v>3.0139193203012799E-2</v>
      </c>
      <c r="AB22" s="100">
        <v>3.6106325282649898E-2</v>
      </c>
      <c r="AC22" s="100">
        <v>3.5211433304845499E-3</v>
      </c>
      <c r="AD22" s="100">
        <v>3.46111782093782E-3</v>
      </c>
      <c r="AE22" s="100">
        <v>1.8708663341993299E-2</v>
      </c>
      <c r="AF22" s="100">
        <v>1.41245435143467E-2</v>
      </c>
      <c r="AG22" s="100">
        <v>1.05653703277302E-2</v>
      </c>
      <c r="AH22" s="100">
        <v>7.0052869225648304E-3</v>
      </c>
      <c r="AI22" s="100">
        <v>1.1293399519284399E-2</v>
      </c>
      <c r="AJ22" s="100">
        <v>1.59521253944819E-2</v>
      </c>
      <c r="AK22" s="100">
        <v>5.81498185252524E-3</v>
      </c>
      <c r="AL22" s="100">
        <v>2.62946712612246E-2</v>
      </c>
      <c r="AM22" s="100">
        <v>5.2812015644398101E-3</v>
      </c>
      <c r="AN22" s="100">
        <v>2.2782864835084698E-3</v>
      </c>
      <c r="AO22" s="100">
        <v>3.9136278714446901E-3</v>
      </c>
      <c r="AP22" s="100">
        <v>8.9818359739458706E-3</v>
      </c>
      <c r="AQ22" s="100">
        <v>1.0192346453970101E-2</v>
      </c>
      <c r="AR22" s="100">
        <v>4.1965359015125403E-3</v>
      </c>
      <c r="AS22" s="100">
        <v>5.8717180727000003E-3</v>
      </c>
      <c r="AT22" s="100">
        <v>4.6970172563636703E-3</v>
      </c>
      <c r="AU22" s="100">
        <v>6.4351193921666199E-3</v>
      </c>
      <c r="AV22" s="100">
        <v>1.2427726077225001E-2</v>
      </c>
      <c r="AW22" s="100">
        <v>1.3510062199643199E-2</v>
      </c>
      <c r="AX22" s="100">
        <v>6.1053722020650299E-2</v>
      </c>
      <c r="AY22" s="100">
        <v>8.6232002618587492E-3</v>
      </c>
      <c r="AZ22" s="100">
        <v>4.7335129509957002E-3</v>
      </c>
      <c r="BA22" s="100">
        <v>7.2604350597868603E-3</v>
      </c>
      <c r="BB22" s="100">
        <v>4.9157815629595498E-3</v>
      </c>
      <c r="BC22" s="100">
        <v>9.932291583476039E-4</v>
      </c>
      <c r="BD22" s="100">
        <v>9.1826075996744097E-3</v>
      </c>
      <c r="BE22" s="100">
        <v>8.6032547910840293E-3</v>
      </c>
      <c r="BF22" s="100">
        <v>1.4514842197568E-2</v>
      </c>
      <c r="BG22" s="100">
        <v>1.16326039939805E-2</v>
      </c>
      <c r="BH22" s="100">
        <v>1.1937917997230801E-2</v>
      </c>
      <c r="BI22" s="100">
        <v>2.8098425323957502E-3</v>
      </c>
      <c r="BJ22" s="100">
        <v>3.3059917282234502E-3</v>
      </c>
      <c r="BK22" s="100">
        <v>4.1126589730559396E-3</v>
      </c>
      <c r="BL22" s="100">
        <v>7.42987430595843E-3</v>
      </c>
      <c r="BM22" s="100">
        <v>5.5804126168004804E-3</v>
      </c>
      <c r="BN22" s="100">
        <v>6.1523305176841604E-3</v>
      </c>
      <c r="BO22" s="100">
        <v>5.7333737751346101E-3</v>
      </c>
      <c r="BP22" s="100">
        <v>8.9167553185215999E-3</v>
      </c>
      <c r="BQ22" s="101">
        <v>0</v>
      </c>
    </row>
    <row r="23" spans="1:69" ht="15" customHeight="1" x14ac:dyDescent="0.3">
      <c r="A23" s="19" t="s">
        <v>41</v>
      </c>
      <c r="B23" s="11" t="s">
        <v>109</v>
      </c>
      <c r="C23" s="99">
        <v>6.2275713636647805E-4</v>
      </c>
      <c r="D23" s="100">
        <v>9.3157048977657796E-4</v>
      </c>
      <c r="E23" s="100">
        <v>4.8698138266722602E-4</v>
      </c>
      <c r="F23" s="100">
        <v>1.1013503225290699E-3</v>
      </c>
      <c r="G23" s="100">
        <v>6.9558937561697701E-4</v>
      </c>
      <c r="H23" s="100">
        <v>7.8481106402482001E-4</v>
      </c>
      <c r="I23" s="100">
        <v>1.0216395868523501E-3</v>
      </c>
      <c r="J23" s="100">
        <v>1.9877396701601601E-3</v>
      </c>
      <c r="K23" s="100">
        <v>1.319509466349E-3</v>
      </c>
      <c r="L23" s="100">
        <v>1.92229681141698E-3</v>
      </c>
      <c r="M23" s="100">
        <v>5.9415304196066302E-3</v>
      </c>
      <c r="N23" s="100">
        <v>2.3973890188527598E-3</v>
      </c>
      <c r="O23" s="100">
        <v>1.40335384565543E-3</v>
      </c>
      <c r="P23" s="100">
        <v>1.6290888375315199E-3</v>
      </c>
      <c r="Q23" s="100">
        <v>2.1104203341395602E-3</v>
      </c>
      <c r="R23" s="100">
        <v>2.1145553564760802E-3</v>
      </c>
      <c r="S23" s="100">
        <v>3.4934176513146602E-3</v>
      </c>
      <c r="T23" s="100">
        <v>1.0434831719861</v>
      </c>
      <c r="U23" s="100">
        <v>6.7318192322277798E-4</v>
      </c>
      <c r="V23" s="100">
        <v>1.3171088878972501E-3</v>
      </c>
      <c r="W23" s="100">
        <v>9.2497408176707202E-4</v>
      </c>
      <c r="X23" s="100">
        <v>1.5372465287699999E-3</v>
      </c>
      <c r="Y23" s="100">
        <v>2.47278693688873E-3</v>
      </c>
      <c r="Z23" s="100">
        <v>1.9554116782025698E-3</v>
      </c>
      <c r="AA23" s="100">
        <v>1.9308268909133E-3</v>
      </c>
      <c r="AB23" s="100">
        <v>1.6574950900905101E-3</v>
      </c>
      <c r="AC23" s="100">
        <v>1.0484842002257801E-3</v>
      </c>
      <c r="AD23" s="100">
        <v>1.17072557255679E-3</v>
      </c>
      <c r="AE23" s="100">
        <v>1.47787425811389E-3</v>
      </c>
      <c r="AF23" s="100">
        <v>2.5046627760668102E-3</v>
      </c>
      <c r="AG23" s="100">
        <v>1.6761632387005199E-3</v>
      </c>
      <c r="AH23" s="100">
        <v>1.60274482948487E-3</v>
      </c>
      <c r="AI23" s="100">
        <v>2.09421454462246E-3</v>
      </c>
      <c r="AJ23" s="100">
        <v>1.5475533710025901E-3</v>
      </c>
      <c r="AK23" s="100">
        <v>1.0979208846576701E-3</v>
      </c>
      <c r="AL23" s="100">
        <v>1.7776392944449E-3</v>
      </c>
      <c r="AM23" s="100">
        <v>1.16383454748787E-3</v>
      </c>
      <c r="AN23" s="100">
        <v>8.5441985662574303E-4</v>
      </c>
      <c r="AO23" s="100">
        <v>8.9481166823430201E-4</v>
      </c>
      <c r="AP23" s="100">
        <v>1.28552114038886E-3</v>
      </c>
      <c r="AQ23" s="100">
        <v>5.6219722805484597E-3</v>
      </c>
      <c r="AR23" s="100">
        <v>1.0470162447197399E-3</v>
      </c>
      <c r="AS23" s="100">
        <v>8.7415689742790798E-4</v>
      </c>
      <c r="AT23" s="100">
        <v>1.71270175654222E-3</v>
      </c>
      <c r="AU23" s="100">
        <v>1.54471751609005E-3</v>
      </c>
      <c r="AV23" s="100">
        <v>1.6847716744062E-3</v>
      </c>
      <c r="AW23" s="100">
        <v>1.9254650838928899E-3</v>
      </c>
      <c r="AX23" s="100">
        <v>5.1325609254472403E-2</v>
      </c>
      <c r="AY23" s="100">
        <v>7.3389972328846498E-3</v>
      </c>
      <c r="AZ23" s="100">
        <v>5.0400296014658803E-3</v>
      </c>
      <c r="BA23" s="100">
        <v>3.8171567877879902E-3</v>
      </c>
      <c r="BB23" s="100">
        <v>3.1736395217424902E-3</v>
      </c>
      <c r="BC23" s="100">
        <v>5.2425933017224405E-4</v>
      </c>
      <c r="BD23" s="100">
        <v>2.8815854735604E-3</v>
      </c>
      <c r="BE23" s="100">
        <v>3.5721765937401198E-3</v>
      </c>
      <c r="BF23" s="100">
        <v>2.6907072698687799E-2</v>
      </c>
      <c r="BG23" s="100">
        <v>2.0266782609469399E-3</v>
      </c>
      <c r="BH23" s="100">
        <v>4.8529977473853398E-3</v>
      </c>
      <c r="BI23" s="100">
        <v>7.1953548574005602E-4</v>
      </c>
      <c r="BJ23" s="100">
        <v>1.8930595873158399E-3</v>
      </c>
      <c r="BK23" s="100">
        <v>1.3230735826784601E-3</v>
      </c>
      <c r="BL23" s="100">
        <v>2.0795768481803299E-3</v>
      </c>
      <c r="BM23" s="100">
        <v>1.6225617395719801E-3</v>
      </c>
      <c r="BN23" s="100">
        <v>1.0325876398834301E-3</v>
      </c>
      <c r="BO23" s="100">
        <v>8.0817830060887792E-3</v>
      </c>
      <c r="BP23" s="100">
        <v>2.9669158010094199E-3</v>
      </c>
      <c r="BQ23" s="101">
        <v>0</v>
      </c>
    </row>
    <row r="24" spans="1:69" ht="15" customHeight="1" x14ac:dyDescent="0.3">
      <c r="A24" s="19" t="s">
        <v>42</v>
      </c>
      <c r="B24" s="11" t="s">
        <v>110</v>
      </c>
      <c r="C24" s="99">
        <v>6.6162040346118098E-2</v>
      </c>
      <c r="D24" s="100">
        <v>6.6515322876360403E-2</v>
      </c>
      <c r="E24" s="100">
        <v>4.6411711649161497E-2</v>
      </c>
      <c r="F24" s="100">
        <v>0.13832851706539101</v>
      </c>
      <c r="G24" s="100">
        <v>3.9983349312746101E-2</v>
      </c>
      <c r="H24" s="100">
        <v>9.4939239571546999E-2</v>
      </c>
      <c r="I24" s="100">
        <v>0.122964058556433</v>
      </c>
      <c r="J24" s="100">
        <v>8.5400902725948899E-2</v>
      </c>
      <c r="K24" s="100">
        <v>0.108493697172628</v>
      </c>
      <c r="L24" s="100">
        <v>8.2761828086411804E-2</v>
      </c>
      <c r="M24" s="100">
        <v>7.0117445332517903E-2</v>
      </c>
      <c r="N24" s="100">
        <v>5.3131227034556999E-2</v>
      </c>
      <c r="O24" s="100">
        <v>5.0375479519453398E-2</v>
      </c>
      <c r="P24" s="100">
        <v>3.3072667703167101E-2</v>
      </c>
      <c r="Q24" s="100">
        <v>4.6990287432684102E-2</v>
      </c>
      <c r="R24" s="100">
        <v>6.45091815147531E-2</v>
      </c>
      <c r="S24" s="100">
        <v>9.4431234058720101E-2</v>
      </c>
      <c r="T24" s="100">
        <v>3.5941133804023598E-2</v>
      </c>
      <c r="U24" s="100">
        <v>1.42350496630513</v>
      </c>
      <c r="V24" s="100">
        <v>0.10276098071864299</v>
      </c>
      <c r="W24" s="100">
        <v>0.118763135215234</v>
      </c>
      <c r="X24" s="100">
        <v>6.3971712976862202E-2</v>
      </c>
      <c r="Y24" s="100">
        <v>6.9808020927220299E-2</v>
      </c>
      <c r="Z24" s="100">
        <v>3.5987085523435401E-2</v>
      </c>
      <c r="AA24" s="100">
        <v>7.1967553352593E-2</v>
      </c>
      <c r="AB24" s="100">
        <v>0.10887120551743799</v>
      </c>
      <c r="AC24" s="100">
        <v>7.2550411309853402E-2</v>
      </c>
      <c r="AD24" s="100">
        <v>8.99566008445504E-2</v>
      </c>
      <c r="AE24" s="100">
        <v>5.0829535008153098E-2</v>
      </c>
      <c r="AF24" s="100">
        <v>2.1235502705008898E-2</v>
      </c>
      <c r="AG24" s="100">
        <v>4.9406447073817E-2</v>
      </c>
      <c r="AH24" s="100">
        <v>3.8282078778882997E-2</v>
      </c>
      <c r="AI24" s="100">
        <v>4.59772692692412E-2</v>
      </c>
      <c r="AJ24" s="100">
        <v>4.6015840977213403E-2</v>
      </c>
      <c r="AK24" s="100">
        <v>2.8080107515790501E-2</v>
      </c>
      <c r="AL24" s="100">
        <v>4.1419852681211303E-2</v>
      </c>
      <c r="AM24" s="100">
        <v>2.85110787304849E-2</v>
      </c>
      <c r="AN24" s="100">
        <v>5.3075952226372597E-2</v>
      </c>
      <c r="AO24" s="100">
        <v>4.2077284963193601E-2</v>
      </c>
      <c r="AP24" s="100">
        <v>5.0977913322363302E-2</v>
      </c>
      <c r="AQ24" s="100">
        <v>4.7560374101181101E-2</v>
      </c>
      <c r="AR24" s="100">
        <v>0.36125274088009501</v>
      </c>
      <c r="AS24" s="100">
        <v>0.15659404915584699</v>
      </c>
      <c r="AT24" s="100">
        <v>0.27458765980085698</v>
      </c>
      <c r="AU24" s="100">
        <v>5.39167760523293E-2</v>
      </c>
      <c r="AV24" s="100">
        <v>2.70802012756007E-2</v>
      </c>
      <c r="AW24" s="100">
        <v>4.4180393394981997E-2</v>
      </c>
      <c r="AX24" s="100">
        <v>2.4935551762074799E-2</v>
      </c>
      <c r="AY24" s="100">
        <v>1.8500656901389599E-2</v>
      </c>
      <c r="AZ24" s="100">
        <v>1.1875429840273699E-2</v>
      </c>
      <c r="BA24" s="100">
        <v>9.4897440542857803E-3</v>
      </c>
      <c r="BB24" s="100">
        <v>7.6832903662857896E-3</v>
      </c>
      <c r="BC24" s="100">
        <v>1.85716290033936E-3</v>
      </c>
      <c r="BD24" s="100">
        <v>1.1937911365625E-2</v>
      </c>
      <c r="BE24" s="100">
        <v>2.4541777610893701E-2</v>
      </c>
      <c r="BF24" s="100">
        <v>1.6410144832205799E-2</v>
      </c>
      <c r="BG24" s="100">
        <v>2.9073097305982398E-2</v>
      </c>
      <c r="BH24" s="100">
        <v>1.3486238236119901E-2</v>
      </c>
      <c r="BI24" s="100">
        <v>2.24468297327939E-2</v>
      </c>
      <c r="BJ24" s="100">
        <v>1.27988734962209E-2</v>
      </c>
      <c r="BK24" s="100">
        <v>8.1001068181417307E-3</v>
      </c>
      <c r="BL24" s="100">
        <v>1.52026400493469E-2</v>
      </c>
      <c r="BM24" s="100">
        <v>1.8044296721607098E-2</v>
      </c>
      <c r="BN24" s="100">
        <v>1.1699346227359899E-2</v>
      </c>
      <c r="BO24" s="100">
        <v>1.71672323543441E-2</v>
      </c>
      <c r="BP24" s="100">
        <v>3.1644619696925398E-2</v>
      </c>
      <c r="BQ24" s="101">
        <v>0</v>
      </c>
    </row>
    <row r="25" spans="1:69" ht="15" customHeight="1" x14ac:dyDescent="0.3">
      <c r="A25" s="19" t="s">
        <v>43</v>
      </c>
      <c r="B25" s="11" t="s">
        <v>111</v>
      </c>
      <c r="C25" s="99">
        <v>5.3642927940964098E-3</v>
      </c>
      <c r="D25" s="100">
        <v>6.8256092192859399E-3</v>
      </c>
      <c r="E25" s="100">
        <v>3.5197769772499902E-3</v>
      </c>
      <c r="F25" s="100">
        <v>9.9990843611237595E-3</v>
      </c>
      <c r="G25" s="100">
        <v>5.7248276706449597E-3</v>
      </c>
      <c r="H25" s="100">
        <v>6.3954778643174198E-3</v>
      </c>
      <c r="I25" s="100">
        <v>8.35517412165542E-3</v>
      </c>
      <c r="J25" s="100">
        <v>1.00837192966642E-2</v>
      </c>
      <c r="K25" s="100">
        <v>1.39361176421496E-2</v>
      </c>
      <c r="L25" s="100">
        <v>1.18249110038004E-2</v>
      </c>
      <c r="M25" s="100">
        <v>9.2533250641125397E-3</v>
      </c>
      <c r="N25" s="100">
        <v>4.4682542310168797E-3</v>
      </c>
      <c r="O25" s="100">
        <v>4.1358529058034797E-3</v>
      </c>
      <c r="P25" s="100">
        <v>2.7695874340348098E-3</v>
      </c>
      <c r="Q25" s="100">
        <v>3.97114337761634E-3</v>
      </c>
      <c r="R25" s="100">
        <v>7.6807141979221604E-3</v>
      </c>
      <c r="S25" s="100">
        <v>7.4297329000880897E-3</v>
      </c>
      <c r="T25" s="100">
        <v>3.2719510603211699E-3</v>
      </c>
      <c r="U25" s="100">
        <v>8.8169748881204504E-2</v>
      </c>
      <c r="V25" s="100">
        <v>1.0266036339519</v>
      </c>
      <c r="W25" s="100">
        <v>1.0159178010599901E-2</v>
      </c>
      <c r="X25" s="100">
        <v>1.0480472294430601E-2</v>
      </c>
      <c r="Y25" s="100">
        <v>4.5857358714573297E-2</v>
      </c>
      <c r="Z25" s="100">
        <v>1.5341218330963901E-2</v>
      </c>
      <c r="AA25" s="100">
        <v>5.7801696601953697E-3</v>
      </c>
      <c r="AB25" s="100">
        <v>7.7450011029809498E-3</v>
      </c>
      <c r="AC25" s="100">
        <v>5.1663230499736298E-3</v>
      </c>
      <c r="AD25" s="100">
        <v>6.3004080975542802E-3</v>
      </c>
      <c r="AE25" s="100">
        <v>4.4105572562720902E-3</v>
      </c>
      <c r="AF25" s="100">
        <v>1.8021038862759901E-3</v>
      </c>
      <c r="AG25" s="100">
        <v>3.89461344759688E-3</v>
      </c>
      <c r="AH25" s="100">
        <v>3.1865735868363602E-3</v>
      </c>
      <c r="AI25" s="100">
        <v>3.7789668688168999E-3</v>
      </c>
      <c r="AJ25" s="100">
        <v>3.6369734702374002E-3</v>
      </c>
      <c r="AK25" s="100">
        <v>2.29942266726363E-3</v>
      </c>
      <c r="AL25" s="100">
        <v>3.6232126159500199E-3</v>
      </c>
      <c r="AM25" s="100">
        <v>2.4360515888455399E-3</v>
      </c>
      <c r="AN25" s="100">
        <v>3.7459787957824101E-3</v>
      </c>
      <c r="AO25" s="100">
        <v>4.0625348421667604E-3</v>
      </c>
      <c r="AP25" s="100">
        <v>4.8397707736722896E-3</v>
      </c>
      <c r="AQ25" s="100">
        <v>4.8075758249654802E-3</v>
      </c>
      <c r="AR25" s="100">
        <v>2.5634075852544E-2</v>
      </c>
      <c r="AS25" s="100">
        <v>1.10375498457827E-2</v>
      </c>
      <c r="AT25" s="100">
        <v>1.8892226899673199E-2</v>
      </c>
      <c r="AU25" s="100">
        <v>4.76131323036833E-3</v>
      </c>
      <c r="AV25" s="100">
        <v>3.6577077515060502E-3</v>
      </c>
      <c r="AW25" s="100">
        <v>6.2907254139167902E-3</v>
      </c>
      <c r="AX25" s="100">
        <v>3.1132473664661998E-3</v>
      </c>
      <c r="AY25" s="100">
        <v>2.6697802802270001E-3</v>
      </c>
      <c r="AZ25" s="100">
        <v>1.79168007714867E-3</v>
      </c>
      <c r="BA25" s="100">
        <v>1.4170521747719001E-3</v>
      </c>
      <c r="BB25" s="100">
        <v>1.08753738143445E-3</v>
      </c>
      <c r="BC25" s="100">
        <v>2.6160030950600802E-4</v>
      </c>
      <c r="BD25" s="100">
        <v>1.88828264520651E-3</v>
      </c>
      <c r="BE25" s="100">
        <v>5.3492587123388398E-3</v>
      </c>
      <c r="BF25" s="100">
        <v>2.53150765313284E-3</v>
      </c>
      <c r="BG25" s="100">
        <v>5.81741681616719E-3</v>
      </c>
      <c r="BH25" s="100">
        <v>2.4171261732239802E-3</v>
      </c>
      <c r="BI25" s="100">
        <v>4.4319048560067797E-3</v>
      </c>
      <c r="BJ25" s="100">
        <v>2.1013990038753799E-3</v>
      </c>
      <c r="BK25" s="100">
        <v>1.1181717029874699E-3</v>
      </c>
      <c r="BL25" s="100">
        <v>1.5559146911895601E-3</v>
      </c>
      <c r="BM25" s="100">
        <v>2.5673411404507902E-3</v>
      </c>
      <c r="BN25" s="100">
        <v>1.9811766429174401E-3</v>
      </c>
      <c r="BO25" s="100">
        <v>3.14959079351539E-3</v>
      </c>
      <c r="BP25" s="100">
        <v>4.53444417118554E-3</v>
      </c>
      <c r="BQ25" s="101">
        <v>0</v>
      </c>
    </row>
    <row r="26" spans="1:69" ht="15" customHeight="1" x14ac:dyDescent="0.3">
      <c r="A26" s="19" t="s">
        <v>44</v>
      </c>
      <c r="B26" s="32" t="s">
        <v>112</v>
      </c>
      <c r="C26" s="99">
        <v>0.18549877282020599</v>
      </c>
      <c r="D26" s="100">
        <v>7.6594149168347003E-2</v>
      </c>
      <c r="E26" s="100">
        <v>2.4067302964368799E-2</v>
      </c>
      <c r="F26" s="100">
        <v>4.2289217461076598E-2</v>
      </c>
      <c r="G26" s="100">
        <v>2.06198725369207E-2</v>
      </c>
      <c r="H26" s="100">
        <v>9.9490128012414292E-3</v>
      </c>
      <c r="I26" s="100">
        <v>1.6210592751921101E-2</v>
      </c>
      <c r="J26" s="100">
        <v>5.3591919895243402E-2</v>
      </c>
      <c r="K26" s="100">
        <v>9.5330281460793906E-2</v>
      </c>
      <c r="L26" s="100">
        <v>8.0932280701556905E-2</v>
      </c>
      <c r="M26" s="100">
        <v>3.7039856230396698E-2</v>
      </c>
      <c r="N26" s="100">
        <v>9.20522666070243E-2</v>
      </c>
      <c r="O26" s="100">
        <v>0.139332658140354</v>
      </c>
      <c r="P26" s="100">
        <v>4.3971228762718098E-2</v>
      </c>
      <c r="Q26" s="100">
        <v>7.4463011433579904E-2</v>
      </c>
      <c r="R26" s="100">
        <v>6.74198133729354E-2</v>
      </c>
      <c r="S26" s="100">
        <v>9.8271405656218697E-2</v>
      </c>
      <c r="T26" s="100">
        <v>4.0474130650078599E-2</v>
      </c>
      <c r="U26" s="100">
        <v>3.07327861734863E-2</v>
      </c>
      <c r="V26" s="100">
        <v>0.117808184888922</v>
      </c>
      <c r="W26" s="100">
        <v>1.24807422528629</v>
      </c>
      <c r="X26" s="100">
        <v>0.21560180802621501</v>
      </c>
      <c r="Y26" s="100">
        <v>0.12723846450861601</v>
      </c>
      <c r="Z26" s="100">
        <v>3.4567182211952499E-2</v>
      </c>
      <c r="AA26" s="100">
        <v>0.26030399576241098</v>
      </c>
      <c r="AB26" s="100">
        <v>6.6977747656968303E-2</v>
      </c>
      <c r="AC26" s="100">
        <v>1.85142040715402E-2</v>
      </c>
      <c r="AD26" s="100">
        <v>2.90948382866952E-2</v>
      </c>
      <c r="AE26" s="100">
        <v>3.2525769565330501E-2</v>
      </c>
      <c r="AF26" s="100">
        <v>1.09138908494372E-2</v>
      </c>
      <c r="AG26" s="100">
        <v>5.8440887973178798E-2</v>
      </c>
      <c r="AH26" s="100">
        <v>1.60047255296006E-2</v>
      </c>
      <c r="AI26" s="100">
        <v>3.04130195468028E-2</v>
      </c>
      <c r="AJ26" s="100">
        <v>4.0278267054092598E-2</v>
      </c>
      <c r="AK26" s="100">
        <v>2.3474914028741301E-2</v>
      </c>
      <c r="AL26" s="100">
        <v>6.1133644009074201E-2</v>
      </c>
      <c r="AM26" s="100">
        <v>1.8055384581400699E-2</v>
      </c>
      <c r="AN26" s="100">
        <v>6.6306323523923003E-3</v>
      </c>
      <c r="AO26" s="100">
        <v>2.5218488314776698E-2</v>
      </c>
      <c r="AP26" s="100">
        <v>2.7902906785642799E-2</v>
      </c>
      <c r="AQ26" s="100">
        <v>1.1283072969904301E-2</v>
      </c>
      <c r="AR26" s="100">
        <v>1.7725704453282701E-2</v>
      </c>
      <c r="AS26" s="100">
        <v>6.9482726641630597E-3</v>
      </c>
      <c r="AT26" s="100">
        <v>1.5525491947445E-2</v>
      </c>
      <c r="AU26" s="100">
        <v>5.6269604795025898E-3</v>
      </c>
      <c r="AV26" s="100">
        <v>1.47714941659918E-2</v>
      </c>
      <c r="AW26" s="100">
        <v>2.2565009316356899E-2</v>
      </c>
      <c r="AX26" s="100">
        <v>1.14326071219077E-2</v>
      </c>
      <c r="AY26" s="100">
        <v>6.6226945017420803E-3</v>
      </c>
      <c r="AZ26" s="100">
        <v>4.6094674072863799E-3</v>
      </c>
      <c r="BA26" s="100">
        <v>2.9281601842795798E-3</v>
      </c>
      <c r="BB26" s="100">
        <v>2.0930899685999101E-3</v>
      </c>
      <c r="BC26" s="100">
        <v>1.3189848697619101E-3</v>
      </c>
      <c r="BD26" s="100">
        <v>3.7961480380720499E-3</v>
      </c>
      <c r="BE26" s="100">
        <v>5.5647698005384097E-3</v>
      </c>
      <c r="BF26" s="100">
        <v>6.0782251703038496E-3</v>
      </c>
      <c r="BG26" s="100">
        <v>6.8113040314405401E-3</v>
      </c>
      <c r="BH26" s="100">
        <v>7.8731831427419595E-3</v>
      </c>
      <c r="BI26" s="100">
        <v>2.7221665944827901E-3</v>
      </c>
      <c r="BJ26" s="100">
        <v>3.7188986325041801E-3</v>
      </c>
      <c r="BK26" s="100">
        <v>3.3816537413846699E-3</v>
      </c>
      <c r="BL26" s="100">
        <v>4.1251807141757203E-3</v>
      </c>
      <c r="BM26" s="100">
        <v>1.2632013174509101E-2</v>
      </c>
      <c r="BN26" s="100">
        <v>9.8834847971676493E-3</v>
      </c>
      <c r="BO26" s="100">
        <v>7.1379939412741997E-3</v>
      </c>
      <c r="BP26" s="100">
        <v>1.1806801011954899E-2</v>
      </c>
      <c r="BQ26" s="101">
        <v>0</v>
      </c>
    </row>
    <row r="27" spans="1:69" ht="15" customHeight="1" x14ac:dyDescent="0.3">
      <c r="A27" s="19" t="s">
        <v>45</v>
      </c>
      <c r="B27" s="11" t="s">
        <v>113</v>
      </c>
      <c r="C27" s="99">
        <v>6.2318977677454597E-2</v>
      </c>
      <c r="D27" s="100">
        <v>2.8225500220505E-2</v>
      </c>
      <c r="E27" s="100">
        <v>5.1985099920078904E-3</v>
      </c>
      <c r="F27" s="100">
        <v>9.14602500947721E-2</v>
      </c>
      <c r="G27" s="100">
        <v>3.63589356833105E-3</v>
      </c>
      <c r="H27" s="100">
        <v>5.1098671572876496E-3</v>
      </c>
      <c r="I27" s="100">
        <v>9.2966975277542704E-3</v>
      </c>
      <c r="J27" s="100">
        <v>2.1376754501311501E-2</v>
      </c>
      <c r="K27" s="100">
        <v>3.0581461792076301E-2</v>
      </c>
      <c r="L27" s="100">
        <v>3.1863481332205297E-2</v>
      </c>
      <c r="M27" s="100">
        <v>1.17397960467382E-2</v>
      </c>
      <c r="N27" s="100">
        <v>3.0548785402713399E-2</v>
      </c>
      <c r="O27" s="100">
        <v>2.0732024807663701E-2</v>
      </c>
      <c r="P27" s="100">
        <v>8.4380816193861206E-3</v>
      </c>
      <c r="Q27" s="100">
        <v>1.20108727470768E-2</v>
      </c>
      <c r="R27" s="100">
        <v>3.6415107754019398E-2</v>
      </c>
      <c r="S27" s="100">
        <v>2.77217167952515E-2</v>
      </c>
      <c r="T27" s="100">
        <v>5.5162455276899301E-2</v>
      </c>
      <c r="U27" s="100">
        <v>7.7083285333799803E-3</v>
      </c>
      <c r="V27" s="100">
        <v>3.3536312453163603E-2</v>
      </c>
      <c r="W27" s="100">
        <v>1.6958352012035799E-2</v>
      </c>
      <c r="X27" s="100">
        <v>1.1080155622052801</v>
      </c>
      <c r="Y27" s="100">
        <v>4.2455018746189899E-2</v>
      </c>
      <c r="Z27" s="100">
        <v>1.53540850836259E-2</v>
      </c>
      <c r="AA27" s="100">
        <v>3.3551099435444098E-2</v>
      </c>
      <c r="AB27" s="100">
        <v>2.5421331336439101E-2</v>
      </c>
      <c r="AC27" s="100">
        <v>6.3437636295131201E-3</v>
      </c>
      <c r="AD27" s="100">
        <v>5.8022410509297002E-3</v>
      </c>
      <c r="AE27" s="100">
        <v>1.0336618844569099E-2</v>
      </c>
      <c r="AF27" s="100">
        <v>4.51746489315166E-3</v>
      </c>
      <c r="AG27" s="100">
        <v>7.1545408027284801E-3</v>
      </c>
      <c r="AH27" s="100">
        <v>5.1464039090552104E-3</v>
      </c>
      <c r="AI27" s="100">
        <v>9.0528464108562898E-3</v>
      </c>
      <c r="AJ27" s="100">
        <v>7.8036050558047904E-3</v>
      </c>
      <c r="AK27" s="100">
        <v>6.2171342316090896E-3</v>
      </c>
      <c r="AL27" s="100">
        <v>1.6689950824550999E-2</v>
      </c>
      <c r="AM27" s="100">
        <v>1.25608834261535E-2</v>
      </c>
      <c r="AN27" s="100">
        <v>2.5187292392976198E-3</v>
      </c>
      <c r="AO27" s="100">
        <v>1.1293834482394899E-2</v>
      </c>
      <c r="AP27" s="100">
        <v>2.64964167581919E-2</v>
      </c>
      <c r="AQ27" s="100">
        <v>5.7438909274533803E-3</v>
      </c>
      <c r="AR27" s="100">
        <v>4.7429368274508298E-3</v>
      </c>
      <c r="AS27" s="100">
        <v>2.3935017708929698E-3</v>
      </c>
      <c r="AT27" s="100">
        <v>3.83875373984511E-3</v>
      </c>
      <c r="AU27" s="100">
        <v>2.7313564772604901E-3</v>
      </c>
      <c r="AV27" s="100">
        <v>6.5760614065128401E-3</v>
      </c>
      <c r="AW27" s="100">
        <v>8.2909142102965804E-3</v>
      </c>
      <c r="AX27" s="100">
        <v>1.1683868866535E-2</v>
      </c>
      <c r="AY27" s="100">
        <v>9.1141467054387301E-3</v>
      </c>
      <c r="AZ27" s="100">
        <v>3.5181116513514198E-3</v>
      </c>
      <c r="BA27" s="100">
        <v>1.8262060269580601E-3</v>
      </c>
      <c r="BB27" s="100">
        <v>1.3182100384923001E-3</v>
      </c>
      <c r="BC27" s="100">
        <v>2.7020998363639398E-3</v>
      </c>
      <c r="BD27" s="100">
        <v>1.6068895560155201E-3</v>
      </c>
      <c r="BE27" s="100">
        <v>2.6425629814911802E-3</v>
      </c>
      <c r="BF27" s="100">
        <v>5.1597848493392696E-3</v>
      </c>
      <c r="BG27" s="100">
        <v>2.4989435166704798E-3</v>
      </c>
      <c r="BH27" s="100">
        <v>1.03842093880418E-2</v>
      </c>
      <c r="BI27" s="100">
        <v>1.08258741136401E-3</v>
      </c>
      <c r="BJ27" s="100">
        <v>2.19605779851679E-3</v>
      </c>
      <c r="BK27" s="100">
        <v>2.28514235323287E-3</v>
      </c>
      <c r="BL27" s="100">
        <v>2.0862969245354999E-3</v>
      </c>
      <c r="BM27" s="100">
        <v>8.6791724431756808E-3</v>
      </c>
      <c r="BN27" s="100">
        <v>2.77344242163551E-3</v>
      </c>
      <c r="BO27" s="100">
        <v>3.65871753113734E-3</v>
      </c>
      <c r="BP27" s="100">
        <v>4.5085884910660698E-3</v>
      </c>
      <c r="BQ27" s="101">
        <v>0</v>
      </c>
    </row>
    <row r="28" spans="1:69" ht="15" customHeight="1" x14ac:dyDescent="0.3">
      <c r="A28" s="33" t="s">
        <v>46</v>
      </c>
      <c r="B28" s="11" t="s">
        <v>114</v>
      </c>
      <c r="C28" s="99">
        <v>2.61252717578799E-3</v>
      </c>
      <c r="D28" s="100">
        <v>1.7430847041638999E-3</v>
      </c>
      <c r="E28" s="100">
        <v>4.8898934527097902E-4</v>
      </c>
      <c r="F28" s="100">
        <v>3.7925902148835899E-3</v>
      </c>
      <c r="G28" s="100">
        <v>1.0413605608163099E-3</v>
      </c>
      <c r="H28" s="100">
        <v>1.4930937900586199E-3</v>
      </c>
      <c r="I28" s="100">
        <v>1.6911073563068101E-3</v>
      </c>
      <c r="J28" s="100">
        <v>2.1319612572509999E-3</v>
      </c>
      <c r="K28" s="100">
        <v>2.1887045307891302E-3</v>
      </c>
      <c r="L28" s="100">
        <v>2.5643395768225599E-3</v>
      </c>
      <c r="M28" s="100">
        <v>2.4386077773004399E-3</v>
      </c>
      <c r="N28" s="100">
        <v>2.3843702080063602E-3</v>
      </c>
      <c r="O28" s="100">
        <v>3.0998279926881E-3</v>
      </c>
      <c r="P28" s="100">
        <v>1.9929609545113899E-3</v>
      </c>
      <c r="Q28" s="100">
        <v>2.2219086352437099E-3</v>
      </c>
      <c r="R28" s="100">
        <v>3.1518259385253998E-3</v>
      </c>
      <c r="S28" s="100">
        <v>3.4356682760428099E-3</v>
      </c>
      <c r="T28" s="100">
        <v>3.1876925541620702E-3</v>
      </c>
      <c r="U28" s="100">
        <v>1.62047152177757E-3</v>
      </c>
      <c r="V28" s="100">
        <v>2.7857917193342802E-3</v>
      </c>
      <c r="W28" s="100">
        <v>4.5527761644286102E-3</v>
      </c>
      <c r="X28" s="100">
        <v>8.1246926677116301E-3</v>
      </c>
      <c r="Y28" s="100">
        <v>1.0233132033214301</v>
      </c>
      <c r="Z28" s="100">
        <v>1.8774981536921001E-3</v>
      </c>
      <c r="AA28" s="100">
        <v>3.9912551546401496E-3</v>
      </c>
      <c r="AB28" s="100">
        <v>2.6873935687086502E-3</v>
      </c>
      <c r="AC28" s="100">
        <v>1.26218700573562E-3</v>
      </c>
      <c r="AD28" s="100">
        <v>1.7661098216715E-3</v>
      </c>
      <c r="AE28" s="100">
        <v>5.0250171970616297E-3</v>
      </c>
      <c r="AF28" s="100">
        <v>1.05032467783765E-3</v>
      </c>
      <c r="AG28" s="100">
        <v>1.78628959459777E-3</v>
      </c>
      <c r="AH28" s="100">
        <v>1.5346175395261701E-3</v>
      </c>
      <c r="AI28" s="100">
        <v>1.6824154907342499E-3</v>
      </c>
      <c r="AJ28" s="100">
        <v>1.73648107665615E-3</v>
      </c>
      <c r="AK28" s="100">
        <v>1.1362548780232799E-3</v>
      </c>
      <c r="AL28" s="100">
        <v>1.9773288397673E-3</v>
      </c>
      <c r="AM28" s="100">
        <v>1.26818342022301E-3</v>
      </c>
      <c r="AN28" s="100">
        <v>5.8521266934575395E-4</v>
      </c>
      <c r="AO28" s="100">
        <v>1.6526415544554701E-3</v>
      </c>
      <c r="AP28" s="100">
        <v>1.8181088994588101E-3</v>
      </c>
      <c r="AQ28" s="100">
        <v>2.45679440242585E-3</v>
      </c>
      <c r="AR28" s="100">
        <v>1.67967692143092E-3</v>
      </c>
      <c r="AS28" s="100">
        <v>1.16662912968232E-3</v>
      </c>
      <c r="AT28" s="100">
        <v>1.15244646447802E-3</v>
      </c>
      <c r="AU28" s="100">
        <v>1.73571142290992E-3</v>
      </c>
      <c r="AV28" s="100">
        <v>3.5448823460237002E-3</v>
      </c>
      <c r="AW28" s="100">
        <v>1.4316797245436299E-3</v>
      </c>
      <c r="AX28" s="100">
        <v>2.2075777791232E-3</v>
      </c>
      <c r="AY28" s="100">
        <v>2.4698814729190999E-3</v>
      </c>
      <c r="AZ28" s="100">
        <v>2.2687235477739502E-3</v>
      </c>
      <c r="BA28" s="100">
        <v>8.6830324883816498E-4</v>
      </c>
      <c r="BB28" s="100">
        <v>6.5925224333744203E-4</v>
      </c>
      <c r="BC28" s="100">
        <v>1.4410241475529701E-4</v>
      </c>
      <c r="BD28" s="100">
        <v>1.6087851438097199E-3</v>
      </c>
      <c r="BE28" s="100">
        <v>2.0446887312754302E-3</v>
      </c>
      <c r="BF28" s="100">
        <v>3.14621650141194E-3</v>
      </c>
      <c r="BG28" s="100">
        <v>2.2122675882458799E-3</v>
      </c>
      <c r="BH28" s="100">
        <v>7.26298435422984E-3</v>
      </c>
      <c r="BI28" s="100">
        <v>4.47143291535077E-4</v>
      </c>
      <c r="BJ28" s="100">
        <v>8.1650117366815296E-4</v>
      </c>
      <c r="BK28" s="100">
        <v>9.7898696028001398E-4</v>
      </c>
      <c r="BL28" s="100">
        <v>2.10216650707345E-3</v>
      </c>
      <c r="BM28" s="100">
        <v>1.7539197135108099E-3</v>
      </c>
      <c r="BN28" s="100">
        <v>3.5592541282206602E-3</v>
      </c>
      <c r="BO28" s="100">
        <v>5.62226895274868E-3</v>
      </c>
      <c r="BP28" s="100">
        <v>7.1751275242701897E-3</v>
      </c>
      <c r="BQ28" s="101">
        <v>0</v>
      </c>
    </row>
    <row r="29" spans="1:69" ht="15" customHeight="1" x14ac:dyDescent="0.3">
      <c r="A29" s="33" t="s">
        <v>47</v>
      </c>
      <c r="B29" s="11" t="s">
        <v>115</v>
      </c>
      <c r="C29" s="99">
        <v>1.25972254037309E-3</v>
      </c>
      <c r="D29" s="100">
        <v>1.51526697959608E-2</v>
      </c>
      <c r="E29" s="100">
        <v>7.5897912948089802E-4</v>
      </c>
      <c r="F29" s="100">
        <v>6.0881140524203503E-4</v>
      </c>
      <c r="G29" s="100">
        <v>3.73468746371495E-4</v>
      </c>
      <c r="H29" s="100">
        <v>1.9538848790860399E-4</v>
      </c>
      <c r="I29" s="100">
        <v>2.1459162023343599E-4</v>
      </c>
      <c r="J29" s="100">
        <v>6.1694321893842703E-3</v>
      </c>
      <c r="K29" s="100">
        <v>7.2835411253114604E-4</v>
      </c>
      <c r="L29" s="100">
        <v>1.8690044336473E-3</v>
      </c>
      <c r="M29" s="100">
        <v>5.2008687817819803E-4</v>
      </c>
      <c r="N29" s="100">
        <v>1.0462304263223999E-3</v>
      </c>
      <c r="O29" s="100">
        <v>6.7466378487719301E-4</v>
      </c>
      <c r="P29" s="100">
        <v>4.61329245758965E-4</v>
      </c>
      <c r="Q29" s="100">
        <v>6.9592269326421705E-4</v>
      </c>
      <c r="R29" s="100">
        <v>5.0844589217746499E-4</v>
      </c>
      <c r="S29" s="100">
        <v>5.6216168865660401E-4</v>
      </c>
      <c r="T29" s="100">
        <v>3.90343981240863E-4</v>
      </c>
      <c r="U29" s="100">
        <v>3.0596959251291602E-4</v>
      </c>
      <c r="V29" s="100">
        <v>1.1145609752767299E-3</v>
      </c>
      <c r="W29" s="100">
        <v>9.4769546621974697E-4</v>
      </c>
      <c r="X29" s="100">
        <v>2.1538335220934301E-3</v>
      </c>
      <c r="Y29" s="100">
        <v>1.5898769450543801E-3</v>
      </c>
      <c r="Z29" s="100">
        <v>1.0146988877529901</v>
      </c>
      <c r="AA29" s="100">
        <v>6.2924666299130495E-4</v>
      </c>
      <c r="AB29" s="100">
        <v>3.6526132345522601E-4</v>
      </c>
      <c r="AC29" s="100">
        <v>2.1915517436407601E-4</v>
      </c>
      <c r="AD29" s="100">
        <v>2.9264335433931102E-4</v>
      </c>
      <c r="AE29" s="100">
        <v>3.42322339068352E-4</v>
      </c>
      <c r="AF29" s="100">
        <v>1.9605140652286901E-4</v>
      </c>
      <c r="AG29" s="100">
        <v>3.2637582897133798E-4</v>
      </c>
      <c r="AH29" s="100">
        <v>2.7025582647722803E-4</v>
      </c>
      <c r="AI29" s="100">
        <v>3.19664805850741E-4</v>
      </c>
      <c r="AJ29" s="100">
        <v>2.9291693886886102E-4</v>
      </c>
      <c r="AK29" s="100">
        <v>1.8618065407712301E-4</v>
      </c>
      <c r="AL29" s="100">
        <v>3.46566768873182E-4</v>
      </c>
      <c r="AM29" s="100">
        <v>2.0998175269667E-4</v>
      </c>
      <c r="AN29" s="100">
        <v>1.1091311237002201E-4</v>
      </c>
      <c r="AO29" s="100">
        <v>1.8215599683348599E-4</v>
      </c>
      <c r="AP29" s="100">
        <v>2.6321543675437498E-4</v>
      </c>
      <c r="AQ29" s="100">
        <v>3.1713506701295602E-4</v>
      </c>
      <c r="AR29" s="100">
        <v>2.2302372996735E-4</v>
      </c>
      <c r="AS29" s="100">
        <v>1.4776661804124001E-4</v>
      </c>
      <c r="AT29" s="100">
        <v>1.9435114856341501E-4</v>
      </c>
      <c r="AU29" s="100">
        <v>2.16308900120139E-4</v>
      </c>
      <c r="AV29" s="100">
        <v>7.6987193845207797E-4</v>
      </c>
      <c r="AW29" s="100">
        <v>1.1694555397325399E-3</v>
      </c>
      <c r="AX29" s="100">
        <v>2.47986232468228E-4</v>
      </c>
      <c r="AY29" s="100">
        <v>2.77723200096573E-4</v>
      </c>
      <c r="AZ29" s="100">
        <v>2.6594275083909502E-4</v>
      </c>
      <c r="BA29" s="100">
        <v>1.6360981830544901E-4</v>
      </c>
      <c r="BB29" s="100">
        <v>1.12230537176715E-4</v>
      </c>
      <c r="BC29" s="100">
        <v>2.5002738911770301E-5</v>
      </c>
      <c r="BD29" s="100">
        <v>1.7881254194824901E-4</v>
      </c>
      <c r="BE29" s="100">
        <v>5.0876872774891098E-4</v>
      </c>
      <c r="BF29" s="100">
        <v>8.5807508245905697E-4</v>
      </c>
      <c r="BG29" s="100">
        <v>2.0207340541488901E-4</v>
      </c>
      <c r="BH29" s="100">
        <v>3.21407402715684E-4</v>
      </c>
      <c r="BI29" s="100">
        <v>8.6910422936072902E-5</v>
      </c>
      <c r="BJ29" s="100">
        <v>1.15412571159461E-3</v>
      </c>
      <c r="BK29" s="100">
        <v>1.0935359558253901E-3</v>
      </c>
      <c r="BL29" s="100">
        <v>1.70811318559635E-3</v>
      </c>
      <c r="BM29" s="100">
        <v>3.3458876473825297E-2</v>
      </c>
      <c r="BN29" s="100">
        <v>2.58533652217313E-2</v>
      </c>
      <c r="BO29" s="100">
        <v>5.6753899700552396E-4</v>
      </c>
      <c r="BP29" s="100">
        <v>4.3474900927597303E-3</v>
      </c>
      <c r="BQ29" s="101">
        <v>0</v>
      </c>
    </row>
    <row r="30" spans="1:69" ht="15" customHeight="1" x14ac:dyDescent="0.3">
      <c r="A30" s="33" t="s">
        <v>48</v>
      </c>
      <c r="B30" s="11" t="s">
        <v>116</v>
      </c>
      <c r="C30" s="99">
        <v>7.7117157380697304E-3</v>
      </c>
      <c r="D30" s="100">
        <v>1.02781531118311E-2</v>
      </c>
      <c r="E30" s="100">
        <v>5.37237527057939E-3</v>
      </c>
      <c r="F30" s="100">
        <v>1.6395736532436499E-2</v>
      </c>
      <c r="G30" s="100">
        <v>5.3573962337286904E-3</v>
      </c>
      <c r="H30" s="100">
        <v>1.14247474989989E-2</v>
      </c>
      <c r="I30" s="100">
        <v>9.7368773834343603E-3</v>
      </c>
      <c r="J30" s="100">
        <v>2.7574557584469899E-2</v>
      </c>
      <c r="K30" s="100">
        <v>1.3652239464851799E-2</v>
      </c>
      <c r="L30" s="100">
        <v>4.2442523988534403E-2</v>
      </c>
      <c r="M30" s="100">
        <v>6.8390421411817004E-2</v>
      </c>
      <c r="N30" s="100">
        <v>8.6727383390272795E-3</v>
      </c>
      <c r="O30" s="100">
        <v>1.53384027089564E-2</v>
      </c>
      <c r="P30" s="100">
        <v>1.132825985286E-2</v>
      </c>
      <c r="Q30" s="100">
        <v>3.0080462536847399E-2</v>
      </c>
      <c r="R30" s="100">
        <v>2.3721344011541801E-2</v>
      </c>
      <c r="S30" s="100">
        <v>2.2884144796094501E-2</v>
      </c>
      <c r="T30" s="100">
        <v>6.67462408818352E-2</v>
      </c>
      <c r="U30" s="100">
        <v>5.4884076851506097E-3</v>
      </c>
      <c r="V30" s="100">
        <v>1.28233760755639E-2</v>
      </c>
      <c r="W30" s="100">
        <v>1.9143143960503099E-2</v>
      </c>
      <c r="X30" s="100">
        <v>2.0393559359697899E-2</v>
      </c>
      <c r="Y30" s="100">
        <v>5.6139384967591598E-2</v>
      </c>
      <c r="Z30" s="100">
        <v>1.3988139898552901E-2</v>
      </c>
      <c r="AA30" s="100">
        <v>1.14278284825333</v>
      </c>
      <c r="AB30" s="100">
        <v>4.0573550761353702E-2</v>
      </c>
      <c r="AC30" s="100">
        <v>1.0571292530666699E-2</v>
      </c>
      <c r="AD30" s="100">
        <v>8.5028951652388104E-3</v>
      </c>
      <c r="AE30" s="100">
        <v>1.72927259869574E-2</v>
      </c>
      <c r="AF30" s="100">
        <v>1.7029920621118098E-2</v>
      </c>
      <c r="AG30" s="100">
        <v>3.4896825667568201E-2</v>
      </c>
      <c r="AH30" s="100">
        <v>2.5393778924355698E-2</v>
      </c>
      <c r="AI30" s="100">
        <v>7.3428881712587102E-2</v>
      </c>
      <c r="AJ30" s="100">
        <v>4.9389853325765197E-2</v>
      </c>
      <c r="AK30" s="100">
        <v>3.05160770104198E-2</v>
      </c>
      <c r="AL30" s="100">
        <v>4.7553185189142103E-2</v>
      </c>
      <c r="AM30" s="100">
        <v>2.7146264920087902E-2</v>
      </c>
      <c r="AN30" s="100">
        <v>5.1146796927369603E-3</v>
      </c>
      <c r="AO30" s="100">
        <v>1.8795186632892199E-2</v>
      </c>
      <c r="AP30" s="100">
        <v>4.8060696162924202E-2</v>
      </c>
      <c r="AQ30" s="100">
        <v>1.33875194690053E-2</v>
      </c>
      <c r="AR30" s="100">
        <v>2.9900519140355301E-2</v>
      </c>
      <c r="AS30" s="100">
        <v>5.5878330770799799E-3</v>
      </c>
      <c r="AT30" s="100">
        <v>3.2963621930535501E-2</v>
      </c>
      <c r="AU30" s="100">
        <v>6.1413708067948099E-3</v>
      </c>
      <c r="AV30" s="100">
        <v>7.9644620127683492E-3</v>
      </c>
      <c r="AW30" s="100">
        <v>1.7248947284032801E-2</v>
      </c>
      <c r="AX30" s="100">
        <v>8.8971702975177997E-3</v>
      </c>
      <c r="AY30" s="100">
        <v>4.5018636753550402E-3</v>
      </c>
      <c r="AZ30" s="100">
        <v>4.32010826794105E-3</v>
      </c>
      <c r="BA30" s="100">
        <v>2.73592767547076E-3</v>
      </c>
      <c r="BB30" s="100">
        <v>1.8038147561080099E-3</v>
      </c>
      <c r="BC30" s="100">
        <v>9.2553092128006703E-4</v>
      </c>
      <c r="BD30" s="100">
        <v>4.6313961737264996E-3</v>
      </c>
      <c r="BE30" s="100">
        <v>4.1924241386392799E-3</v>
      </c>
      <c r="BF30" s="100">
        <v>5.2932300192112701E-3</v>
      </c>
      <c r="BG30" s="100">
        <v>1.10706164232439E-2</v>
      </c>
      <c r="BH30" s="100">
        <v>6.3306642249158496E-3</v>
      </c>
      <c r="BI30" s="100">
        <v>1.6610096866965401E-3</v>
      </c>
      <c r="BJ30" s="100">
        <v>2.9998509230253802E-3</v>
      </c>
      <c r="BK30" s="100">
        <v>2.6031589457369501E-3</v>
      </c>
      <c r="BL30" s="100">
        <v>3.1725564401456799E-3</v>
      </c>
      <c r="BM30" s="100">
        <v>1.0210369558633799E-2</v>
      </c>
      <c r="BN30" s="100">
        <v>6.3521066828492101E-3</v>
      </c>
      <c r="BO30" s="100">
        <v>5.0985988516511604E-3</v>
      </c>
      <c r="BP30" s="100">
        <v>7.2651533797265903E-3</v>
      </c>
      <c r="BQ30" s="101">
        <v>0</v>
      </c>
    </row>
    <row r="31" spans="1:69" ht="15" customHeight="1" x14ac:dyDescent="0.3">
      <c r="A31" s="33" t="s">
        <v>49</v>
      </c>
      <c r="B31" s="11" t="s">
        <v>117</v>
      </c>
      <c r="C31" s="99">
        <v>7.4562443154152797E-3</v>
      </c>
      <c r="D31" s="100">
        <v>1.3022224489504E-2</v>
      </c>
      <c r="E31" s="100">
        <v>2.8112749636730501E-3</v>
      </c>
      <c r="F31" s="100">
        <v>6.4088012220329003E-3</v>
      </c>
      <c r="G31" s="100">
        <v>1.77887050187493E-3</v>
      </c>
      <c r="H31" s="100">
        <v>3.22632936582725E-3</v>
      </c>
      <c r="I31" s="100">
        <v>3.2645215950948799E-3</v>
      </c>
      <c r="J31" s="100">
        <v>7.1319886888849202E-3</v>
      </c>
      <c r="K31" s="100">
        <v>6.8587640981316901E-3</v>
      </c>
      <c r="L31" s="100">
        <v>1.01250032468063E-2</v>
      </c>
      <c r="M31" s="100">
        <v>3.8676523629171698E-2</v>
      </c>
      <c r="N31" s="100">
        <v>4.5269866213976098E-3</v>
      </c>
      <c r="O31" s="100">
        <v>3.59348931512258E-3</v>
      </c>
      <c r="P31" s="100">
        <v>3.3279093163543598E-3</v>
      </c>
      <c r="Q31" s="100">
        <v>2.5990831912162302E-3</v>
      </c>
      <c r="R31" s="100">
        <v>2.7467975243994202E-3</v>
      </c>
      <c r="S31" s="100">
        <v>5.7518580429610803E-3</v>
      </c>
      <c r="T31" s="100">
        <v>3.1117463551065799E-3</v>
      </c>
      <c r="U31" s="100">
        <v>1.6637709199887501E-3</v>
      </c>
      <c r="V31" s="100">
        <v>5.2070542709486004E-3</v>
      </c>
      <c r="W31" s="100">
        <v>6.1918843652970798E-3</v>
      </c>
      <c r="X31" s="100">
        <v>5.4125291201424898E-3</v>
      </c>
      <c r="Y31" s="100">
        <v>1.20862634025429E-2</v>
      </c>
      <c r="Z31" s="100">
        <v>2.3752199038836199E-3</v>
      </c>
      <c r="AA31" s="100">
        <v>6.9633249770184097E-3</v>
      </c>
      <c r="AB31" s="100">
        <v>1.1133578021627599</v>
      </c>
      <c r="AC31" s="100">
        <v>4.0629454859370502E-3</v>
      </c>
      <c r="AD31" s="100">
        <v>5.7210833262180101E-3</v>
      </c>
      <c r="AE31" s="100">
        <v>3.8972618218108901E-3</v>
      </c>
      <c r="AF31" s="100">
        <v>1.0937050390720201E-3</v>
      </c>
      <c r="AG31" s="100">
        <v>6.9700738638462396E-3</v>
      </c>
      <c r="AH31" s="100">
        <v>3.7949698320063098E-3</v>
      </c>
      <c r="AI31" s="100">
        <v>1.5911478164625199E-2</v>
      </c>
      <c r="AJ31" s="100">
        <v>4.3289630048643597E-3</v>
      </c>
      <c r="AK31" s="100">
        <v>5.6385225345751402E-3</v>
      </c>
      <c r="AL31" s="100">
        <v>9.8241376457181995E-3</v>
      </c>
      <c r="AM31" s="100">
        <v>4.6222265516353998E-3</v>
      </c>
      <c r="AN31" s="100">
        <v>8.5876651309349204E-3</v>
      </c>
      <c r="AO31" s="100">
        <v>2.3892783923480401E-2</v>
      </c>
      <c r="AP31" s="100">
        <v>0.11810659501022699</v>
      </c>
      <c r="AQ31" s="100">
        <v>1.92773295021822E-3</v>
      </c>
      <c r="AR31" s="100">
        <v>1.5003600433635099E-3</v>
      </c>
      <c r="AS31" s="100">
        <v>1.15475650266548E-3</v>
      </c>
      <c r="AT31" s="100">
        <v>1.54387789748177E-3</v>
      </c>
      <c r="AU31" s="100">
        <v>2.63375737286885E-3</v>
      </c>
      <c r="AV31" s="100">
        <v>1.46660142095175E-2</v>
      </c>
      <c r="AW31" s="100">
        <v>1.0102856912727101E-2</v>
      </c>
      <c r="AX31" s="100">
        <v>1.5748726479492101E-3</v>
      </c>
      <c r="AY31" s="100">
        <v>2.0935029021521999E-3</v>
      </c>
      <c r="AZ31" s="100">
        <v>3.9082459262800304E-3</v>
      </c>
      <c r="BA31" s="100">
        <v>1.42866801943454E-3</v>
      </c>
      <c r="BB31" s="100">
        <v>8.4045475122801504E-4</v>
      </c>
      <c r="BC31" s="100">
        <v>3.7509201797814701E-3</v>
      </c>
      <c r="BD31" s="100">
        <v>1.0886354153009899E-3</v>
      </c>
      <c r="BE31" s="100">
        <v>2.3725415784128E-3</v>
      </c>
      <c r="BF31" s="100">
        <v>1.4544689335124401E-3</v>
      </c>
      <c r="BG31" s="100">
        <v>1.34888721858307E-3</v>
      </c>
      <c r="BH31" s="100">
        <v>2.9621239233874998E-3</v>
      </c>
      <c r="BI31" s="100">
        <v>5.5559958605610896E-4</v>
      </c>
      <c r="BJ31" s="100">
        <v>3.27299891728251E-3</v>
      </c>
      <c r="BK31" s="100">
        <v>1.59055698333866E-3</v>
      </c>
      <c r="BL31" s="100">
        <v>1.6555431279464299E-3</v>
      </c>
      <c r="BM31" s="100">
        <v>4.8663988605658704E-3</v>
      </c>
      <c r="BN31" s="100">
        <v>1.88765270580184E-3</v>
      </c>
      <c r="BO31" s="100">
        <v>2.7859157107306201E-3</v>
      </c>
      <c r="BP31" s="100">
        <v>4.8933920426047096E-3</v>
      </c>
      <c r="BQ31" s="101">
        <v>0</v>
      </c>
    </row>
    <row r="32" spans="1:69" ht="15" customHeight="1" x14ac:dyDescent="0.3">
      <c r="A32" s="33" t="s">
        <v>50</v>
      </c>
      <c r="B32" s="11" t="s">
        <v>118</v>
      </c>
      <c r="C32" s="99">
        <v>4.9510922414970999E-3</v>
      </c>
      <c r="D32" s="100">
        <v>8.7776597397349904E-3</v>
      </c>
      <c r="E32" s="100">
        <v>3.9832669511732999E-3</v>
      </c>
      <c r="F32" s="100">
        <v>2.0356976292625999E-2</v>
      </c>
      <c r="G32" s="100">
        <v>7.8700083942842294E-2</v>
      </c>
      <c r="H32" s="100">
        <v>1.48359171397107E-2</v>
      </c>
      <c r="I32" s="100">
        <v>2.4390256184189801E-2</v>
      </c>
      <c r="J32" s="100">
        <v>1.50078119187866E-2</v>
      </c>
      <c r="K32" s="100">
        <v>7.7815116503880096E-3</v>
      </c>
      <c r="L32" s="100">
        <v>1.16242456133244E-2</v>
      </c>
      <c r="M32" s="100">
        <v>4.0119714511680601E-2</v>
      </c>
      <c r="N32" s="100">
        <v>6.1197300809508496E-3</v>
      </c>
      <c r="O32" s="100">
        <v>6.3140325107092499E-3</v>
      </c>
      <c r="P32" s="100">
        <v>5.3801146399230504E-3</v>
      </c>
      <c r="Q32" s="100">
        <v>6.5183551901491898E-3</v>
      </c>
      <c r="R32" s="100">
        <v>1.37728234870631E-2</v>
      </c>
      <c r="S32" s="100">
        <v>1.4511431227478199E-2</v>
      </c>
      <c r="T32" s="100">
        <v>1.1245961461475201E-2</v>
      </c>
      <c r="U32" s="100">
        <v>2.9044002059758101E-2</v>
      </c>
      <c r="V32" s="100">
        <v>7.9996276949664304E-3</v>
      </c>
      <c r="W32" s="100">
        <v>8.8712933207132603E-3</v>
      </c>
      <c r="X32" s="100">
        <v>1.2833468748812299E-2</v>
      </c>
      <c r="Y32" s="100">
        <v>1.92478623185274E-2</v>
      </c>
      <c r="Z32" s="100">
        <v>5.2493215532536403E-3</v>
      </c>
      <c r="AA32" s="100">
        <v>2.3350395174321501E-2</v>
      </c>
      <c r="AB32" s="100">
        <v>2.83886272494644E-2</v>
      </c>
      <c r="AC32" s="100">
        <v>1.12169216526594</v>
      </c>
      <c r="AD32" s="100">
        <v>3.53424175282155E-2</v>
      </c>
      <c r="AE32" s="100">
        <v>0.31920419349731899</v>
      </c>
      <c r="AF32" s="100">
        <v>1.03135482730557E-2</v>
      </c>
      <c r="AG32" s="100">
        <v>8.6065466224661796E-2</v>
      </c>
      <c r="AH32" s="100">
        <v>0.14316674391293099</v>
      </c>
      <c r="AI32" s="100">
        <v>0.11156743136484</v>
      </c>
      <c r="AJ32" s="100">
        <v>0.173042186056798</v>
      </c>
      <c r="AK32" s="100">
        <v>5.8286326484470297E-2</v>
      </c>
      <c r="AL32" s="100">
        <v>4.4501252184630101E-2</v>
      </c>
      <c r="AM32" s="100">
        <v>5.9882753897129201E-2</v>
      </c>
      <c r="AN32" s="100">
        <v>1.28433993377469E-2</v>
      </c>
      <c r="AO32" s="100">
        <v>1.46122191744686E-2</v>
      </c>
      <c r="AP32" s="100">
        <v>6.6531966303674098E-2</v>
      </c>
      <c r="AQ32" s="100">
        <v>9.4281129649310298E-3</v>
      </c>
      <c r="AR32" s="100">
        <v>1.6311096378307601E-2</v>
      </c>
      <c r="AS32" s="100">
        <v>7.9458098059136603E-3</v>
      </c>
      <c r="AT32" s="100">
        <v>8.5929363033304604E-3</v>
      </c>
      <c r="AU32" s="100">
        <v>5.6975918362889202E-3</v>
      </c>
      <c r="AV32" s="100">
        <v>6.57669562704779E-3</v>
      </c>
      <c r="AW32" s="100">
        <v>9.7938124418975696E-3</v>
      </c>
      <c r="AX32" s="100">
        <v>5.2465566714521104E-3</v>
      </c>
      <c r="AY32" s="100">
        <v>3.7424457352155101E-3</v>
      </c>
      <c r="AZ32" s="100">
        <v>4.78065179333057E-3</v>
      </c>
      <c r="BA32" s="100">
        <v>2.8463518738702401E-3</v>
      </c>
      <c r="BB32" s="100">
        <v>1.3405620798938201E-3</v>
      </c>
      <c r="BC32" s="100">
        <v>7.5856413239751405E-4</v>
      </c>
      <c r="BD32" s="100">
        <v>2.25237322441066E-3</v>
      </c>
      <c r="BE32" s="100">
        <v>4.1759501440408299E-3</v>
      </c>
      <c r="BF32" s="100">
        <v>3.2327792200194001E-3</v>
      </c>
      <c r="BG32" s="100">
        <v>1.11848037177364E-2</v>
      </c>
      <c r="BH32" s="100">
        <v>4.6545623978149903E-3</v>
      </c>
      <c r="BI32" s="100">
        <v>3.0429720921850601E-3</v>
      </c>
      <c r="BJ32" s="100">
        <v>3.77059499081495E-3</v>
      </c>
      <c r="BK32" s="100">
        <v>1.81149933461236E-3</v>
      </c>
      <c r="BL32" s="100">
        <v>2.6962515817685298E-3</v>
      </c>
      <c r="BM32" s="100">
        <v>5.4437424086402203E-3</v>
      </c>
      <c r="BN32" s="100">
        <v>3.60939028843379E-3</v>
      </c>
      <c r="BO32" s="100">
        <v>5.42300483025042E-3</v>
      </c>
      <c r="BP32" s="100">
        <v>4.8899159389159301E-3</v>
      </c>
      <c r="BQ32" s="101">
        <v>0</v>
      </c>
    </row>
    <row r="33" spans="1:69" ht="15" customHeight="1" x14ac:dyDescent="0.3">
      <c r="A33" s="33" t="s">
        <v>51</v>
      </c>
      <c r="B33" s="11" t="s">
        <v>119</v>
      </c>
      <c r="C33" s="99">
        <v>2.5480216116128499E-3</v>
      </c>
      <c r="D33" s="100">
        <v>2.2415897170859202E-3</v>
      </c>
      <c r="E33" s="100">
        <v>9.2556379347581003E-4</v>
      </c>
      <c r="F33" s="100">
        <v>3.4081940356058401E-3</v>
      </c>
      <c r="G33" s="100">
        <v>3.2142491056048601E-3</v>
      </c>
      <c r="H33" s="100">
        <v>2.6245522493058399E-3</v>
      </c>
      <c r="I33" s="100">
        <v>9.1856961930823506E-3</v>
      </c>
      <c r="J33" s="100">
        <v>4.2688820137574603E-3</v>
      </c>
      <c r="K33" s="100">
        <v>2.62452523539992E-3</v>
      </c>
      <c r="L33" s="100">
        <v>4.5755697068056598E-3</v>
      </c>
      <c r="M33" s="100">
        <v>6.4013862462426203E-3</v>
      </c>
      <c r="N33" s="100">
        <v>2.5778732610204501E-3</v>
      </c>
      <c r="O33" s="100">
        <v>2.6316175125926E-3</v>
      </c>
      <c r="P33" s="100">
        <v>2.16982948655983E-3</v>
      </c>
      <c r="Q33" s="100">
        <v>2.4704053298808901E-3</v>
      </c>
      <c r="R33" s="100">
        <v>3.5688779917874402E-3</v>
      </c>
      <c r="S33" s="100">
        <v>8.54721603083353E-3</v>
      </c>
      <c r="T33" s="100">
        <v>1.9865066646456899E-2</v>
      </c>
      <c r="U33" s="100">
        <v>1.8922715030628299E-3</v>
      </c>
      <c r="V33" s="100">
        <v>2.85906932510221E-3</v>
      </c>
      <c r="W33" s="100">
        <v>8.5885922854249293E-3</v>
      </c>
      <c r="X33" s="100">
        <v>7.4350853359280503E-3</v>
      </c>
      <c r="Y33" s="100">
        <v>5.2944599568560896E-3</v>
      </c>
      <c r="Z33" s="100">
        <v>1.9746336853451898E-3</v>
      </c>
      <c r="AA33" s="100">
        <v>4.7283020714674901E-3</v>
      </c>
      <c r="AB33" s="100">
        <v>5.4624598906374304E-3</v>
      </c>
      <c r="AC33" s="100">
        <v>1.41508242612697E-2</v>
      </c>
      <c r="AD33" s="100">
        <v>1.1657044810932</v>
      </c>
      <c r="AE33" s="100">
        <v>2.8747896477715501E-2</v>
      </c>
      <c r="AF33" s="100">
        <v>4.7285982977396399E-3</v>
      </c>
      <c r="AG33" s="100">
        <v>8.6656538683782605E-2</v>
      </c>
      <c r="AH33" s="100">
        <v>2.3471458407783599E-2</v>
      </c>
      <c r="AI33" s="100">
        <v>2.1577465364048799E-2</v>
      </c>
      <c r="AJ33" s="100">
        <v>5.52338355148419E-2</v>
      </c>
      <c r="AK33" s="100">
        <v>2.7090984253982899E-2</v>
      </c>
      <c r="AL33" s="100">
        <v>3.1676197973537698E-2</v>
      </c>
      <c r="AM33" s="100">
        <v>2.641929908803E-2</v>
      </c>
      <c r="AN33" s="100">
        <v>3.4915545076955202E-3</v>
      </c>
      <c r="AO33" s="100">
        <v>4.33593621745809E-3</v>
      </c>
      <c r="AP33" s="100">
        <v>9.6271693021644008E-3</v>
      </c>
      <c r="AQ33" s="100">
        <v>3.0602783558260601E-3</v>
      </c>
      <c r="AR33" s="100">
        <v>3.6434005288038399E-3</v>
      </c>
      <c r="AS33" s="100">
        <v>2.0466312703822198E-3</v>
      </c>
      <c r="AT33" s="100">
        <v>1.34233287470088E-3</v>
      </c>
      <c r="AU33" s="100">
        <v>1.91705705577922E-3</v>
      </c>
      <c r="AV33" s="100">
        <v>2.2028730679000798E-3</v>
      </c>
      <c r="AW33" s="100">
        <v>2.4585902459489601E-3</v>
      </c>
      <c r="AX33" s="100">
        <v>2.9943724691961098E-3</v>
      </c>
      <c r="AY33" s="100">
        <v>1.6323018839922601E-3</v>
      </c>
      <c r="AZ33" s="100">
        <v>1.91591123533634E-3</v>
      </c>
      <c r="BA33" s="100">
        <v>1.04974284718171E-3</v>
      </c>
      <c r="BB33" s="100">
        <v>5.9437500718124297E-4</v>
      </c>
      <c r="BC33" s="100">
        <v>3.0893122772194398E-4</v>
      </c>
      <c r="BD33" s="100">
        <v>1.16625455393462E-3</v>
      </c>
      <c r="BE33" s="100">
        <v>1.3535482834751899E-3</v>
      </c>
      <c r="BF33" s="100">
        <v>1.7997491356430599E-3</v>
      </c>
      <c r="BG33" s="100">
        <v>1.83571367813784E-3</v>
      </c>
      <c r="BH33" s="100">
        <v>1.6389704830409801E-3</v>
      </c>
      <c r="BI33" s="100">
        <v>7.9846581768630998E-4</v>
      </c>
      <c r="BJ33" s="100">
        <v>8.84242463995063E-4</v>
      </c>
      <c r="BK33" s="100">
        <v>5.6829817725880698E-4</v>
      </c>
      <c r="BL33" s="100">
        <v>1.3131598817275199E-3</v>
      </c>
      <c r="BM33" s="100">
        <v>1.84447502205711E-3</v>
      </c>
      <c r="BN33" s="100">
        <v>2.0299451564616999E-3</v>
      </c>
      <c r="BO33" s="100">
        <v>3.2149792898247698E-3</v>
      </c>
      <c r="BP33" s="100">
        <v>2.1441753519883598E-3</v>
      </c>
      <c r="BQ33" s="101">
        <v>0</v>
      </c>
    </row>
    <row r="34" spans="1:69" ht="15" customHeight="1" x14ac:dyDescent="0.3">
      <c r="A34" s="33" t="s">
        <v>52</v>
      </c>
      <c r="B34" s="11" t="s">
        <v>120</v>
      </c>
      <c r="C34" s="99">
        <v>4.6391394345289098E-3</v>
      </c>
      <c r="D34" s="100">
        <v>8.2552639258770405E-3</v>
      </c>
      <c r="E34" s="100">
        <v>3.7044562271979099E-3</v>
      </c>
      <c r="F34" s="100">
        <v>1.20753483972667E-2</v>
      </c>
      <c r="G34" s="100">
        <v>1.59637636941014E-2</v>
      </c>
      <c r="H34" s="100">
        <v>1.9281264527790901E-2</v>
      </c>
      <c r="I34" s="100">
        <v>2.4380036892038801E-2</v>
      </c>
      <c r="J34" s="100">
        <v>2.2518286235223402E-2</v>
      </c>
      <c r="K34" s="100">
        <v>7.7518173443839201E-3</v>
      </c>
      <c r="L34" s="100">
        <v>1.7098236023802699E-2</v>
      </c>
      <c r="M34" s="100">
        <v>9.7459771884375906E-2</v>
      </c>
      <c r="N34" s="100">
        <v>6.6481886730084096E-3</v>
      </c>
      <c r="O34" s="100">
        <v>6.1600241053055603E-3</v>
      </c>
      <c r="P34" s="100">
        <v>5.5018238842256704E-3</v>
      </c>
      <c r="Q34" s="100">
        <v>6.6089854446530301E-3</v>
      </c>
      <c r="R34" s="100">
        <v>2.33099754058676E-2</v>
      </c>
      <c r="S34" s="100">
        <v>9.3931601115254705E-3</v>
      </c>
      <c r="T34" s="100">
        <v>1.0166267989341801E-2</v>
      </c>
      <c r="U34" s="100">
        <v>9.2064805580667607E-3</v>
      </c>
      <c r="V34" s="100">
        <v>8.5625521113904205E-3</v>
      </c>
      <c r="W34" s="100">
        <v>9.0130601882235598E-3</v>
      </c>
      <c r="X34" s="100">
        <v>2.29946751446575E-2</v>
      </c>
      <c r="Y34" s="100">
        <v>3.78661185262925E-2</v>
      </c>
      <c r="Z34" s="100">
        <v>6.28089768294919E-3</v>
      </c>
      <c r="AA34" s="100">
        <v>9.11359691070018E-3</v>
      </c>
      <c r="AB34" s="100">
        <v>1.0285321502532E-2</v>
      </c>
      <c r="AC34" s="100">
        <v>2.9330974159331599E-2</v>
      </c>
      <c r="AD34" s="100">
        <v>1.4140601754539701E-2</v>
      </c>
      <c r="AE34" s="100">
        <v>1.1092550149902201</v>
      </c>
      <c r="AF34" s="100">
        <v>1.6515111034398001E-2</v>
      </c>
      <c r="AG34" s="100">
        <v>5.18795477044574E-2</v>
      </c>
      <c r="AH34" s="100">
        <v>6.9636785271442098E-2</v>
      </c>
      <c r="AI34" s="100">
        <v>4.9975931656483903E-2</v>
      </c>
      <c r="AJ34" s="100">
        <v>4.79157956478172E-2</v>
      </c>
      <c r="AK34" s="100">
        <v>6.1555164266547002E-2</v>
      </c>
      <c r="AL34" s="100">
        <v>2.8881802155273299E-2</v>
      </c>
      <c r="AM34" s="100">
        <v>6.0278955765152201E-2</v>
      </c>
      <c r="AN34" s="100">
        <v>1.46323360723017E-2</v>
      </c>
      <c r="AO34" s="100">
        <v>1.6094438282720201E-2</v>
      </c>
      <c r="AP34" s="100">
        <v>5.61856476578756E-2</v>
      </c>
      <c r="AQ34" s="100">
        <v>5.3571793698732103E-3</v>
      </c>
      <c r="AR34" s="100">
        <v>6.25095878178571E-3</v>
      </c>
      <c r="AS34" s="100">
        <v>4.7323471338468004E-3</v>
      </c>
      <c r="AT34" s="100">
        <v>4.1039343682107796E-3</v>
      </c>
      <c r="AU34" s="100">
        <v>4.2511373365131996E-3</v>
      </c>
      <c r="AV34" s="100">
        <v>8.6570019445004701E-3</v>
      </c>
      <c r="AW34" s="100">
        <v>1.7669162167228299E-2</v>
      </c>
      <c r="AX34" s="100">
        <v>4.2688869063028803E-3</v>
      </c>
      <c r="AY34" s="100">
        <v>3.58284555698417E-3</v>
      </c>
      <c r="AZ34" s="100">
        <v>4.0197908672941901E-3</v>
      </c>
      <c r="BA34" s="100">
        <v>2.2193223076962701E-3</v>
      </c>
      <c r="BB34" s="100">
        <v>1.1600717812973299E-3</v>
      </c>
      <c r="BC34" s="100">
        <v>9.3384483764697595E-4</v>
      </c>
      <c r="BD34" s="100">
        <v>1.82357446409346E-3</v>
      </c>
      <c r="BE34" s="100">
        <v>3.0846150656582299E-3</v>
      </c>
      <c r="BF34" s="100">
        <v>2.7143877247200201E-3</v>
      </c>
      <c r="BG34" s="100">
        <v>3.4534300355273202E-3</v>
      </c>
      <c r="BH34" s="100">
        <v>4.7744579067613901E-3</v>
      </c>
      <c r="BI34" s="100">
        <v>5.0444744908185596E-3</v>
      </c>
      <c r="BJ34" s="100">
        <v>3.8028771033922202E-3</v>
      </c>
      <c r="BK34" s="100">
        <v>1.62595359175394E-3</v>
      </c>
      <c r="BL34" s="100">
        <v>2.1727720591422899E-3</v>
      </c>
      <c r="BM34" s="100">
        <v>5.4230627878491698E-3</v>
      </c>
      <c r="BN34" s="100">
        <v>3.10575372906137E-3</v>
      </c>
      <c r="BO34" s="100">
        <v>4.5258433488601498E-3</v>
      </c>
      <c r="BP34" s="100">
        <v>5.1769888515111103E-3</v>
      </c>
      <c r="BQ34" s="101">
        <v>0</v>
      </c>
    </row>
    <row r="35" spans="1:69" ht="15" customHeight="1" x14ac:dyDescent="0.3">
      <c r="A35" s="33" t="s">
        <v>53</v>
      </c>
      <c r="B35" s="11" t="s">
        <v>121</v>
      </c>
      <c r="C35" s="99">
        <v>5.4200763621302199E-4</v>
      </c>
      <c r="D35" s="100">
        <v>6.8915830874304398E-4</v>
      </c>
      <c r="E35" s="100">
        <v>3.8473208525631502E-4</v>
      </c>
      <c r="F35" s="100">
        <v>2.0331817815162499E-3</v>
      </c>
      <c r="G35" s="100">
        <v>2.3569302549846598E-3</v>
      </c>
      <c r="H35" s="100">
        <v>2.18229656868924E-3</v>
      </c>
      <c r="I35" s="100">
        <v>2.4830106750321698E-3</v>
      </c>
      <c r="J35" s="100">
        <v>1.33260332345118E-3</v>
      </c>
      <c r="K35" s="100">
        <v>1.19364242873455E-3</v>
      </c>
      <c r="L35" s="100">
        <v>1.2434916493462699E-3</v>
      </c>
      <c r="M35" s="100">
        <v>1.92578081769809E-3</v>
      </c>
      <c r="N35" s="100">
        <v>1.3590360258777601E-3</v>
      </c>
      <c r="O35" s="100">
        <v>1.0047785532694799E-3</v>
      </c>
      <c r="P35" s="100">
        <v>1.0784149401259599E-3</v>
      </c>
      <c r="Q35" s="100">
        <v>1.20397812100395E-3</v>
      </c>
      <c r="R35" s="100">
        <v>1.56253378026962E-3</v>
      </c>
      <c r="S35" s="100">
        <v>1.87927974675863E-3</v>
      </c>
      <c r="T35" s="100">
        <v>1.9878950130432099E-2</v>
      </c>
      <c r="U35" s="100">
        <v>1.1596065634211399E-3</v>
      </c>
      <c r="V35" s="100">
        <v>1.16098433310958E-3</v>
      </c>
      <c r="W35" s="100">
        <v>1.0449232621604599E-3</v>
      </c>
      <c r="X35" s="100">
        <v>1.3527131807923201E-3</v>
      </c>
      <c r="Y35" s="100">
        <v>1.59099038093718E-3</v>
      </c>
      <c r="Z35" s="100">
        <v>1.32499438145374E-3</v>
      </c>
      <c r="AA35" s="100">
        <v>1.56247036102469E-3</v>
      </c>
      <c r="AB35" s="100">
        <v>1.7112497946023999E-3</v>
      </c>
      <c r="AC35" s="100">
        <v>1.7406528764089099E-3</v>
      </c>
      <c r="AD35" s="100">
        <v>1.6359870061845401E-3</v>
      </c>
      <c r="AE35" s="100">
        <v>1.46541742601658E-3</v>
      </c>
      <c r="AF35" s="100">
        <v>1.1125748336027299</v>
      </c>
      <c r="AG35" s="100">
        <v>9.1567427130054592E-3</v>
      </c>
      <c r="AH35" s="100">
        <v>8.5208511209353896E-3</v>
      </c>
      <c r="AI35" s="100">
        <v>3.34230053234244E-3</v>
      </c>
      <c r="AJ35" s="100">
        <v>4.0153894613244104E-3</v>
      </c>
      <c r="AK35" s="100">
        <v>2.30848281518072E-3</v>
      </c>
      <c r="AL35" s="100">
        <v>2.0943841688459402E-3</v>
      </c>
      <c r="AM35" s="100">
        <v>1.24917238475197E-2</v>
      </c>
      <c r="AN35" s="100">
        <v>2.1669967623391198E-3</v>
      </c>
      <c r="AO35" s="100">
        <v>1.38396391841299E-3</v>
      </c>
      <c r="AP35" s="100">
        <v>2.4571452929489199E-3</v>
      </c>
      <c r="AQ35" s="100">
        <v>1.5062479779663E-3</v>
      </c>
      <c r="AR35" s="100">
        <v>1.28799815084046E-3</v>
      </c>
      <c r="AS35" s="100">
        <v>1.6549414605675501E-3</v>
      </c>
      <c r="AT35" s="100">
        <v>1.6282843414940601E-3</v>
      </c>
      <c r="AU35" s="100">
        <v>3.35717769051075E-3</v>
      </c>
      <c r="AV35" s="100">
        <v>1.1067765626374801E-3</v>
      </c>
      <c r="AW35" s="100">
        <v>9.3552641752810096E-4</v>
      </c>
      <c r="AX35" s="100">
        <v>2.9446794137946101E-3</v>
      </c>
      <c r="AY35" s="100">
        <v>7.5143523134283997E-3</v>
      </c>
      <c r="AZ35" s="100">
        <v>3.2077024930173099E-3</v>
      </c>
      <c r="BA35" s="100">
        <v>1.5586818322804299E-2</v>
      </c>
      <c r="BB35" s="100">
        <v>1.8189651747549901E-3</v>
      </c>
      <c r="BC35" s="100">
        <v>1.8286455090076099E-4</v>
      </c>
      <c r="BD35" s="100">
        <v>2.1563287296370299E-3</v>
      </c>
      <c r="BE35" s="100">
        <v>1.20283111934812E-2</v>
      </c>
      <c r="BF35" s="100">
        <v>5.8740086717691603E-3</v>
      </c>
      <c r="BG35" s="100">
        <v>1.81170591864269E-3</v>
      </c>
      <c r="BH35" s="100">
        <v>5.4541171032079401E-3</v>
      </c>
      <c r="BI35" s="100">
        <v>2.4148885702217401E-3</v>
      </c>
      <c r="BJ35" s="100">
        <v>1.6008633658947499E-3</v>
      </c>
      <c r="BK35" s="100">
        <v>1.7483033690682301E-3</v>
      </c>
      <c r="BL35" s="100">
        <v>1.91997653793457E-3</v>
      </c>
      <c r="BM35" s="100">
        <v>1.9930120689068001E-3</v>
      </c>
      <c r="BN35" s="100">
        <v>1.2108406594321E-3</v>
      </c>
      <c r="BO35" s="100">
        <v>2.3099757682927698E-3</v>
      </c>
      <c r="BP35" s="100">
        <v>4.5534307753464804E-3</v>
      </c>
      <c r="BQ35" s="101">
        <v>0</v>
      </c>
    </row>
    <row r="36" spans="1:69" ht="15" customHeight="1" x14ac:dyDescent="0.3">
      <c r="A36" s="33" t="s">
        <v>54</v>
      </c>
      <c r="B36" s="11" t="s">
        <v>122</v>
      </c>
      <c r="C36" s="99">
        <v>1.6693532793405699E-3</v>
      </c>
      <c r="D36" s="100">
        <v>2.5818231165345702E-3</v>
      </c>
      <c r="E36" s="100">
        <v>1.28334686239171E-3</v>
      </c>
      <c r="F36" s="100">
        <v>5.8940825139652204E-3</v>
      </c>
      <c r="G36" s="100">
        <v>4.0785021413276704E-3</v>
      </c>
      <c r="H36" s="100">
        <v>3.8805828805722302E-3</v>
      </c>
      <c r="I36" s="100">
        <v>5.37258201555921E-3</v>
      </c>
      <c r="J36" s="100">
        <v>3.3394480034658999E-3</v>
      </c>
      <c r="K36" s="100">
        <v>3.2496999181439602E-3</v>
      </c>
      <c r="L36" s="100">
        <v>3.0782514005761102E-3</v>
      </c>
      <c r="M36" s="100">
        <v>4.4953132224965003E-3</v>
      </c>
      <c r="N36" s="100">
        <v>2.4805974465831001E-3</v>
      </c>
      <c r="O36" s="100">
        <v>3.4971309904070899E-3</v>
      </c>
      <c r="P36" s="100">
        <v>2.2546814330347302E-3</v>
      </c>
      <c r="Q36" s="100">
        <v>2.5692952910953801E-3</v>
      </c>
      <c r="R36" s="100">
        <v>5.27374113950509E-3</v>
      </c>
      <c r="S36" s="100">
        <v>5.2896740542635202E-3</v>
      </c>
      <c r="T36" s="100">
        <v>6.1210460045316899E-3</v>
      </c>
      <c r="U36" s="100">
        <v>2.2815962098010601E-3</v>
      </c>
      <c r="V36" s="100">
        <v>3.0920359579453098E-3</v>
      </c>
      <c r="W36" s="100">
        <v>3.53174310213381E-3</v>
      </c>
      <c r="X36" s="100">
        <v>2.9620566715225899E-3</v>
      </c>
      <c r="Y36" s="100">
        <v>3.5228213309521001E-3</v>
      </c>
      <c r="Z36" s="100">
        <v>2.17188453166653E-3</v>
      </c>
      <c r="AA36" s="100">
        <v>4.2098498833044303E-3</v>
      </c>
      <c r="AB36" s="100">
        <v>6.7886306934880703E-3</v>
      </c>
      <c r="AC36" s="100">
        <v>4.9627013998144896E-3</v>
      </c>
      <c r="AD36" s="100">
        <v>7.5667687733995802E-3</v>
      </c>
      <c r="AE36" s="100">
        <v>5.8219672049668499E-3</v>
      </c>
      <c r="AF36" s="100">
        <v>2.28395062815368E-2</v>
      </c>
      <c r="AG36" s="100">
        <v>1.12766852165273</v>
      </c>
      <c r="AH36" s="100">
        <v>3.0720918201587899E-2</v>
      </c>
      <c r="AI36" s="100">
        <v>1.3411867585910399E-2</v>
      </c>
      <c r="AJ36" s="100">
        <v>2.0481756142361699E-2</v>
      </c>
      <c r="AK36" s="100">
        <v>1.1714173628504699E-2</v>
      </c>
      <c r="AL36" s="100">
        <v>7.2350863664734999E-3</v>
      </c>
      <c r="AM36" s="100">
        <v>4.1750694870551601E-2</v>
      </c>
      <c r="AN36" s="100">
        <v>2.8242663902753901E-2</v>
      </c>
      <c r="AO36" s="100">
        <v>8.1102678156495904E-3</v>
      </c>
      <c r="AP36" s="100">
        <v>2.3498340701334799E-2</v>
      </c>
      <c r="AQ36" s="100">
        <v>3.56222225796721E-3</v>
      </c>
      <c r="AR36" s="100">
        <v>6.3176792971385001E-3</v>
      </c>
      <c r="AS36" s="100">
        <v>3.9660506975920497E-3</v>
      </c>
      <c r="AT36" s="100">
        <v>2.0038482135530701E-3</v>
      </c>
      <c r="AU36" s="100">
        <v>3.66633459284992E-3</v>
      </c>
      <c r="AV36" s="100">
        <v>4.7240038969739596E-3</v>
      </c>
      <c r="AW36" s="100">
        <v>2.25994045884174E-3</v>
      </c>
      <c r="AX36" s="100">
        <v>3.2795098043869701E-3</v>
      </c>
      <c r="AY36" s="100">
        <v>4.7653747423162399E-3</v>
      </c>
      <c r="AZ36" s="100">
        <v>1.06410244874526E-2</v>
      </c>
      <c r="BA36" s="100">
        <v>2.0881316556512898E-3</v>
      </c>
      <c r="BB36" s="100">
        <v>1.14005359898719E-3</v>
      </c>
      <c r="BC36" s="100">
        <v>1.10955712423193E-3</v>
      </c>
      <c r="BD36" s="100">
        <v>3.6156291761679999E-3</v>
      </c>
      <c r="BE36" s="100">
        <v>2.7960484060765402E-3</v>
      </c>
      <c r="BF36" s="100">
        <v>2.9593070380709899E-3</v>
      </c>
      <c r="BG36" s="100">
        <v>2.5813239253211998E-3</v>
      </c>
      <c r="BH36" s="100">
        <v>5.5935222472605402E-3</v>
      </c>
      <c r="BI36" s="100">
        <v>1.0944624039648501E-3</v>
      </c>
      <c r="BJ36" s="100">
        <v>1.58065370330242E-3</v>
      </c>
      <c r="BK36" s="100">
        <v>1.0188429742326701E-3</v>
      </c>
      <c r="BL36" s="100">
        <v>1.8940034202539599E-3</v>
      </c>
      <c r="BM36" s="100">
        <v>2.2893134405059701E-3</v>
      </c>
      <c r="BN36" s="100">
        <v>1.38535340599577E-3</v>
      </c>
      <c r="BO36" s="100">
        <v>4.6588398182629796E-3</v>
      </c>
      <c r="BP36" s="100">
        <v>8.0579288141265099E-3</v>
      </c>
      <c r="BQ36" s="101">
        <v>0</v>
      </c>
    </row>
    <row r="37" spans="1:69" ht="15" customHeight="1" x14ac:dyDescent="0.3">
      <c r="A37" s="33" t="s">
        <v>55</v>
      </c>
      <c r="B37" s="11" t="s">
        <v>123</v>
      </c>
      <c r="C37" s="99">
        <v>1.2758295854944301E-3</v>
      </c>
      <c r="D37" s="100">
        <v>1.61940959430105E-3</v>
      </c>
      <c r="E37" s="100">
        <v>1.0994524081541601E-3</v>
      </c>
      <c r="F37" s="100">
        <v>1.20541660199859E-2</v>
      </c>
      <c r="G37" s="100">
        <v>1.9121344666350199E-2</v>
      </c>
      <c r="H37" s="100">
        <v>3.35146796027498E-2</v>
      </c>
      <c r="I37" s="100">
        <v>3.83548815653059E-2</v>
      </c>
      <c r="J37" s="100">
        <v>2.87758299554526E-3</v>
      </c>
      <c r="K37" s="100">
        <v>3.2783085687883599E-3</v>
      </c>
      <c r="L37" s="100">
        <v>2.56087722305099E-3</v>
      </c>
      <c r="M37" s="100">
        <v>5.4697012891018904E-3</v>
      </c>
      <c r="N37" s="100">
        <v>2.0002530202081099E-3</v>
      </c>
      <c r="O37" s="100">
        <v>2.3085618742795001E-3</v>
      </c>
      <c r="P37" s="100">
        <v>1.9387299185608701E-3</v>
      </c>
      <c r="Q37" s="100">
        <v>2.3372402867170902E-3</v>
      </c>
      <c r="R37" s="100">
        <v>6.16705438614397E-3</v>
      </c>
      <c r="S37" s="100">
        <v>5.75790611543784E-3</v>
      </c>
      <c r="T37" s="100">
        <v>9.1243621762035695E-3</v>
      </c>
      <c r="U37" s="100">
        <v>7.41098590125862E-3</v>
      </c>
      <c r="V37" s="100">
        <v>3.2391155992041701E-3</v>
      </c>
      <c r="W37" s="100">
        <v>2.8333273222970901E-3</v>
      </c>
      <c r="X37" s="100">
        <v>3.0159472833683099E-3</v>
      </c>
      <c r="Y37" s="100">
        <v>3.6035153567722101E-3</v>
      </c>
      <c r="Z37" s="100">
        <v>2.2429779475991E-3</v>
      </c>
      <c r="AA37" s="100">
        <v>3.4896881498034898E-3</v>
      </c>
      <c r="AB37" s="100">
        <v>6.0088659728913304E-3</v>
      </c>
      <c r="AC37" s="100">
        <v>1.28999288731327E-2</v>
      </c>
      <c r="AD37" s="100">
        <v>8.1296839096587394E-3</v>
      </c>
      <c r="AE37" s="100">
        <v>8.0671462399543592E-3</v>
      </c>
      <c r="AF37" s="100">
        <v>3.1165283962614901E-3</v>
      </c>
      <c r="AG37" s="100">
        <v>1.24404436310088E-2</v>
      </c>
      <c r="AH37" s="100">
        <v>1.10539433203108</v>
      </c>
      <c r="AI37" s="100">
        <v>1.37592617039669E-2</v>
      </c>
      <c r="AJ37" s="100">
        <v>7.6290116174091999E-3</v>
      </c>
      <c r="AK37" s="100">
        <v>9.5325316278535403E-3</v>
      </c>
      <c r="AL37" s="100">
        <v>4.2683754870404102E-3</v>
      </c>
      <c r="AM37" s="100">
        <v>8.8009551725826599E-2</v>
      </c>
      <c r="AN37" s="100">
        <v>3.56486182607155E-3</v>
      </c>
      <c r="AO37" s="100">
        <v>4.3899569966942397E-3</v>
      </c>
      <c r="AP37" s="100">
        <v>1.0889489402214601E-2</v>
      </c>
      <c r="AQ37" s="100">
        <v>2.4918460573110902E-3</v>
      </c>
      <c r="AR37" s="100">
        <v>3.85605827916347E-3</v>
      </c>
      <c r="AS37" s="100">
        <v>9.52341972052617E-3</v>
      </c>
      <c r="AT37" s="100">
        <v>3.5137640099432901E-3</v>
      </c>
      <c r="AU37" s="100">
        <v>4.5758599085984099E-3</v>
      </c>
      <c r="AV37" s="100">
        <v>1.8843334248192199E-3</v>
      </c>
      <c r="AW37" s="100">
        <v>1.9721850559584202E-3</v>
      </c>
      <c r="AX37" s="100">
        <v>4.5453063420859098E-3</v>
      </c>
      <c r="AY37" s="100">
        <v>1.80762787457147E-3</v>
      </c>
      <c r="AZ37" s="100">
        <v>2.7458020723006701E-3</v>
      </c>
      <c r="BA37" s="100">
        <v>1.9435678848941399E-3</v>
      </c>
      <c r="BB37" s="100">
        <v>7.9023560320619097E-4</v>
      </c>
      <c r="BC37" s="100">
        <v>2.27792270572596E-4</v>
      </c>
      <c r="BD37" s="100">
        <v>1.2009643296461499E-3</v>
      </c>
      <c r="BE37" s="100">
        <v>1.9062611313832799E-3</v>
      </c>
      <c r="BF37" s="100">
        <v>1.74783884538007E-3</v>
      </c>
      <c r="BG37" s="100">
        <v>3.08501941800485E-3</v>
      </c>
      <c r="BH37" s="100">
        <v>7.7583474231714602E-3</v>
      </c>
      <c r="BI37" s="100">
        <v>1.30906595108187E-3</v>
      </c>
      <c r="BJ37" s="100">
        <v>1.2139485220709499E-3</v>
      </c>
      <c r="BK37" s="100">
        <v>7.2336064072286098E-4</v>
      </c>
      <c r="BL37" s="100">
        <v>9.55199034626483E-4</v>
      </c>
      <c r="BM37" s="100">
        <v>3.1331989731964299E-3</v>
      </c>
      <c r="BN37" s="100">
        <v>1.2301630954907701E-3</v>
      </c>
      <c r="BO37" s="100">
        <v>2.81753021354712E-3</v>
      </c>
      <c r="BP37" s="100">
        <v>2.1466422199191201E-3</v>
      </c>
      <c r="BQ37" s="101">
        <v>0</v>
      </c>
    </row>
    <row r="38" spans="1:69" ht="15" customHeight="1" x14ac:dyDescent="0.3">
      <c r="A38" s="33" t="s">
        <v>56</v>
      </c>
      <c r="B38" s="11" t="s">
        <v>124</v>
      </c>
      <c r="C38" s="99">
        <v>2.42903166072901E-4</v>
      </c>
      <c r="D38" s="100">
        <v>3.0822291790923102E-4</v>
      </c>
      <c r="E38" s="100">
        <v>1.70279717311892E-4</v>
      </c>
      <c r="F38" s="100">
        <v>4.8517822955012799E-4</v>
      </c>
      <c r="G38" s="100">
        <v>4.0000859096918199E-4</v>
      </c>
      <c r="H38" s="100">
        <v>4.8721521307673002E-4</v>
      </c>
      <c r="I38" s="100">
        <v>5.5100869069807205E-4</v>
      </c>
      <c r="J38" s="100">
        <v>5.7027802610481397E-4</v>
      </c>
      <c r="K38" s="100">
        <v>2.2873302647643998E-3</v>
      </c>
      <c r="L38" s="100">
        <v>5.6536905356967704E-4</v>
      </c>
      <c r="M38" s="100">
        <v>6.2309515090150597E-4</v>
      </c>
      <c r="N38" s="100">
        <v>4.0103242263294601E-4</v>
      </c>
      <c r="O38" s="100">
        <v>5.1955585185147596E-4</v>
      </c>
      <c r="P38" s="100">
        <v>4.14183044844489E-4</v>
      </c>
      <c r="Q38" s="100">
        <v>4.97667586254874E-4</v>
      </c>
      <c r="R38" s="100">
        <v>5.6849324787004002E-4</v>
      </c>
      <c r="S38" s="100">
        <v>6.1051637697342705E-4</v>
      </c>
      <c r="T38" s="100">
        <v>5.1409582570295599E-4</v>
      </c>
      <c r="U38" s="100">
        <v>3.3977213094545198E-4</v>
      </c>
      <c r="V38" s="100">
        <v>4.67617692101865E-4</v>
      </c>
      <c r="W38" s="100">
        <v>3.81490673076696E-4</v>
      </c>
      <c r="X38" s="100">
        <v>7.8077340750486797E-4</v>
      </c>
      <c r="Y38" s="100">
        <v>5.80208051571089E-4</v>
      </c>
      <c r="Z38" s="100">
        <v>4.1835384059554499E-4</v>
      </c>
      <c r="AA38" s="100">
        <v>5.3179357998349105E-4</v>
      </c>
      <c r="AB38" s="100">
        <v>5.4445526412505397E-4</v>
      </c>
      <c r="AC38" s="100">
        <v>4.9472671608362905E-4</v>
      </c>
      <c r="AD38" s="100">
        <v>5.1364524059651804E-4</v>
      </c>
      <c r="AE38" s="100">
        <v>5.4919994072158797E-4</v>
      </c>
      <c r="AF38" s="100">
        <v>6.4826653871842804E-4</v>
      </c>
      <c r="AG38" s="100">
        <v>2.7164408540953202E-3</v>
      </c>
      <c r="AH38" s="100">
        <v>1.57078807727587E-3</v>
      </c>
      <c r="AI38" s="100">
        <v>1.04219140537713</v>
      </c>
      <c r="AJ38" s="100">
        <v>3.4782208341390302E-3</v>
      </c>
      <c r="AK38" s="100">
        <v>2.6425252256068801E-3</v>
      </c>
      <c r="AL38" s="100">
        <v>5.10379376681144E-4</v>
      </c>
      <c r="AM38" s="100">
        <v>1.6750469162496999E-3</v>
      </c>
      <c r="AN38" s="100">
        <v>6.76721615364068E-4</v>
      </c>
      <c r="AO38" s="100">
        <v>3.2393025117882199E-4</v>
      </c>
      <c r="AP38" s="100">
        <v>7.8968962725472201E-4</v>
      </c>
      <c r="AQ38" s="100">
        <v>8.50370026116068E-4</v>
      </c>
      <c r="AR38" s="100">
        <v>2.9162858606330399E-3</v>
      </c>
      <c r="AS38" s="100">
        <v>4.2145193040844298E-4</v>
      </c>
      <c r="AT38" s="100">
        <v>2.2714723743441699E-4</v>
      </c>
      <c r="AU38" s="100">
        <v>3.20617669475047E-4</v>
      </c>
      <c r="AV38" s="100">
        <v>2.8894779454902798E-4</v>
      </c>
      <c r="AW38" s="100">
        <v>3.6797191115038803E-4</v>
      </c>
      <c r="AX38" s="100">
        <v>3.3695913794579E-4</v>
      </c>
      <c r="AY38" s="100">
        <v>2.4259385785069799E-4</v>
      </c>
      <c r="AZ38" s="100">
        <v>3.2716162856803998E-4</v>
      </c>
      <c r="BA38" s="100">
        <v>1.4322993517623599E-4</v>
      </c>
      <c r="BB38" s="100">
        <v>7.3530091389569505E-5</v>
      </c>
      <c r="BC38" s="100">
        <v>3.5586949594633599E-5</v>
      </c>
      <c r="BD38" s="100">
        <v>1.44581961536569E-4</v>
      </c>
      <c r="BE38" s="100">
        <v>7.0981721521569602E-4</v>
      </c>
      <c r="BF38" s="100">
        <v>2.1690106632570201E-4</v>
      </c>
      <c r="BG38" s="100">
        <v>2.7722270256015001E-4</v>
      </c>
      <c r="BH38" s="100">
        <v>2.5330364582583598E-4</v>
      </c>
      <c r="BI38" s="100">
        <v>8.8514576568559105E-5</v>
      </c>
      <c r="BJ38" s="100">
        <v>1.8789421967088801E-4</v>
      </c>
      <c r="BK38" s="100">
        <v>9.7922224908582903E-5</v>
      </c>
      <c r="BL38" s="100">
        <v>1.4796705816993801E-4</v>
      </c>
      <c r="BM38" s="100">
        <v>2.53954655119297E-4</v>
      </c>
      <c r="BN38" s="100">
        <v>1.6459604646847101E-4</v>
      </c>
      <c r="BO38" s="100">
        <v>2.51591702175578E-4</v>
      </c>
      <c r="BP38" s="100">
        <v>3.1134542745789502E-4</v>
      </c>
      <c r="BQ38" s="101">
        <v>0</v>
      </c>
    </row>
    <row r="39" spans="1:69" ht="15" customHeight="1" x14ac:dyDescent="0.3">
      <c r="A39" s="33" t="s">
        <v>57</v>
      </c>
      <c r="B39" s="11" t="s">
        <v>125</v>
      </c>
      <c r="C39" s="99">
        <v>2.6941220931010401E-3</v>
      </c>
      <c r="D39" s="100">
        <v>3.6009591025412502E-3</v>
      </c>
      <c r="E39" s="100">
        <v>2.0699846008629102E-3</v>
      </c>
      <c r="F39" s="100">
        <v>4.7041568499563103E-3</v>
      </c>
      <c r="G39" s="100">
        <v>3.4931412412818599E-3</v>
      </c>
      <c r="H39" s="100">
        <v>3.7494210843327901E-3</v>
      </c>
      <c r="I39" s="100">
        <v>4.8850497295231301E-3</v>
      </c>
      <c r="J39" s="100">
        <v>7.1526436114954899E-3</v>
      </c>
      <c r="K39" s="100">
        <v>5.94607629224949E-3</v>
      </c>
      <c r="L39" s="100">
        <v>6.8236399847570496E-3</v>
      </c>
      <c r="M39" s="100">
        <v>7.2489192257974401E-3</v>
      </c>
      <c r="N39" s="100">
        <v>4.2975677241979902E-3</v>
      </c>
      <c r="O39" s="100">
        <v>4.6875600416795603E-3</v>
      </c>
      <c r="P39" s="100">
        <v>4.5613902058372303E-3</v>
      </c>
      <c r="Q39" s="100">
        <v>5.5022990844507801E-3</v>
      </c>
      <c r="R39" s="100">
        <v>6.3227529324290403E-3</v>
      </c>
      <c r="S39" s="100">
        <v>6.9358474298233299E-3</v>
      </c>
      <c r="T39" s="100">
        <v>5.1527538064493096E-3</v>
      </c>
      <c r="U39" s="100">
        <v>3.0590006715924402E-3</v>
      </c>
      <c r="V39" s="100">
        <v>5.17159760587138E-3</v>
      </c>
      <c r="W39" s="100">
        <v>4.1939571757138097E-3</v>
      </c>
      <c r="X39" s="100">
        <v>4.9005031000841697E-3</v>
      </c>
      <c r="Y39" s="100">
        <v>6.3320696545837701E-3</v>
      </c>
      <c r="Z39" s="100">
        <v>4.1814125577888999E-3</v>
      </c>
      <c r="AA39" s="100">
        <v>5.4481140114390697E-3</v>
      </c>
      <c r="AB39" s="100">
        <v>5.6905797264122397E-3</v>
      </c>
      <c r="AC39" s="100">
        <v>5.2059758383424604E-3</v>
      </c>
      <c r="AD39" s="100">
        <v>5.3308424056366897E-3</v>
      </c>
      <c r="AE39" s="100">
        <v>6.4234087933379902E-3</v>
      </c>
      <c r="AF39" s="100">
        <v>4.1285562190198901E-3</v>
      </c>
      <c r="AG39" s="100">
        <v>7.6774741065482903E-3</v>
      </c>
      <c r="AH39" s="100">
        <v>8.4072699575718206E-3</v>
      </c>
      <c r="AI39" s="100">
        <v>0.26737260419506498</v>
      </c>
      <c r="AJ39" s="100">
        <v>1.1250917527333799</v>
      </c>
      <c r="AK39" s="100">
        <v>6.2356378178290497E-3</v>
      </c>
      <c r="AL39" s="100">
        <v>5.0497008651444299E-3</v>
      </c>
      <c r="AM39" s="100">
        <v>6.8278542309039604E-3</v>
      </c>
      <c r="AN39" s="100">
        <v>2.3235997957097398E-3</v>
      </c>
      <c r="AO39" s="100">
        <v>2.2357207934924298E-3</v>
      </c>
      <c r="AP39" s="100">
        <v>4.77565088017857E-3</v>
      </c>
      <c r="AQ39" s="100">
        <v>1.8913357538552701E-2</v>
      </c>
      <c r="AR39" s="100">
        <v>4.2413607295940001E-2</v>
      </c>
      <c r="AS39" s="100">
        <v>4.5008744485105501E-3</v>
      </c>
      <c r="AT39" s="100">
        <v>2.6229871120343798E-3</v>
      </c>
      <c r="AU39" s="100">
        <v>3.27382577464644E-3</v>
      </c>
      <c r="AV39" s="100">
        <v>2.5326293158666299E-3</v>
      </c>
      <c r="AW39" s="100">
        <v>4.5259328742057103E-3</v>
      </c>
      <c r="AX39" s="100">
        <v>3.7198007224082002E-3</v>
      </c>
      <c r="AY39" s="100">
        <v>2.1852393131290698E-3</v>
      </c>
      <c r="AZ39" s="100">
        <v>1.7188538318625101E-3</v>
      </c>
      <c r="BA39" s="100">
        <v>1.1912106375890599E-3</v>
      </c>
      <c r="BB39" s="100">
        <v>6.8786796781432097E-4</v>
      </c>
      <c r="BC39" s="100">
        <v>2.0864048579338399E-4</v>
      </c>
      <c r="BD39" s="100">
        <v>1.0325184178512901E-3</v>
      </c>
      <c r="BE39" s="100">
        <v>2.8751053953751499E-3</v>
      </c>
      <c r="BF39" s="100">
        <v>2.23399670330123E-3</v>
      </c>
      <c r="BG39" s="100">
        <v>5.6508874047322601E-3</v>
      </c>
      <c r="BH39" s="100">
        <v>1.51595467297519E-3</v>
      </c>
      <c r="BI39" s="100">
        <v>9.0998942964573299E-4</v>
      </c>
      <c r="BJ39" s="100">
        <v>2.76258840888941E-3</v>
      </c>
      <c r="BK39" s="100">
        <v>1.6514635350276001E-3</v>
      </c>
      <c r="BL39" s="100">
        <v>1.5373976579882199E-3</v>
      </c>
      <c r="BM39" s="100">
        <v>3.5401535877512599E-3</v>
      </c>
      <c r="BN39" s="100">
        <v>1.9063856312732E-3</v>
      </c>
      <c r="BO39" s="100">
        <v>2.0320128696619901E-3</v>
      </c>
      <c r="BP39" s="100">
        <v>2.5972203529291702E-3</v>
      </c>
      <c r="BQ39" s="101">
        <v>0</v>
      </c>
    </row>
    <row r="40" spans="1:69" ht="15" customHeight="1" x14ac:dyDescent="0.3">
      <c r="A40" s="33" t="s">
        <v>58</v>
      </c>
      <c r="B40" s="11" t="s">
        <v>126</v>
      </c>
      <c r="C40" s="99">
        <v>1.19109952435538E-4</v>
      </c>
      <c r="D40" s="100">
        <v>1.4212414840083701E-4</v>
      </c>
      <c r="E40" s="100">
        <v>1.08144329138186E-4</v>
      </c>
      <c r="F40" s="100">
        <v>6.19842440147381E-4</v>
      </c>
      <c r="G40" s="100">
        <v>3.5225309880401701E-4</v>
      </c>
      <c r="H40" s="100">
        <v>4.4380220828865702E-4</v>
      </c>
      <c r="I40" s="100">
        <v>6.2952075609424597E-4</v>
      </c>
      <c r="J40" s="100">
        <v>3.1535203164819001E-4</v>
      </c>
      <c r="K40" s="100">
        <v>3.6196443490262698E-4</v>
      </c>
      <c r="L40" s="100">
        <v>2.9166326458093502E-4</v>
      </c>
      <c r="M40" s="100">
        <v>4.8595007784506798E-4</v>
      </c>
      <c r="N40" s="100">
        <v>2.2426692984319201E-4</v>
      </c>
      <c r="O40" s="100">
        <v>2.0258549467093E-4</v>
      </c>
      <c r="P40" s="100">
        <v>3.1767876132703001E-4</v>
      </c>
      <c r="Q40" s="100">
        <v>2.7680347507523501E-4</v>
      </c>
      <c r="R40" s="100">
        <v>4.9497833874046903E-4</v>
      </c>
      <c r="S40" s="100">
        <v>5.9821143203757604E-4</v>
      </c>
      <c r="T40" s="100">
        <v>8.7247712836694097E-4</v>
      </c>
      <c r="U40" s="100">
        <v>2.3496198498452599E-4</v>
      </c>
      <c r="V40" s="100">
        <v>3.3679075777990301E-4</v>
      </c>
      <c r="W40" s="100">
        <v>2.76211096344629E-4</v>
      </c>
      <c r="X40" s="100">
        <v>2.9230643534640101E-4</v>
      </c>
      <c r="Y40" s="100">
        <v>3.7161700408997698E-4</v>
      </c>
      <c r="Z40" s="100">
        <v>3.0069955728335897E-4</v>
      </c>
      <c r="AA40" s="100">
        <v>3.2365447027609198E-4</v>
      </c>
      <c r="AB40" s="100">
        <v>5.2359555449250895E-4</v>
      </c>
      <c r="AC40" s="100">
        <v>6.7442209130185002E-4</v>
      </c>
      <c r="AD40" s="100">
        <v>5.1045160764082295E-4</v>
      </c>
      <c r="AE40" s="100">
        <v>5.30543248637253E-4</v>
      </c>
      <c r="AF40" s="100">
        <v>1.5817437076222601E-4</v>
      </c>
      <c r="AG40" s="100">
        <v>4.8067055923447198E-4</v>
      </c>
      <c r="AH40" s="100">
        <v>8.6949583644080905E-4</v>
      </c>
      <c r="AI40" s="100">
        <v>6.8838689914482005E-4</v>
      </c>
      <c r="AJ40" s="100">
        <v>5.6669981447559595E-4</v>
      </c>
      <c r="AK40" s="100">
        <v>1.06012034107074</v>
      </c>
      <c r="AL40" s="100">
        <v>3.9519486446380297E-4</v>
      </c>
      <c r="AM40" s="100">
        <v>3.9789112292058903E-3</v>
      </c>
      <c r="AN40" s="100">
        <v>1.9735893674913501E-4</v>
      </c>
      <c r="AO40" s="100">
        <v>2.8714198686345601E-4</v>
      </c>
      <c r="AP40" s="100">
        <v>3.5883127354178199E-4</v>
      </c>
      <c r="AQ40" s="100">
        <v>2.5809084047482601E-4</v>
      </c>
      <c r="AR40" s="100">
        <v>1.3983956792118801E-3</v>
      </c>
      <c r="AS40" s="100">
        <v>5.4393209784494103E-4</v>
      </c>
      <c r="AT40" s="100">
        <v>2.2487358247600899E-4</v>
      </c>
      <c r="AU40" s="100">
        <v>3.8761994789674001E-4</v>
      </c>
      <c r="AV40" s="100">
        <v>1.3472030509575699E-4</v>
      </c>
      <c r="AW40" s="100">
        <v>2.0087203498503399E-4</v>
      </c>
      <c r="AX40" s="100">
        <v>4.6061167468761501E-4</v>
      </c>
      <c r="AY40" s="100">
        <v>1.6319602317210001E-4</v>
      </c>
      <c r="AZ40" s="100">
        <v>1.35995738338018E-4</v>
      </c>
      <c r="BA40" s="100">
        <v>1.6474859121008801E-4</v>
      </c>
      <c r="BB40" s="100">
        <v>5.5740871111523103E-5</v>
      </c>
      <c r="BC40" s="100">
        <v>1.61473394915429E-5</v>
      </c>
      <c r="BD40" s="100">
        <v>1.06357199129477E-4</v>
      </c>
      <c r="BE40" s="100">
        <v>3.5959804510636101E-4</v>
      </c>
      <c r="BF40" s="100">
        <v>1.7382137163371201E-4</v>
      </c>
      <c r="BG40" s="100">
        <v>3.2369335304320199E-4</v>
      </c>
      <c r="BH40" s="100">
        <v>1.6086995084237701E-4</v>
      </c>
      <c r="BI40" s="100">
        <v>1.1692128547544699E-4</v>
      </c>
      <c r="BJ40" s="100">
        <v>3.9215146160114298E-4</v>
      </c>
      <c r="BK40" s="100">
        <v>6.2859547248594194E-5</v>
      </c>
      <c r="BL40" s="100">
        <v>8.5934870806053304E-5</v>
      </c>
      <c r="BM40" s="100">
        <v>2.4359176056112301E-4</v>
      </c>
      <c r="BN40" s="100">
        <v>2.7775104406068199E-4</v>
      </c>
      <c r="BO40" s="100">
        <v>2.8280901155801298E-4</v>
      </c>
      <c r="BP40" s="100">
        <v>3.2231563632103199E-4</v>
      </c>
      <c r="BQ40" s="101">
        <v>0</v>
      </c>
    </row>
    <row r="41" spans="1:69" ht="15" customHeight="1" x14ac:dyDescent="0.3">
      <c r="A41" s="33" t="s">
        <v>59</v>
      </c>
      <c r="B41" s="11" t="s">
        <v>127</v>
      </c>
      <c r="C41" s="99">
        <v>4.9381208777830496E-4</v>
      </c>
      <c r="D41" s="100">
        <v>6.3823455368190295E-4</v>
      </c>
      <c r="E41" s="100">
        <v>4.54409067985133E-4</v>
      </c>
      <c r="F41" s="100">
        <v>9.9238420571799799E-4</v>
      </c>
      <c r="G41" s="100">
        <v>8.69796909308543E-4</v>
      </c>
      <c r="H41" s="100">
        <v>1.03193640624374E-3</v>
      </c>
      <c r="I41" s="100">
        <v>1.1611400149019299E-3</v>
      </c>
      <c r="J41" s="100">
        <v>1.0376681562217301E-3</v>
      </c>
      <c r="K41" s="100">
        <v>8.9641004827005E-4</v>
      </c>
      <c r="L41" s="100">
        <v>1.1174229461428601E-3</v>
      </c>
      <c r="M41" s="100">
        <v>2.2957880992884902E-3</v>
      </c>
      <c r="N41" s="100">
        <v>7.9335553287918103E-4</v>
      </c>
      <c r="O41" s="100">
        <v>2.2519754732178402E-3</v>
      </c>
      <c r="P41" s="100">
        <v>1.7071118901592099E-2</v>
      </c>
      <c r="Q41" s="100">
        <v>5.2370588422252801E-3</v>
      </c>
      <c r="R41" s="100">
        <v>1.73621338543091E-3</v>
      </c>
      <c r="S41" s="100">
        <v>1.18183908068002E-3</v>
      </c>
      <c r="T41" s="100">
        <v>1.72046509559876E-3</v>
      </c>
      <c r="U41" s="100">
        <v>5.6506685963693903E-4</v>
      </c>
      <c r="V41" s="100">
        <v>7.4895526025872802E-4</v>
      </c>
      <c r="W41" s="100">
        <v>1.2370388183291199E-3</v>
      </c>
      <c r="X41" s="100">
        <v>1.47923390354792E-3</v>
      </c>
      <c r="Y41" s="100">
        <v>1.60643060671949E-3</v>
      </c>
      <c r="Z41" s="100">
        <v>1.2965739324216101E-3</v>
      </c>
      <c r="AA41" s="100">
        <v>2.2234857674307E-3</v>
      </c>
      <c r="AB41" s="100">
        <v>2.3614994898627502E-3</v>
      </c>
      <c r="AC41" s="100">
        <v>8.9612525790364495E-4</v>
      </c>
      <c r="AD41" s="100">
        <v>9.0576499891675604E-4</v>
      </c>
      <c r="AE41" s="100">
        <v>1.5030491414138301E-3</v>
      </c>
      <c r="AF41" s="100">
        <v>1.36065163504763E-3</v>
      </c>
      <c r="AG41" s="100">
        <v>1.6820878227157101E-3</v>
      </c>
      <c r="AH41" s="100">
        <v>3.9605549743707297E-3</v>
      </c>
      <c r="AI41" s="100">
        <v>3.6527961863322802E-3</v>
      </c>
      <c r="AJ41" s="100">
        <v>6.2835351387062399E-3</v>
      </c>
      <c r="AK41" s="100">
        <v>1.5503308308076199E-3</v>
      </c>
      <c r="AL41" s="100">
        <v>1.0185886631114001</v>
      </c>
      <c r="AM41" s="100">
        <v>2.7878681469453402E-3</v>
      </c>
      <c r="AN41" s="100">
        <v>6.1475041340774495E-4</v>
      </c>
      <c r="AO41" s="100">
        <v>1.2015041781871601E-3</v>
      </c>
      <c r="AP41" s="100">
        <v>2.5119353190754899E-3</v>
      </c>
      <c r="AQ41" s="100">
        <v>9.51016827557693E-4</v>
      </c>
      <c r="AR41" s="100">
        <v>1.028272009845E-3</v>
      </c>
      <c r="AS41" s="100">
        <v>4.4283144207999297E-3</v>
      </c>
      <c r="AT41" s="100">
        <v>9.7880888253641597E-4</v>
      </c>
      <c r="AU41" s="100">
        <v>1.7670145591880499E-3</v>
      </c>
      <c r="AV41" s="100">
        <v>1.01101627220957E-3</v>
      </c>
      <c r="AW41" s="100">
        <v>7.8039988322764801E-4</v>
      </c>
      <c r="AX41" s="100">
        <v>8.61943913726162E-4</v>
      </c>
      <c r="AY41" s="100">
        <v>1.9428751526692799E-3</v>
      </c>
      <c r="AZ41" s="100">
        <v>6.3311218194803695E-4</v>
      </c>
      <c r="BA41" s="100">
        <v>7.8070502891327295E-4</v>
      </c>
      <c r="BB41" s="100">
        <v>5.1084412988418402E-4</v>
      </c>
      <c r="BC41" s="100">
        <v>2.4123659253751101E-4</v>
      </c>
      <c r="BD41" s="100">
        <v>1.1303716759909399E-3</v>
      </c>
      <c r="BE41" s="100">
        <v>4.6701852282681504E-3</v>
      </c>
      <c r="BF41" s="100">
        <v>3.2682395972856901E-3</v>
      </c>
      <c r="BG41" s="100">
        <v>6.0516241289258303E-3</v>
      </c>
      <c r="BH41" s="100">
        <v>9.2192968550849495E-4</v>
      </c>
      <c r="BI41" s="100">
        <v>7.4986413804973195E-4</v>
      </c>
      <c r="BJ41" s="100">
        <v>1.34138457496554E-3</v>
      </c>
      <c r="BK41" s="100">
        <v>2.3762495232137301E-3</v>
      </c>
      <c r="BL41" s="100">
        <v>6.1348641139556096E-4</v>
      </c>
      <c r="BM41" s="100">
        <v>1.3751955491040999E-2</v>
      </c>
      <c r="BN41" s="100">
        <v>3.4365896576372297E-2</v>
      </c>
      <c r="BO41" s="100">
        <v>3.55384283732427E-3</v>
      </c>
      <c r="BP41" s="100">
        <v>1.2371523420618201E-3</v>
      </c>
      <c r="BQ41" s="101">
        <v>0</v>
      </c>
    </row>
    <row r="42" spans="1:69" ht="15" customHeight="1" x14ac:dyDescent="0.3">
      <c r="A42" s="33" t="s">
        <v>60</v>
      </c>
      <c r="B42" s="11" t="s">
        <v>128</v>
      </c>
      <c r="C42" s="99">
        <v>4.3197885106515703E-3</v>
      </c>
      <c r="D42" s="100">
        <v>4.4489244775242701E-3</v>
      </c>
      <c r="E42" s="100">
        <v>4.4760630358886798E-3</v>
      </c>
      <c r="F42" s="100">
        <v>4.3327102404168899E-2</v>
      </c>
      <c r="G42" s="100">
        <v>1.5325061882627101E-2</v>
      </c>
      <c r="H42" s="100">
        <v>1.5526873494451801E-2</v>
      </c>
      <c r="I42" s="100">
        <v>3.0955957357422601E-2</v>
      </c>
      <c r="J42" s="100">
        <v>9.7457581834291696E-3</v>
      </c>
      <c r="K42" s="100">
        <v>1.78897072841539E-2</v>
      </c>
      <c r="L42" s="100">
        <v>7.9728037429156601E-3</v>
      </c>
      <c r="M42" s="100">
        <v>1.43492826376472E-2</v>
      </c>
      <c r="N42" s="100">
        <v>7.8607566037536703E-3</v>
      </c>
      <c r="O42" s="100">
        <v>7.36351740280922E-3</v>
      </c>
      <c r="P42" s="100">
        <v>7.7558859480299797E-3</v>
      </c>
      <c r="Q42" s="100">
        <v>8.9113485783756802E-3</v>
      </c>
      <c r="R42" s="100">
        <v>2.7407572155929701E-2</v>
      </c>
      <c r="S42" s="100">
        <v>3.8041434946659E-2</v>
      </c>
      <c r="T42" s="100">
        <v>6.8724369059743995E-2</v>
      </c>
      <c r="U42" s="100">
        <v>1.12369561245809E-2</v>
      </c>
      <c r="V42" s="100">
        <v>1.7704146772523799E-2</v>
      </c>
      <c r="W42" s="100">
        <v>1.3304629224186199E-2</v>
      </c>
      <c r="X42" s="100">
        <v>1.31078690332578E-2</v>
      </c>
      <c r="Y42" s="100">
        <v>1.24999558885182E-2</v>
      </c>
      <c r="Z42" s="100">
        <v>1.201273549058E-2</v>
      </c>
      <c r="AA42" s="100">
        <v>1.1181165085182699E-2</v>
      </c>
      <c r="AB42" s="100">
        <v>3.2679337212821298E-2</v>
      </c>
      <c r="AC42" s="100">
        <v>4.5028401998644399E-2</v>
      </c>
      <c r="AD42" s="100">
        <v>3.3143293670875401E-2</v>
      </c>
      <c r="AE42" s="100">
        <v>2.16474702129302E-2</v>
      </c>
      <c r="AF42" s="100">
        <v>4.0810022082458297E-3</v>
      </c>
      <c r="AG42" s="100">
        <v>1.48231307018115E-2</v>
      </c>
      <c r="AH42" s="100">
        <v>2.0658630248083999E-2</v>
      </c>
      <c r="AI42" s="100">
        <v>1.1760095566527601E-2</v>
      </c>
      <c r="AJ42" s="100">
        <v>1.7782418196629301E-2</v>
      </c>
      <c r="AK42" s="100">
        <v>1.01502470839598E-2</v>
      </c>
      <c r="AL42" s="100">
        <v>1.6700780827108599E-2</v>
      </c>
      <c r="AM42" s="100">
        <v>1.0173506854526899</v>
      </c>
      <c r="AN42" s="100">
        <v>9.9294596529760307E-3</v>
      </c>
      <c r="AO42" s="100">
        <v>1.8720285382055502E-2</v>
      </c>
      <c r="AP42" s="100">
        <v>1.28944441864656E-2</v>
      </c>
      <c r="AQ42" s="100">
        <v>7.9877418252741299E-3</v>
      </c>
      <c r="AR42" s="100">
        <v>7.5909466227450199E-3</v>
      </c>
      <c r="AS42" s="100">
        <v>3.5131870343283897E-2</v>
      </c>
      <c r="AT42" s="100">
        <v>1.38060066039016E-2</v>
      </c>
      <c r="AU42" s="100">
        <v>2.5185582667693E-2</v>
      </c>
      <c r="AV42" s="100">
        <v>4.4476574433686897E-3</v>
      </c>
      <c r="AW42" s="100">
        <v>6.2428184272649897E-3</v>
      </c>
      <c r="AX42" s="100">
        <v>3.4448039536302301E-2</v>
      </c>
      <c r="AY42" s="100">
        <v>8.4286584936783208E-3</v>
      </c>
      <c r="AZ42" s="100">
        <v>6.5521815724192698E-3</v>
      </c>
      <c r="BA42" s="100">
        <v>1.0582628101623101E-2</v>
      </c>
      <c r="BB42" s="100">
        <v>2.70584078820898E-3</v>
      </c>
      <c r="BC42" s="100">
        <v>7.5035169068789296E-4</v>
      </c>
      <c r="BD42" s="100">
        <v>6.0647428633207696E-3</v>
      </c>
      <c r="BE42" s="100">
        <v>5.7082197586809597E-3</v>
      </c>
      <c r="BF42" s="100">
        <v>9.11330718075214E-3</v>
      </c>
      <c r="BG42" s="100">
        <v>2.1550391239169402E-2</v>
      </c>
      <c r="BH42" s="100">
        <v>7.58941711999561E-3</v>
      </c>
      <c r="BI42" s="100">
        <v>7.9235249837302599E-3</v>
      </c>
      <c r="BJ42" s="100">
        <v>3.63471816890504E-3</v>
      </c>
      <c r="BK42" s="100">
        <v>1.9428662709046101E-3</v>
      </c>
      <c r="BL42" s="100">
        <v>2.6449984704488201E-3</v>
      </c>
      <c r="BM42" s="100">
        <v>9.4877462864961098E-3</v>
      </c>
      <c r="BN42" s="100">
        <v>5.4758639091079401E-3</v>
      </c>
      <c r="BO42" s="100">
        <v>1.7190836432460398E-2</v>
      </c>
      <c r="BP42" s="100">
        <v>8.4478616433984206E-3</v>
      </c>
      <c r="BQ42" s="101">
        <v>0</v>
      </c>
    </row>
    <row r="43" spans="1:69" ht="15" customHeight="1" x14ac:dyDescent="0.3">
      <c r="A43" s="33" t="s">
        <v>61</v>
      </c>
      <c r="B43" s="11" t="s">
        <v>129</v>
      </c>
      <c r="C43" s="99">
        <v>3.70677431438498E-2</v>
      </c>
      <c r="D43" s="100">
        <v>5.3454581393750401E-2</v>
      </c>
      <c r="E43" s="100">
        <v>2.6050758913250299E-2</v>
      </c>
      <c r="F43" s="100">
        <v>7.04259721669067E-2</v>
      </c>
      <c r="G43" s="100">
        <v>1.01373725116143E-2</v>
      </c>
      <c r="H43" s="100">
        <v>2.3024719028169199E-2</v>
      </c>
      <c r="I43" s="100">
        <v>3.6165085731007601E-2</v>
      </c>
      <c r="J43" s="100">
        <v>4.2940089311499903E-2</v>
      </c>
      <c r="K43" s="100">
        <v>2.5771426812479001E-2</v>
      </c>
      <c r="L43" s="100">
        <v>4.0296028059872202E-2</v>
      </c>
      <c r="M43" s="100">
        <v>3.7624601767463302E-2</v>
      </c>
      <c r="N43" s="100">
        <v>3.6133692619229899E-2</v>
      </c>
      <c r="O43" s="100">
        <v>6.4059747555691604E-2</v>
      </c>
      <c r="P43" s="100">
        <v>2.8624952692561802E-2</v>
      </c>
      <c r="Q43" s="100">
        <v>3.0874088060653501E-2</v>
      </c>
      <c r="R43" s="100">
        <v>6.7573593110672805E-2</v>
      </c>
      <c r="S43" s="100">
        <v>6.1641494486333603E-2</v>
      </c>
      <c r="T43" s="100">
        <v>2.9013542666979999E-2</v>
      </c>
      <c r="U43" s="100">
        <v>1.0250211158939201E-2</v>
      </c>
      <c r="V43" s="100">
        <v>3.6684896356499103E-2</v>
      </c>
      <c r="W43" s="100">
        <v>5.80962166371135E-2</v>
      </c>
      <c r="X43" s="100">
        <v>3.2821786282854197E-2</v>
      </c>
      <c r="Y43" s="100">
        <v>3.04541921142913E-2</v>
      </c>
      <c r="Z43" s="100">
        <v>1.7772275070587699E-2</v>
      </c>
      <c r="AA43" s="100">
        <v>5.2543063193566199E-2</v>
      </c>
      <c r="AB43" s="100">
        <v>8.5955205870647394E-2</v>
      </c>
      <c r="AC43" s="100">
        <v>4.0252756383015703E-2</v>
      </c>
      <c r="AD43" s="100">
        <v>8.1123734061364999E-2</v>
      </c>
      <c r="AE43" s="100">
        <v>3.6701361144763599E-2</v>
      </c>
      <c r="AF43" s="100">
        <v>1.1125600989038E-2</v>
      </c>
      <c r="AG43" s="100">
        <v>3.19533620460382E-2</v>
      </c>
      <c r="AH43" s="100">
        <v>2.4652316537265101E-2</v>
      </c>
      <c r="AI43" s="100">
        <v>2.8539646157172398E-2</v>
      </c>
      <c r="AJ43" s="100">
        <v>4.0811639650896597E-2</v>
      </c>
      <c r="AK43" s="100">
        <v>2.0528307517891999E-2</v>
      </c>
      <c r="AL43" s="100">
        <v>2.91188047878315E-2</v>
      </c>
      <c r="AM43" s="100">
        <v>1.73850923713182E-2</v>
      </c>
      <c r="AN43" s="100">
        <v>1.61191072321866</v>
      </c>
      <c r="AO43" s="100">
        <v>7.2183688768794094E-2</v>
      </c>
      <c r="AP43" s="100">
        <v>2.2854091027635502E-2</v>
      </c>
      <c r="AQ43" s="100">
        <v>3.6175188528360998E-2</v>
      </c>
      <c r="AR43" s="100">
        <v>1.6929696976673798E-2</v>
      </c>
      <c r="AS43" s="100">
        <v>1.1574717234538101E-2</v>
      </c>
      <c r="AT43" s="100">
        <v>1.2976526574449501E-2</v>
      </c>
      <c r="AU43" s="100">
        <v>2.3406252449338801E-2</v>
      </c>
      <c r="AV43" s="100">
        <v>0.110031790121548</v>
      </c>
      <c r="AW43" s="100">
        <v>2.8182542139734298E-2</v>
      </c>
      <c r="AX43" s="100">
        <v>2.4023546962824299E-2</v>
      </c>
      <c r="AY43" s="100">
        <v>3.2088360534610498E-2</v>
      </c>
      <c r="AZ43" s="100">
        <v>3.4822061193290697E-2</v>
      </c>
      <c r="BA43" s="100">
        <v>1.49017516961879E-2</v>
      </c>
      <c r="BB43" s="100">
        <v>1.23561949249625E-2</v>
      </c>
      <c r="BC43" s="100">
        <v>3.6711409482656399E-3</v>
      </c>
      <c r="BD43" s="100">
        <v>1.5820567796554001E-2</v>
      </c>
      <c r="BE43" s="100">
        <v>1.42199298960426E-2</v>
      </c>
      <c r="BF43" s="100">
        <v>2.05297874219721E-2</v>
      </c>
      <c r="BG43" s="100">
        <v>1.2225164420466001E-2</v>
      </c>
      <c r="BH43" s="100">
        <v>4.9674259776786002E-2</v>
      </c>
      <c r="BI43" s="100">
        <v>8.5939464660955908E-3</v>
      </c>
      <c r="BJ43" s="100">
        <v>1.7357183033380401E-2</v>
      </c>
      <c r="BK43" s="100">
        <v>1.3039172400261799E-2</v>
      </c>
      <c r="BL43" s="100">
        <v>4.1175823002692798E-2</v>
      </c>
      <c r="BM43" s="100">
        <v>2.1524975957559599E-2</v>
      </c>
      <c r="BN43" s="100">
        <v>1.6505944598844802E-2</v>
      </c>
      <c r="BO43" s="100">
        <v>6.0405352737755998E-2</v>
      </c>
      <c r="BP43" s="100">
        <v>4.3872702155518403E-2</v>
      </c>
      <c r="BQ43" s="101">
        <v>0</v>
      </c>
    </row>
    <row r="44" spans="1:69" ht="15" customHeight="1" x14ac:dyDescent="0.3">
      <c r="A44" s="33" t="s">
        <v>62</v>
      </c>
      <c r="B44" s="11" t="s">
        <v>130</v>
      </c>
      <c r="C44" s="99">
        <v>2.1680582175640502E-3</v>
      </c>
      <c r="D44" s="100">
        <v>2.0877819365778699E-3</v>
      </c>
      <c r="E44" s="100">
        <v>9.47644156873713E-4</v>
      </c>
      <c r="F44" s="100">
        <v>4.8834113108376697E-3</v>
      </c>
      <c r="G44" s="100">
        <v>3.00838392542996E-3</v>
      </c>
      <c r="H44" s="100">
        <v>4.2334447863869298E-3</v>
      </c>
      <c r="I44" s="100">
        <v>5.2664159771413496E-3</v>
      </c>
      <c r="J44" s="100">
        <v>3.82036584269782E-3</v>
      </c>
      <c r="K44" s="100">
        <v>3.91100822881382E-3</v>
      </c>
      <c r="L44" s="100">
        <v>4.3428037040584098E-3</v>
      </c>
      <c r="M44" s="100">
        <v>1.16610674037318E-2</v>
      </c>
      <c r="N44" s="100">
        <v>3.3741013545266901E-3</v>
      </c>
      <c r="O44" s="100">
        <v>3.9816307404361298E-3</v>
      </c>
      <c r="P44" s="100">
        <v>2.8708671288342098E-3</v>
      </c>
      <c r="Q44" s="100">
        <v>3.6218578396093599E-3</v>
      </c>
      <c r="R44" s="100">
        <v>1.2054153669508899E-2</v>
      </c>
      <c r="S44" s="100">
        <v>8.2297021204036803E-3</v>
      </c>
      <c r="T44" s="100">
        <v>3.7167324876192401E-3</v>
      </c>
      <c r="U44" s="100">
        <v>3.45617073206001E-3</v>
      </c>
      <c r="V44" s="100">
        <v>4.9755286125240904E-3</v>
      </c>
      <c r="W44" s="100">
        <v>6.7544442386218602E-3</v>
      </c>
      <c r="X44" s="100">
        <v>8.6075827385018802E-3</v>
      </c>
      <c r="Y44" s="100">
        <v>6.9419533441872896E-3</v>
      </c>
      <c r="Z44" s="100">
        <v>3.4863067078174598E-3</v>
      </c>
      <c r="AA44" s="100">
        <v>7.3746705484650597E-3</v>
      </c>
      <c r="AB44" s="100">
        <v>1.29748668385313E-2</v>
      </c>
      <c r="AC44" s="100">
        <v>2.2285841521457701E-2</v>
      </c>
      <c r="AD44" s="100">
        <v>2.64398608349052E-2</v>
      </c>
      <c r="AE44" s="100">
        <v>9.9819193042212095E-3</v>
      </c>
      <c r="AF44" s="100">
        <v>2.1359951603177199E-3</v>
      </c>
      <c r="AG44" s="100">
        <v>6.4585715921348496E-3</v>
      </c>
      <c r="AH44" s="100">
        <v>6.0713904940226798E-3</v>
      </c>
      <c r="AI44" s="100">
        <v>6.5510615017258002E-3</v>
      </c>
      <c r="AJ44" s="100">
        <v>9.6905306186433008E-3</v>
      </c>
      <c r="AK44" s="100">
        <v>5.1377077343665598E-3</v>
      </c>
      <c r="AL44" s="100">
        <v>5.4930743453699502E-3</v>
      </c>
      <c r="AM44" s="100">
        <v>3.68565379326525E-3</v>
      </c>
      <c r="AN44" s="100">
        <v>2.0061230711893E-3</v>
      </c>
      <c r="AO44" s="100">
        <v>1.0162123936802601</v>
      </c>
      <c r="AP44" s="100">
        <v>4.9511719679117402E-3</v>
      </c>
      <c r="AQ44" s="100">
        <v>6.6668836786206104E-3</v>
      </c>
      <c r="AR44" s="100">
        <v>3.8679723309012698E-3</v>
      </c>
      <c r="AS44" s="100">
        <v>2.9267417022530999E-3</v>
      </c>
      <c r="AT44" s="100">
        <v>3.7526336191649199E-3</v>
      </c>
      <c r="AU44" s="100">
        <v>9.1471520926853303E-3</v>
      </c>
      <c r="AV44" s="100">
        <v>2.60424735102027E-2</v>
      </c>
      <c r="AW44" s="100">
        <v>7.5055242498863603E-3</v>
      </c>
      <c r="AX44" s="100">
        <v>4.4647153917547599E-3</v>
      </c>
      <c r="AY44" s="100">
        <v>5.29469916584823E-3</v>
      </c>
      <c r="AZ44" s="100">
        <v>5.3569085953847897E-3</v>
      </c>
      <c r="BA44" s="100">
        <v>3.45373936300232E-3</v>
      </c>
      <c r="BB44" s="100">
        <v>3.1106897202946601E-3</v>
      </c>
      <c r="BC44" s="100">
        <v>1.0512480156954101E-3</v>
      </c>
      <c r="BD44" s="100">
        <v>5.4329299709898801E-3</v>
      </c>
      <c r="BE44" s="100">
        <v>3.2645115142393298E-3</v>
      </c>
      <c r="BF44" s="100">
        <v>3.63189722258012E-3</v>
      </c>
      <c r="BG44" s="100">
        <v>2.9557475042642401E-3</v>
      </c>
      <c r="BH44" s="100">
        <v>2.4126048436465201E-2</v>
      </c>
      <c r="BI44" s="100">
        <v>2.1160093520319798E-3</v>
      </c>
      <c r="BJ44" s="100">
        <v>1.36062597088048E-2</v>
      </c>
      <c r="BK44" s="100">
        <v>5.3152047907842996E-3</v>
      </c>
      <c r="BL44" s="100">
        <v>4.8047468546408402E-3</v>
      </c>
      <c r="BM44" s="100">
        <v>1.1068667505821399E-2</v>
      </c>
      <c r="BN44" s="100">
        <v>9.4766333270153696E-3</v>
      </c>
      <c r="BO44" s="100">
        <v>6.4619967158821602E-3</v>
      </c>
      <c r="BP44" s="100">
        <v>1.9253099496300101E-2</v>
      </c>
      <c r="BQ44" s="101">
        <v>0</v>
      </c>
    </row>
    <row r="45" spans="1:69" ht="15" customHeight="1" x14ac:dyDescent="0.3">
      <c r="A45" s="33" t="s">
        <v>63</v>
      </c>
      <c r="B45" s="11" t="s">
        <v>131</v>
      </c>
      <c r="C45" s="99">
        <v>1.06227664138013E-3</v>
      </c>
      <c r="D45" s="100">
        <v>1.80136117261527E-3</v>
      </c>
      <c r="E45" s="100">
        <v>8.6135691273204302E-4</v>
      </c>
      <c r="F45" s="100">
        <v>2.0772958576395001E-3</v>
      </c>
      <c r="G45" s="100">
        <v>6.3570424618051803E-3</v>
      </c>
      <c r="H45" s="100">
        <v>2.1564993726584599E-2</v>
      </c>
      <c r="I45" s="100">
        <v>1.4994429734384401E-2</v>
      </c>
      <c r="J45" s="100">
        <v>2.2466128560063702E-3</v>
      </c>
      <c r="K45" s="100">
        <v>2.40846862182103E-3</v>
      </c>
      <c r="L45" s="100">
        <v>2.0280193308810498E-3</v>
      </c>
      <c r="M45" s="100">
        <v>3.1576880476648999E-3</v>
      </c>
      <c r="N45" s="100">
        <v>1.9915276689663102E-3</v>
      </c>
      <c r="O45" s="100">
        <v>1.9139954013399E-3</v>
      </c>
      <c r="P45" s="100">
        <v>1.5959943690652099E-3</v>
      </c>
      <c r="Q45" s="100">
        <v>1.64366014819268E-3</v>
      </c>
      <c r="R45" s="100">
        <v>2.0493418135910102E-3</v>
      </c>
      <c r="S45" s="100">
        <v>2.8710739948819E-3</v>
      </c>
      <c r="T45" s="100">
        <v>3.2936630565863598E-3</v>
      </c>
      <c r="U45" s="100">
        <v>2.9435354240758501E-3</v>
      </c>
      <c r="V45" s="100">
        <v>2.7520890800204001E-3</v>
      </c>
      <c r="W45" s="100">
        <v>2.06007741747684E-3</v>
      </c>
      <c r="X45" s="100">
        <v>2.1551056807138998E-3</v>
      </c>
      <c r="Y45" s="100">
        <v>2.27135631694507E-3</v>
      </c>
      <c r="Z45" s="100">
        <v>1.74977767461195E-3</v>
      </c>
      <c r="AA45" s="100">
        <v>1.9203598016401301E-3</v>
      </c>
      <c r="AB45" s="100">
        <v>2.7807770573053899E-3</v>
      </c>
      <c r="AC45" s="100">
        <v>7.2211303959857096E-3</v>
      </c>
      <c r="AD45" s="100">
        <v>3.25781849110559E-2</v>
      </c>
      <c r="AE45" s="100">
        <v>4.3429076278952801E-3</v>
      </c>
      <c r="AF45" s="100">
        <v>1.9621726957714599E-3</v>
      </c>
      <c r="AG45" s="100">
        <v>4.4357397710925199E-3</v>
      </c>
      <c r="AH45" s="100">
        <v>3.3607482692764299E-3</v>
      </c>
      <c r="AI45" s="100">
        <v>4.0871901924917197E-3</v>
      </c>
      <c r="AJ45" s="100">
        <v>4.3486606407273096E-3</v>
      </c>
      <c r="AK45" s="100">
        <v>6.7626245068950902E-3</v>
      </c>
      <c r="AL45" s="100">
        <v>2.6541567794334002E-3</v>
      </c>
      <c r="AM45" s="100">
        <v>2.1232667202356701E-3</v>
      </c>
      <c r="AN45" s="100">
        <v>1.2778880528961599E-3</v>
      </c>
      <c r="AO45" s="100">
        <v>4.47257178499584E-2</v>
      </c>
      <c r="AP45" s="100">
        <v>1.08946638936014</v>
      </c>
      <c r="AQ45" s="100">
        <v>3.3778878627870501E-3</v>
      </c>
      <c r="AR45" s="100">
        <v>2.9094159788968801E-3</v>
      </c>
      <c r="AS45" s="100">
        <v>3.5911805111856201E-3</v>
      </c>
      <c r="AT45" s="100">
        <v>4.3842606081613503E-3</v>
      </c>
      <c r="AU45" s="100">
        <v>1.39166781024172E-2</v>
      </c>
      <c r="AV45" s="100">
        <v>1.24844349724868E-2</v>
      </c>
      <c r="AW45" s="100">
        <v>3.6096012250896102E-3</v>
      </c>
      <c r="AX45" s="100">
        <v>2.53444540065988E-3</v>
      </c>
      <c r="AY45" s="100">
        <v>8.0193410562959203E-3</v>
      </c>
      <c r="AZ45" s="100">
        <v>2.76646554400416E-2</v>
      </c>
      <c r="BA45" s="100">
        <v>7.5921650641629897E-3</v>
      </c>
      <c r="BB45" s="100">
        <v>3.4286210986030001E-3</v>
      </c>
      <c r="BC45" s="100">
        <v>2.5962715136206502E-3</v>
      </c>
      <c r="BD45" s="100">
        <v>3.0784629370946399E-3</v>
      </c>
      <c r="BE45" s="100">
        <v>1.3411325392481299E-2</v>
      </c>
      <c r="BF45" s="100">
        <v>4.3329082399972798E-3</v>
      </c>
      <c r="BG45" s="100">
        <v>4.8388415304515897E-3</v>
      </c>
      <c r="BH45" s="100">
        <v>1.16523635238138E-2</v>
      </c>
      <c r="BI45" s="100">
        <v>1.40523537466298E-3</v>
      </c>
      <c r="BJ45" s="100">
        <v>1.7856406550015001E-2</v>
      </c>
      <c r="BK45" s="100">
        <v>5.5774516009879302E-3</v>
      </c>
      <c r="BL45" s="100">
        <v>5.4686021420746796E-3</v>
      </c>
      <c r="BM45" s="100">
        <v>2.0736889060121898E-2</v>
      </c>
      <c r="BN45" s="100">
        <v>1.42634778416122E-3</v>
      </c>
      <c r="BO45" s="100">
        <v>6.54609340947232E-3</v>
      </c>
      <c r="BP45" s="100">
        <v>5.2359737562041797E-3</v>
      </c>
      <c r="BQ45" s="101">
        <v>0</v>
      </c>
    </row>
    <row r="46" spans="1:69" ht="15" customHeight="1" x14ac:dyDescent="0.3">
      <c r="A46" s="33" t="s">
        <v>64</v>
      </c>
      <c r="B46" s="11" t="s">
        <v>132</v>
      </c>
      <c r="C46" s="99">
        <v>7.1333261976154097E-2</v>
      </c>
      <c r="D46" s="100">
        <v>0.10676520826811101</v>
      </c>
      <c r="E46" s="100">
        <v>4.0916069531961197E-2</v>
      </c>
      <c r="F46" s="100">
        <v>7.8254152118582096E-2</v>
      </c>
      <c r="G46" s="100">
        <v>5.0086756751320002E-2</v>
      </c>
      <c r="H46" s="100">
        <v>6.5943558866849106E-2</v>
      </c>
      <c r="I46" s="100">
        <v>8.1025443934019795E-2</v>
      </c>
      <c r="J46" s="100">
        <v>0.176185286368329</v>
      </c>
      <c r="K46" s="100">
        <v>7.3151390119024995E-2</v>
      </c>
      <c r="L46" s="100">
        <v>0.150933894269869</v>
      </c>
      <c r="M46" s="100">
        <v>0.123073123839431</v>
      </c>
      <c r="N46" s="100">
        <v>0.129170843627123</v>
      </c>
      <c r="O46" s="100">
        <v>0.13697268948932501</v>
      </c>
      <c r="P46" s="100">
        <v>0.14939170138098301</v>
      </c>
      <c r="Q46" s="100">
        <v>0.154651788895878</v>
      </c>
      <c r="R46" s="100">
        <v>0.12895806623977599</v>
      </c>
      <c r="S46" s="100">
        <v>0.155891422135193</v>
      </c>
      <c r="T46" s="100">
        <v>0.139781834429553</v>
      </c>
      <c r="U46" s="100">
        <v>5.27732300417771E-2</v>
      </c>
      <c r="V46" s="100">
        <v>0.100157835691651</v>
      </c>
      <c r="W46" s="100">
        <v>8.90939268983513E-2</v>
      </c>
      <c r="X46" s="100">
        <v>0.120504272461887</v>
      </c>
      <c r="Y46" s="100">
        <v>0.14410784112830999</v>
      </c>
      <c r="Z46" s="100">
        <v>8.5619121711088902E-2</v>
      </c>
      <c r="AA46" s="100">
        <v>0.13355582558635301</v>
      </c>
      <c r="AB46" s="100">
        <v>0.122233390224068</v>
      </c>
      <c r="AC46" s="100">
        <v>0.109590965300757</v>
      </c>
      <c r="AD46" s="100">
        <v>0.150257956538867</v>
      </c>
      <c r="AE46" s="100">
        <v>0.13375129780841999</v>
      </c>
      <c r="AF46" s="100">
        <v>0.10351837505254401</v>
      </c>
      <c r="AG46" s="100">
        <v>0.16931008712905399</v>
      </c>
      <c r="AH46" s="100">
        <v>0.16653160572178299</v>
      </c>
      <c r="AI46" s="100">
        <v>0.16261259460486199</v>
      </c>
      <c r="AJ46" s="100">
        <v>0.145980010204842</v>
      </c>
      <c r="AK46" s="100">
        <v>9.2913085910873397E-2</v>
      </c>
      <c r="AL46" s="100">
        <v>0.135689910897071</v>
      </c>
      <c r="AM46" s="100">
        <v>0.127219295850026</v>
      </c>
      <c r="AN46" s="100">
        <v>3.4955737300388902E-2</v>
      </c>
      <c r="AO46" s="100">
        <v>5.2492114462189599E-2</v>
      </c>
      <c r="AP46" s="100">
        <v>0.104831973105058</v>
      </c>
      <c r="AQ46" s="100">
        <v>1.0480913798640199</v>
      </c>
      <c r="AR46" s="100">
        <v>8.9982754050117394E-2</v>
      </c>
      <c r="AS46" s="100">
        <v>4.6177202896037502E-2</v>
      </c>
      <c r="AT46" s="100">
        <v>4.7262798822060401E-2</v>
      </c>
      <c r="AU46" s="100">
        <v>3.3177888416771897E-2</v>
      </c>
      <c r="AV46" s="100">
        <v>5.6973477078356101E-2</v>
      </c>
      <c r="AW46" s="100">
        <v>0.125262080949717</v>
      </c>
      <c r="AX46" s="100">
        <v>0.10740813286172</v>
      </c>
      <c r="AY46" s="100">
        <v>5.2189713899705698E-2</v>
      </c>
      <c r="AZ46" s="100">
        <v>4.7554597204709802E-2</v>
      </c>
      <c r="BA46" s="100">
        <v>3.04996322387674E-2</v>
      </c>
      <c r="BB46" s="100">
        <v>1.4824945099112001E-2</v>
      </c>
      <c r="BC46" s="100">
        <v>4.8150272668755698E-3</v>
      </c>
      <c r="BD46" s="100">
        <v>2.1613136707278598E-2</v>
      </c>
      <c r="BE46" s="100">
        <v>4.1736902491627002E-2</v>
      </c>
      <c r="BF46" s="100">
        <v>7.0056455450973706E-2</v>
      </c>
      <c r="BG46" s="100">
        <v>5.05345327538353E-2</v>
      </c>
      <c r="BH46" s="100">
        <v>3.4961174943151499E-2</v>
      </c>
      <c r="BI46" s="100">
        <v>2.14730988528084E-2</v>
      </c>
      <c r="BJ46" s="100">
        <v>2.17514187160191E-2</v>
      </c>
      <c r="BK46" s="100">
        <v>2.29181083702691E-2</v>
      </c>
      <c r="BL46" s="100">
        <v>2.6661282275681101E-2</v>
      </c>
      <c r="BM46" s="100">
        <v>7.7774967531209604E-2</v>
      </c>
      <c r="BN46" s="100">
        <v>7.2368414965898603E-2</v>
      </c>
      <c r="BO46" s="100">
        <v>3.48745733763247E-2</v>
      </c>
      <c r="BP46" s="100">
        <v>5.5418420889521397E-2</v>
      </c>
      <c r="BQ46" s="101">
        <v>0</v>
      </c>
    </row>
    <row r="47" spans="1:69" ht="15" customHeight="1" x14ac:dyDescent="0.3">
      <c r="A47" s="33" t="s">
        <v>65</v>
      </c>
      <c r="B47" s="11" t="s">
        <v>133</v>
      </c>
      <c r="C47" s="99">
        <v>3.7209039593373197E-2</v>
      </c>
      <c r="D47" s="100">
        <v>4.3970201764374203E-2</v>
      </c>
      <c r="E47" s="100">
        <v>3.5839070972186797E-2</v>
      </c>
      <c r="F47" s="100">
        <v>7.1041977166972095E-2</v>
      </c>
      <c r="G47" s="100">
        <v>5.0177624281360397E-2</v>
      </c>
      <c r="H47" s="100">
        <v>4.3258584320603401E-2</v>
      </c>
      <c r="I47" s="100">
        <v>6.2286583728018999E-2</v>
      </c>
      <c r="J47" s="100">
        <v>0.104985769206091</v>
      </c>
      <c r="K47" s="100">
        <v>0.11034042361568699</v>
      </c>
      <c r="L47" s="100">
        <v>0.10668295682775</v>
      </c>
      <c r="M47" s="100">
        <v>0.101885994765366</v>
      </c>
      <c r="N47" s="100">
        <v>5.1877393225444803E-2</v>
      </c>
      <c r="O47" s="100">
        <v>5.5085795297864601E-2</v>
      </c>
      <c r="P47" s="100">
        <v>5.0134670534922501E-2</v>
      </c>
      <c r="Q47" s="100">
        <v>6.8440374974264404E-2</v>
      </c>
      <c r="R47" s="100">
        <v>0.100032400826374</v>
      </c>
      <c r="S47" s="100">
        <v>0.10788513188730101</v>
      </c>
      <c r="T47" s="100">
        <v>5.0604256744841702E-2</v>
      </c>
      <c r="U47" s="100">
        <v>4.92563689513194E-2</v>
      </c>
      <c r="V47" s="100">
        <v>8.9425901444570105E-2</v>
      </c>
      <c r="W47" s="100">
        <v>6.6366225224208403E-2</v>
      </c>
      <c r="X47" s="100">
        <v>6.2646541041788698E-2</v>
      </c>
      <c r="Y47" s="100">
        <v>8.5666420098128707E-2</v>
      </c>
      <c r="Z47" s="100">
        <v>6.7379141840058498E-2</v>
      </c>
      <c r="AA47" s="100">
        <v>6.4269962288513102E-2</v>
      </c>
      <c r="AB47" s="100">
        <v>7.9086369363859502E-2</v>
      </c>
      <c r="AC47" s="100">
        <v>7.1207229331129801E-2</v>
      </c>
      <c r="AD47" s="100">
        <v>5.2321183407147601E-2</v>
      </c>
      <c r="AE47" s="100">
        <v>6.85417627150776E-2</v>
      </c>
      <c r="AF47" s="100">
        <v>3.4929376090327299E-2</v>
      </c>
      <c r="AG47" s="100">
        <v>5.2641875680623701E-2</v>
      </c>
      <c r="AH47" s="100">
        <v>5.2736399093043E-2</v>
      </c>
      <c r="AI47" s="100">
        <v>6.2198951710030197E-2</v>
      </c>
      <c r="AJ47" s="100">
        <v>5.9001761388993601E-2</v>
      </c>
      <c r="AK47" s="100">
        <v>3.9913462030259403E-2</v>
      </c>
      <c r="AL47" s="100">
        <v>5.4600286896192E-2</v>
      </c>
      <c r="AM47" s="100">
        <v>3.0188504558407801E-2</v>
      </c>
      <c r="AN47" s="100">
        <v>3.0967677979611599E-2</v>
      </c>
      <c r="AO47" s="100">
        <v>2.2120443781088499E-2</v>
      </c>
      <c r="AP47" s="100">
        <v>3.8375477084781201E-2</v>
      </c>
      <c r="AQ47" s="100">
        <v>5.7014603395419299E-2</v>
      </c>
      <c r="AR47" s="100">
        <v>1.1567801370070601</v>
      </c>
      <c r="AS47" s="100">
        <v>9.0185649696310904E-2</v>
      </c>
      <c r="AT47" s="100">
        <v>3.6611467418501097E-2</v>
      </c>
      <c r="AU47" s="100">
        <v>6.4311157493756099E-2</v>
      </c>
      <c r="AV47" s="100">
        <v>2.9487544406555499E-2</v>
      </c>
      <c r="AW47" s="100">
        <v>5.5866347511558702E-2</v>
      </c>
      <c r="AX47" s="100">
        <v>4.3686951187994198E-2</v>
      </c>
      <c r="AY47" s="100">
        <v>2.6844502822689902E-2</v>
      </c>
      <c r="AZ47" s="100">
        <v>1.3773378729636901E-2</v>
      </c>
      <c r="BA47" s="100">
        <v>1.1680587025993601E-2</v>
      </c>
      <c r="BB47" s="100">
        <v>8.6495903469668498E-3</v>
      </c>
      <c r="BC47" s="100">
        <v>1.9204318519125301E-3</v>
      </c>
      <c r="BD47" s="100">
        <v>1.16703827085336E-2</v>
      </c>
      <c r="BE47" s="100">
        <v>2.9300620174683899E-2</v>
      </c>
      <c r="BF47" s="100">
        <v>2.1750035329354302E-2</v>
      </c>
      <c r="BG47" s="100">
        <v>2.12537462015263E-2</v>
      </c>
      <c r="BH47" s="100">
        <v>1.3364766225834599E-2</v>
      </c>
      <c r="BI47" s="100">
        <v>1.0436091316570899E-2</v>
      </c>
      <c r="BJ47" s="100">
        <v>1.1237902881102199E-2</v>
      </c>
      <c r="BK47" s="100">
        <v>1.0982064454688301E-2</v>
      </c>
      <c r="BL47" s="100">
        <v>2.1125954621876299E-2</v>
      </c>
      <c r="BM47" s="100">
        <v>2.6670783963584799E-2</v>
      </c>
      <c r="BN47" s="100">
        <v>1.47345814168558E-2</v>
      </c>
      <c r="BO47" s="100">
        <v>1.88645557848157E-2</v>
      </c>
      <c r="BP47" s="100">
        <v>3.5788486054375603E-2</v>
      </c>
      <c r="BQ47" s="101">
        <v>0</v>
      </c>
    </row>
    <row r="48" spans="1:69" ht="15" customHeight="1" x14ac:dyDescent="0.3">
      <c r="A48" s="33" t="s">
        <v>66</v>
      </c>
      <c r="B48" s="11" t="s">
        <v>134</v>
      </c>
      <c r="C48" s="99">
        <v>3.0741470731285199E-3</v>
      </c>
      <c r="D48" s="100">
        <v>3.61774777090265E-3</v>
      </c>
      <c r="E48" s="100">
        <v>2.9119761132467498E-3</v>
      </c>
      <c r="F48" s="100">
        <v>5.8571983720727798E-3</v>
      </c>
      <c r="G48" s="100">
        <v>4.0269658287647603E-3</v>
      </c>
      <c r="H48" s="100">
        <v>3.1729543839229299E-3</v>
      </c>
      <c r="I48" s="100">
        <v>4.66758997396671E-3</v>
      </c>
      <c r="J48" s="100">
        <v>8.6693756990026492E-3</v>
      </c>
      <c r="K48" s="100">
        <v>9.0855049895981303E-3</v>
      </c>
      <c r="L48" s="100">
        <v>8.8067896879083993E-3</v>
      </c>
      <c r="M48" s="100">
        <v>7.8354640066911705E-3</v>
      </c>
      <c r="N48" s="100">
        <v>4.1068811955736698E-3</v>
      </c>
      <c r="O48" s="100">
        <v>4.5897485312215297E-3</v>
      </c>
      <c r="P48" s="100">
        <v>3.9652985597188797E-3</v>
      </c>
      <c r="Q48" s="100">
        <v>5.5418591071098103E-3</v>
      </c>
      <c r="R48" s="100">
        <v>5.8526570922913298E-3</v>
      </c>
      <c r="S48" s="100">
        <v>8.9156109256994208E-3</v>
      </c>
      <c r="T48" s="100">
        <v>4.1502261520741804E-3</v>
      </c>
      <c r="U48" s="100">
        <v>4.0290933639059896E-3</v>
      </c>
      <c r="V48" s="100">
        <v>7.3015380963681901E-3</v>
      </c>
      <c r="W48" s="100">
        <v>5.4522231903220602E-3</v>
      </c>
      <c r="X48" s="100">
        <v>5.0256379487580802E-3</v>
      </c>
      <c r="Y48" s="100">
        <v>6.87766976090923E-3</v>
      </c>
      <c r="Z48" s="100">
        <v>5.2720135780870998E-3</v>
      </c>
      <c r="AA48" s="100">
        <v>5.1650147574607303E-3</v>
      </c>
      <c r="AB48" s="100">
        <v>6.23523825863922E-3</v>
      </c>
      <c r="AC48" s="100">
        <v>5.7872216401082099E-3</v>
      </c>
      <c r="AD48" s="100">
        <v>4.3083897022087097E-3</v>
      </c>
      <c r="AE48" s="100">
        <v>5.4255052574166103E-3</v>
      </c>
      <c r="AF48" s="100">
        <v>2.7893023609625298E-3</v>
      </c>
      <c r="AG48" s="100">
        <v>4.2327508517437697E-3</v>
      </c>
      <c r="AH48" s="100">
        <v>4.0945073967846198E-3</v>
      </c>
      <c r="AI48" s="100">
        <v>4.9063286149556096E-3</v>
      </c>
      <c r="AJ48" s="100">
        <v>4.6368271042607004E-3</v>
      </c>
      <c r="AK48" s="100">
        <v>3.24096218931101E-3</v>
      </c>
      <c r="AL48" s="100">
        <v>4.2817079873742501E-3</v>
      </c>
      <c r="AM48" s="100">
        <v>2.3754203382927298E-3</v>
      </c>
      <c r="AN48" s="100">
        <v>2.4932738720347702E-3</v>
      </c>
      <c r="AO48" s="100">
        <v>1.7847966262112499E-3</v>
      </c>
      <c r="AP48" s="100">
        <v>3.06595715925793E-3</v>
      </c>
      <c r="AQ48" s="100">
        <v>4.6782044263490004E-3</v>
      </c>
      <c r="AR48" s="100">
        <v>1.3128890561142401E-2</v>
      </c>
      <c r="AS48" s="100">
        <v>1.0073028732498699</v>
      </c>
      <c r="AT48" s="100">
        <v>2.6943708523926801E-3</v>
      </c>
      <c r="AU48" s="100">
        <v>5.2432990076057102E-3</v>
      </c>
      <c r="AV48" s="100">
        <v>2.3652247699186002E-3</v>
      </c>
      <c r="AW48" s="100">
        <v>4.5869352884857001E-3</v>
      </c>
      <c r="AX48" s="100">
        <v>3.2799731918344301E-3</v>
      </c>
      <c r="AY48" s="100">
        <v>1.5175730967479299E-3</v>
      </c>
      <c r="AZ48" s="100">
        <v>9.2304663722245E-4</v>
      </c>
      <c r="BA48" s="100">
        <v>7.2519067723054499E-4</v>
      </c>
      <c r="BB48" s="100">
        <v>5.0456203843516202E-4</v>
      </c>
      <c r="BC48" s="100">
        <v>1.38344130113308E-4</v>
      </c>
      <c r="BD48" s="100">
        <v>8.1472600577413702E-4</v>
      </c>
      <c r="BE48" s="100">
        <v>1.4591370230370201E-3</v>
      </c>
      <c r="BF48" s="100">
        <v>1.34353471387129E-3</v>
      </c>
      <c r="BG48" s="100">
        <v>1.57041926014129E-3</v>
      </c>
      <c r="BH48" s="100">
        <v>9.8075592529426594E-4</v>
      </c>
      <c r="BI48" s="100">
        <v>7.4019247776229205E-4</v>
      </c>
      <c r="BJ48" s="100">
        <v>7.1290994577350895E-4</v>
      </c>
      <c r="BK48" s="100">
        <v>5.9126837683246903E-4</v>
      </c>
      <c r="BL48" s="100">
        <v>8.6895507481157797E-4</v>
      </c>
      <c r="BM48" s="100">
        <v>1.7748355002439799E-3</v>
      </c>
      <c r="BN48" s="100">
        <v>1.2110205298239401E-3</v>
      </c>
      <c r="BO48" s="100">
        <v>1.4276957352361301E-3</v>
      </c>
      <c r="BP48" s="100">
        <v>1.9075076312885699E-3</v>
      </c>
      <c r="BQ48" s="101">
        <v>0</v>
      </c>
    </row>
    <row r="49" spans="1:69" ht="15" customHeight="1" x14ac:dyDescent="0.3">
      <c r="A49" s="33" t="s">
        <v>67</v>
      </c>
      <c r="B49" s="11" t="s">
        <v>135</v>
      </c>
      <c r="C49" s="99">
        <v>7.9597224423109297E-4</v>
      </c>
      <c r="D49" s="100">
        <v>8.18364862376267E-4</v>
      </c>
      <c r="E49" s="100">
        <v>4.7036254325555501E-4</v>
      </c>
      <c r="F49" s="100">
        <v>1.21767073634347E-3</v>
      </c>
      <c r="G49" s="100">
        <v>5.95346659880108E-3</v>
      </c>
      <c r="H49" s="100">
        <v>8.6514832987950104E-4</v>
      </c>
      <c r="I49" s="100">
        <v>1.8770052044103499E-3</v>
      </c>
      <c r="J49" s="100">
        <v>1.9367821466744601E-3</v>
      </c>
      <c r="K49" s="100">
        <v>1.2188816468008199E-3</v>
      </c>
      <c r="L49" s="100">
        <v>1.69999051608183E-3</v>
      </c>
      <c r="M49" s="100">
        <v>1.9932981254356099E-3</v>
      </c>
      <c r="N49" s="100">
        <v>2.5990040486768098E-3</v>
      </c>
      <c r="O49" s="100">
        <v>1.29250199675185E-3</v>
      </c>
      <c r="P49" s="100">
        <v>1.2093482464481599E-3</v>
      </c>
      <c r="Q49" s="100">
        <v>1.7146229801620601E-3</v>
      </c>
      <c r="R49" s="100">
        <v>2.23335172996264E-3</v>
      </c>
      <c r="S49" s="100">
        <v>2.1280709520017202E-3</v>
      </c>
      <c r="T49" s="100">
        <v>1.57976114444426E-3</v>
      </c>
      <c r="U49" s="100">
        <v>2.4663879275149802E-3</v>
      </c>
      <c r="V49" s="100">
        <v>1.3010908987437599E-3</v>
      </c>
      <c r="W49" s="100">
        <v>2.04471973351447E-3</v>
      </c>
      <c r="X49" s="100">
        <v>3.2104732497141102E-3</v>
      </c>
      <c r="Y49" s="100">
        <v>1.5858959951575199E-3</v>
      </c>
      <c r="Z49" s="100">
        <v>2.16961612816482E-3</v>
      </c>
      <c r="AA49" s="100">
        <v>1.44737930682218E-3</v>
      </c>
      <c r="AB49" s="100">
        <v>1.9703011952429501E-3</v>
      </c>
      <c r="AC49" s="100">
        <v>1.1978596435344799E-3</v>
      </c>
      <c r="AD49" s="100">
        <v>1.1569916906384501E-3</v>
      </c>
      <c r="AE49" s="100">
        <v>1.2854382228312999E-3</v>
      </c>
      <c r="AF49" s="100">
        <v>1.8837486764097301E-3</v>
      </c>
      <c r="AG49" s="100">
        <v>2.17556429752119E-3</v>
      </c>
      <c r="AH49" s="100">
        <v>1.7555464275127301E-3</v>
      </c>
      <c r="AI49" s="100">
        <v>1.85192930059451E-3</v>
      </c>
      <c r="AJ49" s="100">
        <v>1.57019352538232E-3</v>
      </c>
      <c r="AK49" s="100">
        <v>1.06186075482775E-3</v>
      </c>
      <c r="AL49" s="100">
        <v>1.3010293606961301E-3</v>
      </c>
      <c r="AM49" s="100">
        <v>1.2643410448707E-3</v>
      </c>
      <c r="AN49" s="100">
        <v>1.93311083139526E-3</v>
      </c>
      <c r="AO49" s="100">
        <v>1.1623490417799901E-3</v>
      </c>
      <c r="AP49" s="100">
        <v>2.0224118727671498E-3</v>
      </c>
      <c r="AQ49" s="100">
        <v>2.6941279768760099E-3</v>
      </c>
      <c r="AR49" s="100">
        <v>1.66646246977011E-3</v>
      </c>
      <c r="AS49" s="100">
        <v>4.3324203065224099E-3</v>
      </c>
      <c r="AT49" s="100">
        <v>1.0017106128120301</v>
      </c>
      <c r="AU49" s="100">
        <v>4.2304991614153103E-3</v>
      </c>
      <c r="AV49" s="100">
        <v>2.2795912377950099E-3</v>
      </c>
      <c r="AW49" s="100">
        <v>1.0908442591185E-3</v>
      </c>
      <c r="AX49" s="100">
        <v>1.73361618368579E-3</v>
      </c>
      <c r="AY49" s="100">
        <v>3.5793363785393099E-3</v>
      </c>
      <c r="AZ49" s="100">
        <v>2.1007745959873399E-3</v>
      </c>
      <c r="BA49" s="100">
        <v>3.6517637434881102E-3</v>
      </c>
      <c r="BB49" s="100">
        <v>2.8839565209202202E-3</v>
      </c>
      <c r="BC49" s="100">
        <v>2.1605599592448599E-4</v>
      </c>
      <c r="BD49" s="100">
        <v>2.9427539989323602E-3</v>
      </c>
      <c r="BE49" s="100">
        <v>3.5698192204895898E-3</v>
      </c>
      <c r="BF49" s="100">
        <v>5.2789011486257097E-3</v>
      </c>
      <c r="BG49" s="100">
        <v>1.78588775329997E-3</v>
      </c>
      <c r="BH49" s="100">
        <v>1.5836390687511801E-3</v>
      </c>
      <c r="BI49" s="100">
        <v>9.2265949731970196E-4</v>
      </c>
      <c r="BJ49" s="100">
        <v>1.44481235413541E-3</v>
      </c>
      <c r="BK49" s="100">
        <v>7.0440216399634702E-4</v>
      </c>
      <c r="BL49" s="100">
        <v>1.0593942871345101E-2</v>
      </c>
      <c r="BM49" s="100">
        <v>2.4734396952965101E-3</v>
      </c>
      <c r="BN49" s="100">
        <v>6.6465502689026096E-4</v>
      </c>
      <c r="BO49" s="100">
        <v>2.56018557459656E-3</v>
      </c>
      <c r="BP49" s="100">
        <v>2.51380898767385E-2</v>
      </c>
      <c r="BQ49" s="101">
        <v>0</v>
      </c>
    </row>
    <row r="50" spans="1:69" ht="15" customHeight="1" x14ac:dyDescent="0.3">
      <c r="A50" s="33" t="s">
        <v>68</v>
      </c>
      <c r="B50" s="11" t="s">
        <v>136</v>
      </c>
      <c r="C50" s="99">
        <v>1.1459539733046401E-2</v>
      </c>
      <c r="D50" s="100">
        <v>8.2508020796161104E-3</v>
      </c>
      <c r="E50" s="100">
        <v>1.00455183025352E-2</v>
      </c>
      <c r="F50" s="100">
        <v>1.0708560440795101E-2</v>
      </c>
      <c r="G50" s="100">
        <v>1.73326621091844E-2</v>
      </c>
      <c r="H50" s="100">
        <v>2.4794363018306498E-2</v>
      </c>
      <c r="I50" s="100">
        <v>2.6326994217161101E-2</v>
      </c>
      <c r="J50" s="100">
        <v>2.44577975629994E-2</v>
      </c>
      <c r="K50" s="100">
        <v>5.7875934688766201E-2</v>
      </c>
      <c r="L50" s="100">
        <v>2.43549723898723E-2</v>
      </c>
      <c r="M50" s="100">
        <v>4.3468317106134503E-2</v>
      </c>
      <c r="N50" s="100">
        <v>1.43117614837742E-2</v>
      </c>
      <c r="O50" s="100">
        <v>1.21770338739987E-2</v>
      </c>
      <c r="P50" s="100">
        <v>9.7540158994608699E-3</v>
      </c>
      <c r="Q50" s="100">
        <v>1.3840847576713699E-2</v>
      </c>
      <c r="R50" s="100">
        <v>2.0183947106799199E-2</v>
      </c>
      <c r="S50" s="100">
        <v>3.1471311817880099E-2</v>
      </c>
      <c r="T50" s="100">
        <v>1.9063594182869601E-2</v>
      </c>
      <c r="U50" s="100">
        <v>1.5606662360194101E-2</v>
      </c>
      <c r="V50" s="100">
        <v>3.8025496038917E-2</v>
      </c>
      <c r="W50" s="100">
        <v>1.3979410976284501E-2</v>
      </c>
      <c r="X50" s="100">
        <v>1.9325346020405601E-2</v>
      </c>
      <c r="Y50" s="100">
        <v>2.18958839385055E-2</v>
      </c>
      <c r="Z50" s="100">
        <v>1.6974948340922998E-2</v>
      </c>
      <c r="AA50" s="100">
        <v>1.1702107627648201E-2</v>
      </c>
      <c r="AB50" s="100">
        <v>1.40299968091775E-2</v>
      </c>
      <c r="AC50" s="100">
        <v>2.7415349053591501E-2</v>
      </c>
      <c r="AD50" s="100">
        <v>1.10369871806511E-2</v>
      </c>
      <c r="AE50" s="100">
        <v>2.1733041909522698E-2</v>
      </c>
      <c r="AF50" s="100">
        <v>1.1692091160473501E-2</v>
      </c>
      <c r="AG50" s="100">
        <v>2.0113591264077101E-2</v>
      </c>
      <c r="AH50" s="100">
        <v>1.2590207164810499E-2</v>
      </c>
      <c r="AI50" s="100">
        <v>2.7036349355874002E-2</v>
      </c>
      <c r="AJ50" s="100">
        <v>1.76314477857871E-2</v>
      </c>
      <c r="AK50" s="100">
        <v>1.30260986303888E-2</v>
      </c>
      <c r="AL50" s="100">
        <v>1.40228403179899E-2</v>
      </c>
      <c r="AM50" s="100">
        <v>9.5788478878083994E-3</v>
      </c>
      <c r="AN50" s="100">
        <v>6.2929550031914404E-3</v>
      </c>
      <c r="AO50" s="100">
        <v>4.5810603787539697E-3</v>
      </c>
      <c r="AP50" s="100">
        <v>9.1214611018359103E-3</v>
      </c>
      <c r="AQ50" s="100">
        <v>2.1766918642805201E-2</v>
      </c>
      <c r="AR50" s="100">
        <v>3.7239522280960898E-2</v>
      </c>
      <c r="AS50" s="100">
        <v>0.12795820511896</v>
      </c>
      <c r="AT50" s="100">
        <v>0.12874802252589601</v>
      </c>
      <c r="AU50" s="100">
        <v>1.0470988449576599</v>
      </c>
      <c r="AV50" s="100">
        <v>8.4142426558060004E-3</v>
      </c>
      <c r="AW50" s="100">
        <v>1.3329242668095501E-2</v>
      </c>
      <c r="AX50" s="100">
        <v>1.08139211982623E-2</v>
      </c>
      <c r="AY50" s="100">
        <v>7.3333089545784798E-3</v>
      </c>
      <c r="AZ50" s="100">
        <v>7.9479514959891299E-3</v>
      </c>
      <c r="BA50" s="100">
        <v>4.2182112524626197E-3</v>
      </c>
      <c r="BB50" s="100">
        <v>9.0164218795987204E-3</v>
      </c>
      <c r="BC50" s="100">
        <v>9.3126598892569299E-4</v>
      </c>
      <c r="BD50" s="100">
        <v>5.8711621515310803E-3</v>
      </c>
      <c r="BE50" s="100">
        <v>7.8613874856782503E-3</v>
      </c>
      <c r="BF50" s="100">
        <v>8.8640092048992997E-3</v>
      </c>
      <c r="BG50" s="100">
        <v>8.4779362749001393E-3</v>
      </c>
      <c r="BH50" s="100">
        <v>6.8132100904608099E-3</v>
      </c>
      <c r="BI50" s="100">
        <v>4.5689436352549899E-3</v>
      </c>
      <c r="BJ50" s="100">
        <v>6.7555096913536504E-3</v>
      </c>
      <c r="BK50" s="100">
        <v>2.7663052865468502E-3</v>
      </c>
      <c r="BL50" s="100">
        <v>8.6070569793742606E-3</v>
      </c>
      <c r="BM50" s="100">
        <v>7.27064085088609E-3</v>
      </c>
      <c r="BN50" s="100">
        <v>4.7495424143493203E-3</v>
      </c>
      <c r="BO50" s="100">
        <v>6.2170053531907304E-3</v>
      </c>
      <c r="BP50" s="100">
        <v>1.8361080436913198E-2</v>
      </c>
      <c r="BQ50" s="101">
        <v>0</v>
      </c>
    </row>
    <row r="51" spans="1:69" ht="15" customHeight="1" x14ac:dyDescent="0.3">
      <c r="A51" s="33" t="s">
        <v>69</v>
      </c>
      <c r="B51" s="11" t="s">
        <v>137</v>
      </c>
      <c r="C51" s="99">
        <v>5.9964351147803404E-4</v>
      </c>
      <c r="D51" s="100">
        <v>7.4876795003959399E-4</v>
      </c>
      <c r="E51" s="100">
        <v>4.0980816999389901E-4</v>
      </c>
      <c r="F51" s="100">
        <v>1.4345893310000299E-3</v>
      </c>
      <c r="G51" s="100">
        <v>1.4297773283909699E-3</v>
      </c>
      <c r="H51" s="100">
        <v>1.30463329787661E-3</v>
      </c>
      <c r="I51" s="100">
        <v>1.4891387920142199E-3</v>
      </c>
      <c r="J51" s="100">
        <v>2.08371488710195E-3</v>
      </c>
      <c r="K51" s="100">
        <v>1.45553655723764E-3</v>
      </c>
      <c r="L51" s="100">
        <v>1.80721728359276E-3</v>
      </c>
      <c r="M51" s="100">
        <v>2.0775125998779799E-3</v>
      </c>
      <c r="N51" s="100">
        <v>3.4240670479813102E-3</v>
      </c>
      <c r="O51" s="100">
        <v>1.25674203835437E-3</v>
      </c>
      <c r="P51" s="100">
        <v>1.20499805998086E-3</v>
      </c>
      <c r="Q51" s="100">
        <v>1.6179744735686499E-3</v>
      </c>
      <c r="R51" s="100">
        <v>1.2942757663550199E-3</v>
      </c>
      <c r="S51" s="100">
        <v>2.0013989294246299E-3</v>
      </c>
      <c r="T51" s="100">
        <v>1.4968245755612199E-3</v>
      </c>
      <c r="U51" s="100">
        <v>9.1708663405165797E-4</v>
      </c>
      <c r="V51" s="100">
        <v>1.3352343793482601E-3</v>
      </c>
      <c r="W51" s="100">
        <v>1.34144238316233E-3</v>
      </c>
      <c r="X51" s="100">
        <v>2.33992819797155E-3</v>
      </c>
      <c r="Y51" s="100">
        <v>1.94940227362416E-3</v>
      </c>
      <c r="Z51" s="100">
        <v>3.2533361556150199E-3</v>
      </c>
      <c r="AA51" s="100">
        <v>1.7340956074713E-3</v>
      </c>
      <c r="AB51" s="100">
        <v>1.83318522972503E-3</v>
      </c>
      <c r="AC51" s="100">
        <v>1.7147141485274E-3</v>
      </c>
      <c r="AD51" s="100">
        <v>1.43647188854762E-3</v>
      </c>
      <c r="AE51" s="100">
        <v>2.2558721502117999E-3</v>
      </c>
      <c r="AF51" s="100">
        <v>1.7111405701846899E-3</v>
      </c>
      <c r="AG51" s="100">
        <v>2.1890751792347902E-3</v>
      </c>
      <c r="AH51" s="100">
        <v>2.7600128696031899E-3</v>
      </c>
      <c r="AI51" s="100">
        <v>1.93313232377297E-3</v>
      </c>
      <c r="AJ51" s="100">
        <v>1.8032395982975099E-3</v>
      </c>
      <c r="AK51" s="100">
        <v>1.5624385808400199E-3</v>
      </c>
      <c r="AL51" s="100">
        <v>2.1663890997353102E-3</v>
      </c>
      <c r="AM51" s="100">
        <v>1.51512622640409E-3</v>
      </c>
      <c r="AN51" s="100">
        <v>1.1929695907328299E-3</v>
      </c>
      <c r="AO51" s="100">
        <v>8.3733597427646195E-4</v>
      </c>
      <c r="AP51" s="100">
        <v>2.5191988417808801E-3</v>
      </c>
      <c r="AQ51" s="100">
        <v>3.0317962291840101E-3</v>
      </c>
      <c r="AR51" s="100">
        <v>1.3075564483442199E-3</v>
      </c>
      <c r="AS51" s="100">
        <v>9.9796878486332809E-4</v>
      </c>
      <c r="AT51" s="100">
        <v>2.4038120220691399E-3</v>
      </c>
      <c r="AU51" s="100">
        <v>2.3471818215794098E-3</v>
      </c>
      <c r="AV51" s="100">
        <v>1.00084552167845</v>
      </c>
      <c r="AW51" s="100">
        <v>1.0594408515430501E-3</v>
      </c>
      <c r="AX51" s="100">
        <v>4.2654042479483298E-3</v>
      </c>
      <c r="AY51" s="100">
        <v>4.5925468065052596E-3</v>
      </c>
      <c r="AZ51" s="100">
        <v>1.9718523184817402E-3</v>
      </c>
      <c r="BA51" s="100">
        <v>3.9566018184185904E-3</v>
      </c>
      <c r="BB51" s="100">
        <v>1.97277987316001E-3</v>
      </c>
      <c r="BC51" s="100">
        <v>2.13592817442781E-4</v>
      </c>
      <c r="BD51" s="100">
        <v>1.8096751966059201E-3</v>
      </c>
      <c r="BE51" s="100">
        <v>4.4999438651983003E-3</v>
      </c>
      <c r="BF51" s="100">
        <v>3.7665168839707301E-3</v>
      </c>
      <c r="BG51" s="100">
        <v>3.1032203266815502E-3</v>
      </c>
      <c r="BH51" s="100">
        <v>1.30795399073066E-3</v>
      </c>
      <c r="BI51" s="100">
        <v>1.4427150206002099E-3</v>
      </c>
      <c r="BJ51" s="100">
        <v>2.7807856258705902E-3</v>
      </c>
      <c r="BK51" s="100">
        <v>8.4053736360489796E-4</v>
      </c>
      <c r="BL51" s="100">
        <v>3.1636085654224602E-3</v>
      </c>
      <c r="BM51" s="100">
        <v>2.8102479079150202E-3</v>
      </c>
      <c r="BN51" s="100">
        <v>7.3807017435728703E-4</v>
      </c>
      <c r="BO51" s="100">
        <v>3.9322233063582204E-3</v>
      </c>
      <c r="BP51" s="100">
        <v>3.1459569289962797E-2</v>
      </c>
      <c r="BQ51" s="101">
        <v>0</v>
      </c>
    </row>
    <row r="52" spans="1:69" ht="15" customHeight="1" x14ac:dyDescent="0.3">
      <c r="A52" s="33" t="s">
        <v>70</v>
      </c>
      <c r="B52" s="11" t="s">
        <v>138</v>
      </c>
      <c r="C52" s="99">
        <v>6.6493033460819195E-4</v>
      </c>
      <c r="D52" s="100">
        <v>7.7215268180381405E-4</v>
      </c>
      <c r="E52" s="100">
        <v>4.58866292374479E-4</v>
      </c>
      <c r="F52" s="100">
        <v>1.51597370811104E-3</v>
      </c>
      <c r="G52" s="100">
        <v>1.9217920531433999E-3</v>
      </c>
      <c r="H52" s="100">
        <v>9.1250266455766903E-4</v>
      </c>
      <c r="I52" s="100">
        <v>1.48979432708993E-3</v>
      </c>
      <c r="J52" s="100">
        <v>1.34360725840004E-3</v>
      </c>
      <c r="K52" s="100">
        <v>1.2834709682605901E-3</v>
      </c>
      <c r="L52" s="100">
        <v>1.73531318811095E-3</v>
      </c>
      <c r="M52" s="100">
        <v>2.1590028666785299E-3</v>
      </c>
      <c r="N52" s="100">
        <v>1.6777775559967899E-3</v>
      </c>
      <c r="O52" s="100">
        <v>1.1516435789399001E-3</v>
      </c>
      <c r="P52" s="100">
        <v>1.0214462519011001E-3</v>
      </c>
      <c r="Q52" s="100">
        <v>1.18029095443752E-3</v>
      </c>
      <c r="R52" s="100">
        <v>1.18614847208215E-3</v>
      </c>
      <c r="S52" s="100">
        <v>1.5341455648654799E-3</v>
      </c>
      <c r="T52" s="100">
        <v>2.27408430860109E-3</v>
      </c>
      <c r="U52" s="100">
        <v>1.12664320529767E-3</v>
      </c>
      <c r="V52" s="100">
        <v>1.27941246281415E-3</v>
      </c>
      <c r="W52" s="100">
        <v>1.6145797827265601E-3</v>
      </c>
      <c r="X52" s="100">
        <v>2.7353002620046701E-3</v>
      </c>
      <c r="Y52" s="100">
        <v>1.6358484104251399E-3</v>
      </c>
      <c r="Z52" s="100">
        <v>5.2367298119162398E-3</v>
      </c>
      <c r="AA52" s="100">
        <v>1.3290357752635199E-3</v>
      </c>
      <c r="AB52" s="100">
        <v>1.39883504470701E-3</v>
      </c>
      <c r="AC52" s="100">
        <v>1.10041309537397E-3</v>
      </c>
      <c r="AD52" s="100">
        <v>1.8420072721327899E-3</v>
      </c>
      <c r="AE52" s="100">
        <v>1.39968805070359E-3</v>
      </c>
      <c r="AF52" s="100">
        <v>1.0509573704294199E-3</v>
      </c>
      <c r="AG52" s="100">
        <v>1.23222154470577E-3</v>
      </c>
      <c r="AH52" s="100">
        <v>1.8772733879970601E-3</v>
      </c>
      <c r="AI52" s="100">
        <v>3.12194203920221E-3</v>
      </c>
      <c r="AJ52" s="100">
        <v>1.2477621529624701E-3</v>
      </c>
      <c r="AK52" s="100">
        <v>8.6729558638369098E-4</v>
      </c>
      <c r="AL52" s="100">
        <v>1.0075665919972599E-3</v>
      </c>
      <c r="AM52" s="100">
        <v>1.7497479587180701E-3</v>
      </c>
      <c r="AN52" s="100">
        <v>1.96595799702271E-3</v>
      </c>
      <c r="AO52" s="100">
        <v>9.3528499960606002E-4</v>
      </c>
      <c r="AP52" s="100">
        <v>8.9442496734570896E-4</v>
      </c>
      <c r="AQ52" s="100">
        <v>2.1853927485756199E-3</v>
      </c>
      <c r="AR52" s="100">
        <v>1.1029345880796701E-3</v>
      </c>
      <c r="AS52" s="100">
        <v>1.35700584281994E-3</v>
      </c>
      <c r="AT52" s="100">
        <v>2.1149245280853199E-2</v>
      </c>
      <c r="AU52" s="100">
        <v>2.04495308658087E-3</v>
      </c>
      <c r="AV52" s="100">
        <v>1.30126209440921E-2</v>
      </c>
      <c r="AW52" s="100">
        <v>1.0010766487943501</v>
      </c>
      <c r="AX52" s="100">
        <v>1.7979480352742E-3</v>
      </c>
      <c r="AY52" s="100">
        <v>2.3323877275157601E-2</v>
      </c>
      <c r="AZ52" s="100">
        <v>4.1424894948402097E-3</v>
      </c>
      <c r="BA52" s="100">
        <v>1.92757568539126E-3</v>
      </c>
      <c r="BB52" s="100">
        <v>6.1827710622407101E-3</v>
      </c>
      <c r="BC52" s="100">
        <v>4.1623236707056101E-4</v>
      </c>
      <c r="BD52" s="100">
        <v>7.5739560684688501E-3</v>
      </c>
      <c r="BE52" s="100">
        <v>1.50106988668014E-3</v>
      </c>
      <c r="BF52" s="100">
        <v>9.0452268790458291E-3</v>
      </c>
      <c r="BG52" s="100">
        <v>1.31267973508251E-3</v>
      </c>
      <c r="BH52" s="100">
        <v>6.5388925636746097E-3</v>
      </c>
      <c r="BI52" s="100">
        <v>1.0185836129745799E-3</v>
      </c>
      <c r="BJ52" s="100">
        <v>1.20960555964895E-2</v>
      </c>
      <c r="BK52" s="100">
        <v>5.5062932648198603E-3</v>
      </c>
      <c r="BL52" s="100">
        <v>3.8104432231199398E-3</v>
      </c>
      <c r="BM52" s="100">
        <v>2.5254859193687199E-2</v>
      </c>
      <c r="BN52" s="100">
        <v>1.42597710071514E-2</v>
      </c>
      <c r="BO52" s="100">
        <v>3.4333540837001202E-3</v>
      </c>
      <c r="BP52" s="100">
        <v>6.3428517417515304E-2</v>
      </c>
      <c r="BQ52" s="101">
        <v>0</v>
      </c>
    </row>
    <row r="53" spans="1:69" ht="15" customHeight="1" x14ac:dyDescent="0.3">
      <c r="A53" s="33" t="s">
        <v>71</v>
      </c>
      <c r="B53" s="11" t="s">
        <v>139</v>
      </c>
      <c r="C53" s="99">
        <v>2.70506282468235E-4</v>
      </c>
      <c r="D53" s="100">
        <v>3.1658597580694402E-4</v>
      </c>
      <c r="E53" s="100">
        <v>1.7800137840909199E-4</v>
      </c>
      <c r="F53" s="100">
        <v>3.8653251836629399E-4</v>
      </c>
      <c r="G53" s="100">
        <v>2.6540434595652402E-4</v>
      </c>
      <c r="H53" s="100">
        <v>2.15427209510207E-4</v>
      </c>
      <c r="I53" s="100">
        <v>2.7064050069801798E-4</v>
      </c>
      <c r="J53" s="100">
        <v>6.2411505263185196E-4</v>
      </c>
      <c r="K53" s="100">
        <v>4.71600705365228E-4</v>
      </c>
      <c r="L53" s="100">
        <v>6.3348645644188001E-4</v>
      </c>
      <c r="M53" s="100">
        <v>2.0262124509875302E-3</v>
      </c>
      <c r="N53" s="100">
        <v>9.3329691211252203E-4</v>
      </c>
      <c r="O53" s="100">
        <v>3.81534840337144E-4</v>
      </c>
      <c r="P53" s="100">
        <v>4.3649134044641802E-4</v>
      </c>
      <c r="Q53" s="100">
        <v>7.9854628312405504E-4</v>
      </c>
      <c r="R53" s="100">
        <v>3.8110440583584399E-4</v>
      </c>
      <c r="S53" s="100">
        <v>6.1867324523731898E-4</v>
      </c>
      <c r="T53" s="100">
        <v>1.2351242780169001E-3</v>
      </c>
      <c r="U53" s="100">
        <v>2.5052587697968698E-4</v>
      </c>
      <c r="V53" s="100">
        <v>4.5338614481054199E-4</v>
      </c>
      <c r="W53" s="100">
        <v>9.8589104319019493E-4</v>
      </c>
      <c r="X53" s="100">
        <v>5.97023169743826E-4</v>
      </c>
      <c r="Y53" s="100">
        <v>1.02770297427765E-3</v>
      </c>
      <c r="Z53" s="100">
        <v>9.4595839043764803E-4</v>
      </c>
      <c r="AA53" s="100">
        <v>5.5651740221425298E-4</v>
      </c>
      <c r="AB53" s="100">
        <v>4.6766591946890198E-4</v>
      </c>
      <c r="AC53" s="100">
        <v>3.1129671865057299E-4</v>
      </c>
      <c r="AD53" s="100">
        <v>3.25969602433469E-4</v>
      </c>
      <c r="AE53" s="100">
        <v>4.09067120597315E-4</v>
      </c>
      <c r="AF53" s="100">
        <v>5.5691378216810104E-4</v>
      </c>
      <c r="AG53" s="100">
        <v>5.0602737976661804E-4</v>
      </c>
      <c r="AH53" s="100">
        <v>4.1314028974722599E-4</v>
      </c>
      <c r="AI53" s="100">
        <v>7.9237485561538604E-4</v>
      </c>
      <c r="AJ53" s="100">
        <v>3.9570094312821899E-4</v>
      </c>
      <c r="AK53" s="100">
        <v>3.6735269998191199E-4</v>
      </c>
      <c r="AL53" s="100">
        <v>4.27218603586585E-4</v>
      </c>
      <c r="AM53" s="100">
        <v>4.2820387058610499E-4</v>
      </c>
      <c r="AN53" s="100">
        <v>6.15546351252338E-4</v>
      </c>
      <c r="AO53" s="100">
        <v>3.4806421079196801E-4</v>
      </c>
      <c r="AP53" s="100">
        <v>3.34172471563967E-4</v>
      </c>
      <c r="AQ53" s="100">
        <v>9.1854000787126204E-4</v>
      </c>
      <c r="AR53" s="100">
        <v>3.6171447778117499E-4</v>
      </c>
      <c r="AS53" s="100">
        <v>3.7848445655246001E-4</v>
      </c>
      <c r="AT53" s="100">
        <v>4.83477628677535E-4</v>
      </c>
      <c r="AU53" s="100">
        <v>6.0782146947043196E-4</v>
      </c>
      <c r="AV53" s="100">
        <v>2.0303885068223598E-3</v>
      </c>
      <c r="AW53" s="100">
        <v>5.3642151768191603E-4</v>
      </c>
      <c r="AX53" s="100">
        <v>1.00297479619193</v>
      </c>
      <c r="AY53" s="100">
        <v>1.82628381205661E-3</v>
      </c>
      <c r="AZ53" s="100">
        <v>1.4104263796267699E-3</v>
      </c>
      <c r="BA53" s="100">
        <v>6.4672321785094202E-4</v>
      </c>
      <c r="BB53" s="100">
        <v>2.2351977406853498E-3</v>
      </c>
      <c r="BC53" s="100">
        <v>1.8014185418289901E-4</v>
      </c>
      <c r="BD53" s="100">
        <v>1.75865134033883E-3</v>
      </c>
      <c r="BE53" s="100">
        <v>2.03946166206766E-3</v>
      </c>
      <c r="BF53" s="100">
        <v>2.1775481469147099E-2</v>
      </c>
      <c r="BG53" s="100">
        <v>1.02890107314042E-3</v>
      </c>
      <c r="BH53" s="100">
        <v>5.6838976714221302E-4</v>
      </c>
      <c r="BI53" s="100">
        <v>3.78886653808809E-4</v>
      </c>
      <c r="BJ53" s="100">
        <v>1.3803853122354799E-3</v>
      </c>
      <c r="BK53" s="100">
        <v>6.0417449816923697E-3</v>
      </c>
      <c r="BL53" s="100">
        <v>1.01903514394923E-2</v>
      </c>
      <c r="BM53" s="100">
        <v>5.9167603937976005E-4</v>
      </c>
      <c r="BN53" s="100">
        <v>5.3090625055430304E-4</v>
      </c>
      <c r="BO53" s="100">
        <v>1.4418678508780001E-3</v>
      </c>
      <c r="BP53" s="100">
        <v>1.34802697146619E-3</v>
      </c>
      <c r="BQ53" s="101">
        <v>0</v>
      </c>
    </row>
    <row r="54" spans="1:69" ht="15" customHeight="1" x14ac:dyDescent="0.3">
      <c r="A54" s="33" t="s">
        <v>72</v>
      </c>
      <c r="B54" s="11" t="s">
        <v>140</v>
      </c>
      <c r="C54" s="99">
        <v>1.0880884452180899E-3</v>
      </c>
      <c r="D54" s="100">
        <v>2.2650717889813599E-3</v>
      </c>
      <c r="E54" s="100">
        <v>1.3763745174158E-3</v>
      </c>
      <c r="F54" s="100">
        <v>2.4139916213098299E-3</v>
      </c>
      <c r="G54" s="100">
        <v>1.83665627668502E-3</v>
      </c>
      <c r="H54" s="100">
        <v>1.2380865353400999E-3</v>
      </c>
      <c r="I54" s="100">
        <v>1.48869874166033E-3</v>
      </c>
      <c r="J54" s="100">
        <v>5.3040815572521997E-3</v>
      </c>
      <c r="K54" s="100">
        <v>3.2842028827782701E-3</v>
      </c>
      <c r="L54" s="100">
        <v>5.3160714537361202E-3</v>
      </c>
      <c r="M54" s="100">
        <v>2.2118775829881799E-2</v>
      </c>
      <c r="N54" s="100">
        <v>8.4548770368774E-3</v>
      </c>
      <c r="O54" s="100">
        <v>2.2577219496005101E-3</v>
      </c>
      <c r="P54" s="100">
        <v>3.7965808258218501E-3</v>
      </c>
      <c r="Q54" s="100">
        <v>7.8044612060993498E-3</v>
      </c>
      <c r="R54" s="100">
        <v>2.47564230553422E-3</v>
      </c>
      <c r="S54" s="100">
        <v>4.3729141826275202E-3</v>
      </c>
      <c r="T54" s="100">
        <v>3.5606136548147699E-3</v>
      </c>
      <c r="U54" s="100">
        <v>1.6667674666623899E-3</v>
      </c>
      <c r="V54" s="100">
        <v>3.00414540104E-3</v>
      </c>
      <c r="W54" s="100">
        <v>1.75611915116038E-3</v>
      </c>
      <c r="X54" s="100">
        <v>3.7577508786497899E-3</v>
      </c>
      <c r="Y54" s="100">
        <v>9.5608657704612902E-3</v>
      </c>
      <c r="Z54" s="100">
        <v>9.5230432075193595E-3</v>
      </c>
      <c r="AA54" s="100">
        <v>3.2542002572364002E-3</v>
      </c>
      <c r="AB54" s="100">
        <v>3.1974079566738801E-3</v>
      </c>
      <c r="AC54" s="100">
        <v>1.9592813561316001E-3</v>
      </c>
      <c r="AD54" s="100">
        <v>1.89461717235637E-3</v>
      </c>
      <c r="AE54" s="100">
        <v>3.1322883224200499E-3</v>
      </c>
      <c r="AF54" s="100">
        <v>5.1762133369948797E-3</v>
      </c>
      <c r="AG54" s="100">
        <v>4.0880945176097498E-3</v>
      </c>
      <c r="AH54" s="100">
        <v>3.0959663391581902E-3</v>
      </c>
      <c r="AI54" s="100">
        <v>7.5951617102155197E-3</v>
      </c>
      <c r="AJ54" s="100">
        <v>2.72613356387827E-3</v>
      </c>
      <c r="AK54" s="100">
        <v>3.1388328416274199E-3</v>
      </c>
      <c r="AL54" s="100">
        <v>3.4454511556162798E-3</v>
      </c>
      <c r="AM54" s="100">
        <v>2.1801820336798299E-3</v>
      </c>
      <c r="AN54" s="100">
        <v>3.6948079908712202E-3</v>
      </c>
      <c r="AO54" s="100">
        <v>2.14026270505757E-3</v>
      </c>
      <c r="AP54" s="100">
        <v>2.5226216250690899E-3</v>
      </c>
      <c r="AQ54" s="100">
        <v>6.8138471817060101E-3</v>
      </c>
      <c r="AR54" s="100">
        <v>2.40756660508526E-3</v>
      </c>
      <c r="AS54" s="100">
        <v>2.4988934091323299E-3</v>
      </c>
      <c r="AT54" s="100">
        <v>3.7320150713978698E-3</v>
      </c>
      <c r="AU54" s="100">
        <v>5.0670260225961E-3</v>
      </c>
      <c r="AV54" s="100">
        <v>5.7145566859552101E-3</v>
      </c>
      <c r="AW54" s="100">
        <v>4.9616557424565803E-3</v>
      </c>
      <c r="AX54" s="100">
        <v>1.5226755722255301E-2</v>
      </c>
      <c r="AY54" s="100">
        <v>1.1711457619980501</v>
      </c>
      <c r="AZ54" s="100">
        <v>4.0078669497173203E-2</v>
      </c>
      <c r="BA54" s="100">
        <v>6.1279446904424799E-3</v>
      </c>
      <c r="BB54" s="100">
        <v>6.6784832046246304E-3</v>
      </c>
      <c r="BC54" s="100">
        <v>7.4680572672501796E-4</v>
      </c>
      <c r="BD54" s="100">
        <v>7.3484620661225302E-3</v>
      </c>
      <c r="BE54" s="100">
        <v>3.9851426544400296E-3</v>
      </c>
      <c r="BF54" s="100">
        <v>0.27043278549890498</v>
      </c>
      <c r="BG54" s="100">
        <v>7.1964269227855803E-3</v>
      </c>
      <c r="BH54" s="100">
        <v>3.6280410647742001E-3</v>
      </c>
      <c r="BI54" s="100">
        <v>2.9237588511329998E-3</v>
      </c>
      <c r="BJ54" s="100">
        <v>2.4163630370981999E-3</v>
      </c>
      <c r="BK54" s="100">
        <v>1.25830764924414E-3</v>
      </c>
      <c r="BL54" s="100">
        <v>8.3195589762050104E-3</v>
      </c>
      <c r="BM54" s="100">
        <v>3.1934997102731799E-3</v>
      </c>
      <c r="BN54" s="100">
        <v>1.4307504699276499E-3</v>
      </c>
      <c r="BO54" s="100">
        <v>1.6977818864719899E-2</v>
      </c>
      <c r="BP54" s="100">
        <v>5.6747385590667004E-3</v>
      </c>
      <c r="BQ54" s="101">
        <v>0</v>
      </c>
    </row>
    <row r="55" spans="1:69" ht="15" customHeight="1" x14ac:dyDescent="0.3">
      <c r="A55" s="33" t="s">
        <v>73</v>
      </c>
      <c r="B55" s="11" t="s">
        <v>141</v>
      </c>
      <c r="C55" s="99">
        <v>1.91766339231488E-3</v>
      </c>
      <c r="D55" s="100">
        <v>2.6263045185987502E-3</v>
      </c>
      <c r="E55" s="100">
        <v>1.4434750003211299E-3</v>
      </c>
      <c r="F55" s="100">
        <v>4.3987771290484702E-3</v>
      </c>
      <c r="G55" s="100">
        <v>4.3494859465467196E-3</v>
      </c>
      <c r="H55" s="100">
        <v>2.9909484894610301E-3</v>
      </c>
      <c r="I55" s="100">
        <v>3.7846973076625301E-3</v>
      </c>
      <c r="J55" s="100">
        <v>6.7455766472275698E-3</v>
      </c>
      <c r="K55" s="100">
        <v>6.9816780336949998E-3</v>
      </c>
      <c r="L55" s="100">
        <v>7.6844223425600799E-3</v>
      </c>
      <c r="M55" s="100">
        <v>1.1145232022106001E-2</v>
      </c>
      <c r="N55" s="100">
        <v>5.9196046895605798E-3</v>
      </c>
      <c r="O55" s="100">
        <v>6.5298313796502503E-3</v>
      </c>
      <c r="P55" s="100">
        <v>1.1994526338733699E-2</v>
      </c>
      <c r="Q55" s="100">
        <v>7.78646850690984E-3</v>
      </c>
      <c r="R55" s="100">
        <v>6.8167519354215E-3</v>
      </c>
      <c r="S55" s="100">
        <v>8.58486625874272E-3</v>
      </c>
      <c r="T55" s="100">
        <v>1.9768853590487901E-2</v>
      </c>
      <c r="U55" s="100">
        <v>3.6319842839526001E-3</v>
      </c>
      <c r="V55" s="100">
        <v>6.5809483166687204E-3</v>
      </c>
      <c r="W55" s="100">
        <v>4.1277175974851798E-3</v>
      </c>
      <c r="X55" s="100">
        <v>6.2628165801295998E-3</v>
      </c>
      <c r="Y55" s="100">
        <v>5.6950761124109697E-3</v>
      </c>
      <c r="Z55" s="100">
        <v>6.7096960730300198E-3</v>
      </c>
      <c r="AA55" s="100">
        <v>5.9993928622219701E-3</v>
      </c>
      <c r="AB55" s="100">
        <v>8.2950843748269693E-3</v>
      </c>
      <c r="AC55" s="100">
        <v>3.75122514220205E-3</v>
      </c>
      <c r="AD55" s="100">
        <v>3.8473853890433102E-3</v>
      </c>
      <c r="AE55" s="100">
        <v>6.2273273256389398E-3</v>
      </c>
      <c r="AF55" s="100">
        <v>9.4591264778005196E-3</v>
      </c>
      <c r="AG55" s="100">
        <v>7.9952457684366804E-3</v>
      </c>
      <c r="AH55" s="100">
        <v>6.4369312044024497E-3</v>
      </c>
      <c r="AI55" s="100">
        <v>1.23992837210309E-2</v>
      </c>
      <c r="AJ55" s="100">
        <v>1.4065245970046601E-2</v>
      </c>
      <c r="AK55" s="100">
        <v>5.7839446548263104E-3</v>
      </c>
      <c r="AL55" s="100">
        <v>8.7429973077247508E-3</v>
      </c>
      <c r="AM55" s="100">
        <v>4.0555478483358803E-3</v>
      </c>
      <c r="AN55" s="100">
        <v>3.0307658540260599E-3</v>
      </c>
      <c r="AO55" s="100">
        <v>4.2693674870965398E-3</v>
      </c>
      <c r="AP55" s="100">
        <v>4.6057789624619396E-3</v>
      </c>
      <c r="AQ55" s="100">
        <v>8.9117575921719792E-3</v>
      </c>
      <c r="AR55" s="100">
        <v>5.5564175674053E-3</v>
      </c>
      <c r="AS55" s="100">
        <v>4.4814190332685896E-3</v>
      </c>
      <c r="AT55" s="100">
        <v>5.0968883668169804E-3</v>
      </c>
      <c r="AU55" s="100">
        <v>9.32955663577743E-3</v>
      </c>
      <c r="AV55" s="100">
        <v>1.1144257526050199E-2</v>
      </c>
      <c r="AW55" s="100">
        <v>6.2775132366346097E-3</v>
      </c>
      <c r="AX55" s="100">
        <v>9.5188731071923494E-3</v>
      </c>
      <c r="AY55" s="100">
        <v>1.30896486864878E-2</v>
      </c>
      <c r="AZ55" s="100">
        <v>1.1185519705179401</v>
      </c>
      <c r="BA55" s="100">
        <v>1.17227592158565E-2</v>
      </c>
      <c r="BB55" s="100">
        <v>1.2147051032553801E-2</v>
      </c>
      <c r="BC55" s="100">
        <v>1.27791072172689E-3</v>
      </c>
      <c r="BD55" s="100">
        <v>1.1278792514967601E-2</v>
      </c>
      <c r="BE55" s="100">
        <v>7.2784641918344998E-3</v>
      </c>
      <c r="BF55" s="100">
        <v>3.0451653413270701E-2</v>
      </c>
      <c r="BG55" s="100">
        <v>4.2579393562439402E-3</v>
      </c>
      <c r="BH55" s="100">
        <v>7.9720973964745104E-3</v>
      </c>
      <c r="BI55" s="100">
        <v>7.4925188866858498E-3</v>
      </c>
      <c r="BJ55" s="100">
        <v>7.5592059681842197E-3</v>
      </c>
      <c r="BK55" s="100">
        <v>4.1240746675400702E-3</v>
      </c>
      <c r="BL55" s="100">
        <v>1.09323394757741E-2</v>
      </c>
      <c r="BM55" s="100">
        <v>4.8586025572623899E-3</v>
      </c>
      <c r="BN55" s="100">
        <v>4.6665830332305903E-3</v>
      </c>
      <c r="BO55" s="100">
        <v>8.6393451658916907E-3</v>
      </c>
      <c r="BP55" s="100">
        <v>1.15807306755428E-2</v>
      </c>
      <c r="BQ55" s="101">
        <v>0</v>
      </c>
    </row>
    <row r="56" spans="1:69" ht="15" customHeight="1" x14ac:dyDescent="0.3">
      <c r="A56" s="33" t="s">
        <v>74</v>
      </c>
      <c r="B56" s="11" t="s">
        <v>142</v>
      </c>
      <c r="C56" s="99">
        <v>3.4575834530088498E-3</v>
      </c>
      <c r="D56" s="100">
        <v>4.6335220908660197E-3</v>
      </c>
      <c r="E56" s="100">
        <v>2.4586423148916302E-3</v>
      </c>
      <c r="F56" s="100">
        <v>5.8619657893937797E-3</v>
      </c>
      <c r="G56" s="100">
        <v>4.2359753095901204E-3</v>
      </c>
      <c r="H56" s="100">
        <v>6.5151951714437504E-3</v>
      </c>
      <c r="I56" s="100">
        <v>6.2446743840729397E-3</v>
      </c>
      <c r="J56" s="100">
        <v>1.01311124674023E-2</v>
      </c>
      <c r="K56" s="100">
        <v>6.90640446912747E-3</v>
      </c>
      <c r="L56" s="100">
        <v>1.1018394532938699E-2</v>
      </c>
      <c r="M56" s="100">
        <v>1.7358996749501601E-2</v>
      </c>
      <c r="N56" s="100">
        <v>1.3568444404793999E-2</v>
      </c>
      <c r="O56" s="100">
        <v>6.0895343895659704E-3</v>
      </c>
      <c r="P56" s="100">
        <v>6.6338598171694699E-3</v>
      </c>
      <c r="Q56" s="100">
        <v>8.5920255063606892E-3</v>
      </c>
      <c r="R56" s="100">
        <v>6.4746091595985203E-3</v>
      </c>
      <c r="S56" s="100">
        <v>1.1102417212812901E-2</v>
      </c>
      <c r="T56" s="100">
        <v>6.6207992272136404E-3</v>
      </c>
      <c r="U56" s="100">
        <v>3.8794156156174001E-3</v>
      </c>
      <c r="V56" s="100">
        <v>6.3594659735503297E-3</v>
      </c>
      <c r="W56" s="100">
        <v>7.4637495632251501E-3</v>
      </c>
      <c r="X56" s="100">
        <v>1.0213581744386101E-2</v>
      </c>
      <c r="Y56" s="100">
        <v>1.08361645281559E-2</v>
      </c>
      <c r="Z56" s="100">
        <v>1.54955055970284E-2</v>
      </c>
      <c r="AA56" s="100">
        <v>7.8542220952028206E-3</v>
      </c>
      <c r="AB56" s="100">
        <v>7.8618023661532095E-3</v>
      </c>
      <c r="AC56" s="100">
        <v>6.6912611796129196E-3</v>
      </c>
      <c r="AD56" s="100">
        <v>5.8750904631015999E-3</v>
      </c>
      <c r="AE56" s="100">
        <v>7.2863174297238603E-3</v>
      </c>
      <c r="AF56" s="100">
        <v>8.0313674982356396E-3</v>
      </c>
      <c r="AG56" s="100">
        <v>1.11492765922584E-2</v>
      </c>
      <c r="AH56" s="100">
        <v>7.8230510390543198E-3</v>
      </c>
      <c r="AI56" s="100">
        <v>1.40181139948223E-2</v>
      </c>
      <c r="AJ56" s="100">
        <v>7.6690881037499601E-3</v>
      </c>
      <c r="AK56" s="100">
        <v>6.4914733401146198E-3</v>
      </c>
      <c r="AL56" s="100">
        <v>7.8484897616398902E-3</v>
      </c>
      <c r="AM56" s="100">
        <v>6.2472829456904902E-3</v>
      </c>
      <c r="AN56" s="100">
        <v>9.1954958116743906E-3</v>
      </c>
      <c r="AO56" s="100">
        <v>9.7608902114917906E-3</v>
      </c>
      <c r="AP56" s="100">
        <v>5.8670333211752598E-3</v>
      </c>
      <c r="AQ56" s="100">
        <v>1.61627256573629E-2</v>
      </c>
      <c r="AR56" s="100">
        <v>8.4278423120203207E-3</v>
      </c>
      <c r="AS56" s="100">
        <v>6.0873229305471802E-3</v>
      </c>
      <c r="AT56" s="100">
        <v>3.3937766773558899E-2</v>
      </c>
      <c r="AU56" s="100">
        <v>1.95490857347842E-2</v>
      </c>
      <c r="AV56" s="100">
        <v>9.45204095037111E-3</v>
      </c>
      <c r="AW56" s="100">
        <v>6.9842263290358199E-3</v>
      </c>
      <c r="AX56" s="100">
        <v>4.5975784902957E-2</v>
      </c>
      <c r="AY56" s="100">
        <v>5.0734449275075699E-2</v>
      </c>
      <c r="AZ56" s="100">
        <v>3.2524118465806398E-2</v>
      </c>
      <c r="BA56" s="100">
        <v>1.0963533113997701</v>
      </c>
      <c r="BB56" s="100">
        <v>3.8667794684599403E-2</v>
      </c>
      <c r="BC56" s="100">
        <v>2.3750722933618801E-3</v>
      </c>
      <c r="BD56" s="100">
        <v>2.2056960846625302E-2</v>
      </c>
      <c r="BE56" s="100">
        <v>6.8140497912480896E-3</v>
      </c>
      <c r="BF56" s="100">
        <v>0.12903702189421801</v>
      </c>
      <c r="BG56" s="100">
        <v>1.5306885502638701E-2</v>
      </c>
      <c r="BH56" s="100">
        <v>9.9892346228510395E-3</v>
      </c>
      <c r="BI56" s="100">
        <v>1.05673972673674E-2</v>
      </c>
      <c r="BJ56" s="100">
        <v>2.3664242527935999E-2</v>
      </c>
      <c r="BK56" s="100">
        <v>6.6862832388204299E-3</v>
      </c>
      <c r="BL56" s="100">
        <v>1.14148141672953E-2</v>
      </c>
      <c r="BM56" s="100">
        <v>1.48113824140663E-2</v>
      </c>
      <c r="BN56" s="100">
        <v>3.4915096940719001E-3</v>
      </c>
      <c r="BO56" s="100">
        <v>1.5665380958864699E-2</v>
      </c>
      <c r="BP56" s="100">
        <v>1.9304754022288002E-2</v>
      </c>
      <c r="BQ56" s="101">
        <v>0</v>
      </c>
    </row>
    <row r="57" spans="1:69" ht="15" customHeight="1" x14ac:dyDescent="0.3">
      <c r="A57" s="33" t="s">
        <v>75</v>
      </c>
      <c r="B57" s="11" t="s">
        <v>143</v>
      </c>
      <c r="C57" s="99">
        <v>2.0152726364678099E-2</v>
      </c>
      <c r="D57" s="100">
        <v>2.1797090125538099E-2</v>
      </c>
      <c r="E57" s="100">
        <v>1.7779987799529801E-2</v>
      </c>
      <c r="F57" s="100">
        <v>4.8219079742070299E-2</v>
      </c>
      <c r="G57" s="100">
        <v>2.0334644262316098E-2</v>
      </c>
      <c r="H57" s="100">
        <v>1.3983929851818599E-2</v>
      </c>
      <c r="I57" s="100">
        <v>3.0941388205517301E-2</v>
      </c>
      <c r="J57" s="100">
        <v>3.56556705123698E-2</v>
      </c>
      <c r="K57" s="100">
        <v>4.2716237336502302E-2</v>
      </c>
      <c r="L57" s="100">
        <v>3.3410799258337599E-2</v>
      </c>
      <c r="M57" s="100">
        <v>3.6568073113338199E-2</v>
      </c>
      <c r="N57" s="100">
        <v>3.7480171603439603E-2</v>
      </c>
      <c r="O57" s="100">
        <v>2.7674004945501301E-2</v>
      </c>
      <c r="P57" s="100">
        <v>2.6359197073937898E-2</v>
      </c>
      <c r="Q57" s="100">
        <v>3.1289210331438798E-2</v>
      </c>
      <c r="R57" s="100">
        <v>2.7936348330575098E-2</v>
      </c>
      <c r="S57" s="100">
        <v>3.6984000984844799E-2</v>
      </c>
      <c r="T57" s="100">
        <v>3.0175773537072299E-2</v>
      </c>
      <c r="U57" s="100">
        <v>2.2200204018068999E-2</v>
      </c>
      <c r="V57" s="100">
        <v>3.4076050018553801E-2</v>
      </c>
      <c r="W57" s="100">
        <v>2.8101344291268499E-2</v>
      </c>
      <c r="X57" s="100">
        <v>2.9474011108048499E-2</v>
      </c>
      <c r="Y57" s="100">
        <v>3.4020447243145402E-2</v>
      </c>
      <c r="Z57" s="100">
        <v>2.4320518849144199E-2</v>
      </c>
      <c r="AA57" s="100">
        <v>2.7694278631704899E-2</v>
      </c>
      <c r="AB57" s="100">
        <v>3.7778737664380398E-2</v>
      </c>
      <c r="AC57" s="100">
        <v>2.77838727887493E-2</v>
      </c>
      <c r="AD57" s="100">
        <v>2.8490432387322798E-2</v>
      </c>
      <c r="AE57" s="100">
        <v>2.6965022438416201E-2</v>
      </c>
      <c r="AF57" s="100">
        <v>2.6853010493830199E-2</v>
      </c>
      <c r="AG57" s="100">
        <v>2.7963612812730701E-2</v>
      </c>
      <c r="AH57" s="100">
        <v>2.72272136354491E-2</v>
      </c>
      <c r="AI57" s="100">
        <v>3.1109003982948798E-2</v>
      </c>
      <c r="AJ57" s="100">
        <v>2.4925439636599701E-2</v>
      </c>
      <c r="AK57" s="100">
        <v>2.4558053286728599E-2</v>
      </c>
      <c r="AL57" s="100">
        <v>2.3950003728420301E-2</v>
      </c>
      <c r="AM57" s="100">
        <v>1.7437190119943699E-2</v>
      </c>
      <c r="AN57" s="100">
        <v>3.6433505223332101E-2</v>
      </c>
      <c r="AO57" s="100">
        <v>2.2253347319301502E-2</v>
      </c>
      <c r="AP57" s="100">
        <v>2.6434794306204101E-2</v>
      </c>
      <c r="AQ57" s="100">
        <v>3.1065142843898198E-2</v>
      </c>
      <c r="AR57" s="100">
        <v>3.3309094492678201E-2</v>
      </c>
      <c r="AS57" s="100">
        <v>3.4676848424448403E-2</v>
      </c>
      <c r="AT57" s="100">
        <v>4.6034363794886998E-2</v>
      </c>
      <c r="AU57" s="100">
        <v>3.0083392943006802E-2</v>
      </c>
      <c r="AV57" s="100">
        <v>3.3962427037777299E-2</v>
      </c>
      <c r="AW57" s="100">
        <v>2.4806550907596401E-2</v>
      </c>
      <c r="AX57" s="100">
        <v>3.6215414412624498E-2</v>
      </c>
      <c r="AY57" s="100">
        <v>3.8736461917994597E-2</v>
      </c>
      <c r="AZ57" s="100">
        <v>6.98617412566747E-2</v>
      </c>
      <c r="BA57" s="100">
        <v>2.0750080357874699E-2</v>
      </c>
      <c r="BB57" s="100">
        <v>1.18715144151357</v>
      </c>
      <c r="BC57" s="100">
        <v>3.6776622848569501E-2</v>
      </c>
      <c r="BD57" s="100">
        <v>2.3569733715781201E-2</v>
      </c>
      <c r="BE57" s="100">
        <v>2.5379247748430901E-2</v>
      </c>
      <c r="BF57" s="100">
        <v>2.57212084211931E-2</v>
      </c>
      <c r="BG57" s="100">
        <v>2.9374162501760899E-2</v>
      </c>
      <c r="BH57" s="100">
        <v>2.39857322227289E-2</v>
      </c>
      <c r="BI57" s="100">
        <v>2.23380266291529E-2</v>
      </c>
      <c r="BJ57" s="100">
        <v>6.72768730504954E-2</v>
      </c>
      <c r="BK57" s="100">
        <v>6.3950984373656403E-3</v>
      </c>
      <c r="BL57" s="100">
        <v>1.9112317119682198E-2</v>
      </c>
      <c r="BM57" s="100">
        <v>1.17915250471777E-2</v>
      </c>
      <c r="BN57" s="100">
        <v>2.26552886651268E-2</v>
      </c>
      <c r="BO57" s="100">
        <v>3.4589442535016002E-2</v>
      </c>
      <c r="BP57" s="100">
        <v>2.7859042799371798E-2</v>
      </c>
      <c r="BQ57" s="101">
        <v>0</v>
      </c>
    </row>
    <row r="58" spans="1:69" ht="15" customHeight="1" x14ac:dyDescent="0.3">
      <c r="A58" s="33" t="s">
        <v>76</v>
      </c>
      <c r="B58" s="11" t="s">
        <v>144</v>
      </c>
      <c r="C58" s="99">
        <v>3.5361078760160198E-3</v>
      </c>
      <c r="D58" s="100">
        <v>4.8115787768728303E-3</v>
      </c>
      <c r="E58" s="100">
        <v>2.3625166334821199E-3</v>
      </c>
      <c r="F58" s="100">
        <v>6.30036804178983E-3</v>
      </c>
      <c r="G58" s="100">
        <v>4.9358556325381402E-3</v>
      </c>
      <c r="H58" s="100">
        <v>4.4432053138626602E-3</v>
      </c>
      <c r="I58" s="100">
        <v>5.8861727921212898E-3</v>
      </c>
      <c r="J58" s="100">
        <v>1.0563915657483099E-2</v>
      </c>
      <c r="K58" s="100">
        <v>8.7349417285734008E-3</v>
      </c>
      <c r="L58" s="100">
        <v>8.9829591377292E-3</v>
      </c>
      <c r="M58" s="100">
        <v>1.01312858196396E-2</v>
      </c>
      <c r="N58" s="100">
        <v>9.2580705842666595E-3</v>
      </c>
      <c r="O58" s="100">
        <v>1.0772560430290699E-2</v>
      </c>
      <c r="P58" s="100">
        <v>1.24721596988867E-2</v>
      </c>
      <c r="Q58" s="100">
        <v>9.4743701134953097E-3</v>
      </c>
      <c r="R58" s="100">
        <v>7.5322026120548903E-3</v>
      </c>
      <c r="S58" s="100">
        <v>9.9887466350842193E-3</v>
      </c>
      <c r="T58" s="100">
        <v>9.3968910167020504E-3</v>
      </c>
      <c r="U58" s="100">
        <v>4.8095239125287501E-3</v>
      </c>
      <c r="V58" s="100">
        <v>9.8657057298891706E-3</v>
      </c>
      <c r="W58" s="100">
        <v>5.9341216168677302E-3</v>
      </c>
      <c r="X58" s="100">
        <v>7.8520961426075397E-3</v>
      </c>
      <c r="Y58" s="100">
        <v>1.12234246217048E-2</v>
      </c>
      <c r="Z58" s="100">
        <v>9.0974508159040093E-3</v>
      </c>
      <c r="AA58" s="100">
        <v>9.4487925689011008E-3</v>
      </c>
      <c r="AB58" s="100">
        <v>8.7462640464408999E-3</v>
      </c>
      <c r="AC58" s="100">
        <v>7.0588368925893702E-3</v>
      </c>
      <c r="AD58" s="100">
        <v>6.8356408558225903E-3</v>
      </c>
      <c r="AE58" s="100">
        <v>8.4948320723248899E-3</v>
      </c>
      <c r="AF58" s="100">
        <v>6.71300274427094E-3</v>
      </c>
      <c r="AG58" s="100">
        <v>8.8352171785124004E-3</v>
      </c>
      <c r="AH58" s="100">
        <v>8.9143803561849005E-3</v>
      </c>
      <c r="AI58" s="100">
        <v>9.2316628435291492E-3</v>
      </c>
      <c r="AJ58" s="100">
        <v>8.8361955527639403E-3</v>
      </c>
      <c r="AK58" s="100">
        <v>5.6713194587782899E-3</v>
      </c>
      <c r="AL58" s="100">
        <v>8.7858879647767403E-3</v>
      </c>
      <c r="AM58" s="100">
        <v>6.2040923954375703E-3</v>
      </c>
      <c r="AN58" s="100">
        <v>5.1617985501681103E-3</v>
      </c>
      <c r="AO58" s="100">
        <v>7.2016972169970201E-3</v>
      </c>
      <c r="AP58" s="100">
        <v>6.8017191360070801E-3</v>
      </c>
      <c r="AQ58" s="100">
        <v>3.34111072571905E-2</v>
      </c>
      <c r="AR58" s="100">
        <v>8.5793160360487907E-3</v>
      </c>
      <c r="AS58" s="100">
        <v>9.6754649790920504E-3</v>
      </c>
      <c r="AT58" s="100">
        <v>1.0324413383585E-2</v>
      </c>
      <c r="AU58" s="100">
        <v>2.5390511023605501E-2</v>
      </c>
      <c r="AV58" s="100">
        <v>3.8838068599752799E-2</v>
      </c>
      <c r="AW58" s="100">
        <v>2.13712912298567E-2</v>
      </c>
      <c r="AX58" s="100">
        <v>1.66587716340411E-2</v>
      </c>
      <c r="AY58" s="100">
        <v>2.2530379151111501E-2</v>
      </c>
      <c r="AZ58" s="100">
        <v>1.9032220341828599E-2</v>
      </c>
      <c r="BA58" s="100">
        <v>1.45841886101501E-2</v>
      </c>
      <c r="BB58" s="100">
        <v>1.1347876880587301E-2</v>
      </c>
      <c r="BC58" s="100">
        <v>1.0029680279092601</v>
      </c>
      <c r="BD58" s="100">
        <v>2.26785034768472E-2</v>
      </c>
      <c r="BE58" s="100">
        <v>1.4570241926883E-2</v>
      </c>
      <c r="BF58" s="100">
        <v>2.1438464089787598E-2</v>
      </c>
      <c r="BG58" s="100">
        <v>1.55233078060168E-2</v>
      </c>
      <c r="BH58" s="100">
        <v>1.4044144530979999E-2</v>
      </c>
      <c r="BI58" s="100">
        <v>9.4524419455706606E-3</v>
      </c>
      <c r="BJ58" s="100">
        <v>5.5172333144527103E-3</v>
      </c>
      <c r="BK58" s="100">
        <v>3.4294654636189098E-3</v>
      </c>
      <c r="BL58" s="100">
        <v>3.9269169426209297E-2</v>
      </c>
      <c r="BM58" s="100">
        <v>7.0504745218769801E-3</v>
      </c>
      <c r="BN58" s="100">
        <v>1.2045321061867099E-2</v>
      </c>
      <c r="BO58" s="100">
        <v>9.6002022895059394E-2</v>
      </c>
      <c r="BP58" s="100">
        <v>2.6806240815851399E-2</v>
      </c>
      <c r="BQ58" s="101">
        <v>0</v>
      </c>
    </row>
    <row r="59" spans="1:69" ht="15" customHeight="1" x14ac:dyDescent="0.3">
      <c r="A59" s="33" t="s">
        <v>77</v>
      </c>
      <c r="B59" s="11" t="s">
        <v>145</v>
      </c>
      <c r="C59" s="99">
        <v>1.24699833778827E-2</v>
      </c>
      <c r="D59" s="100">
        <v>1.40477116598189E-2</v>
      </c>
      <c r="E59" s="100">
        <v>6.6374840471435303E-3</v>
      </c>
      <c r="F59" s="100">
        <v>3.7326900110535501E-2</v>
      </c>
      <c r="G59" s="100">
        <v>3.2696176706094801E-2</v>
      </c>
      <c r="H59" s="100">
        <v>1.9900179213448301E-2</v>
      </c>
      <c r="I59" s="100">
        <v>2.0194092862229701E-2</v>
      </c>
      <c r="J59" s="100">
        <v>3.7354044282071897E-2</v>
      </c>
      <c r="K59" s="100">
        <v>3.0264752397070199E-2</v>
      </c>
      <c r="L59" s="100">
        <v>4.2680159045627698E-2</v>
      </c>
      <c r="M59" s="100">
        <v>5.9677083185707198E-2</v>
      </c>
      <c r="N59" s="100">
        <v>6.60189129818676E-2</v>
      </c>
      <c r="O59" s="100">
        <v>2.0327170990977399E-2</v>
      </c>
      <c r="P59" s="100">
        <v>1.7787551186215798E-2</v>
      </c>
      <c r="Q59" s="100">
        <v>2.13337222303513E-2</v>
      </c>
      <c r="R59" s="100">
        <v>2.4692947239073001E-2</v>
      </c>
      <c r="S59" s="100">
        <v>4.3881915239227499E-2</v>
      </c>
      <c r="T59" s="100">
        <v>2.7788351897605201E-2</v>
      </c>
      <c r="U59" s="100">
        <v>3.2800648569652202E-2</v>
      </c>
      <c r="V59" s="100">
        <v>3.2717192359206802E-2</v>
      </c>
      <c r="W59" s="100">
        <v>3.5375642966640003E-2</v>
      </c>
      <c r="X59" s="100">
        <v>5.7407752675030801E-2</v>
      </c>
      <c r="Y59" s="100">
        <v>5.7492674305873702E-2</v>
      </c>
      <c r="Z59" s="100">
        <v>5.8191230183194803E-2</v>
      </c>
      <c r="AA59" s="100">
        <v>3.3860175230036399E-2</v>
      </c>
      <c r="AB59" s="100">
        <v>4.3281066478262402E-2</v>
      </c>
      <c r="AC59" s="100">
        <v>2.1552672601752799E-2</v>
      </c>
      <c r="AD59" s="100">
        <v>2.2071389770586099E-2</v>
      </c>
      <c r="AE59" s="100">
        <v>2.13188609994115E-2</v>
      </c>
      <c r="AF59" s="100">
        <v>3.5180294545891E-2</v>
      </c>
      <c r="AG59" s="100">
        <v>3.00066463892107E-2</v>
      </c>
      <c r="AH59" s="100">
        <v>2.6824294019649E-2</v>
      </c>
      <c r="AI59" s="100">
        <v>3.3864784550575698E-2</v>
      </c>
      <c r="AJ59" s="100">
        <v>2.62869940898477E-2</v>
      </c>
      <c r="AK59" s="100">
        <v>2.1678678349997201E-2</v>
      </c>
      <c r="AL59" s="100">
        <v>2.05783683413025E-2</v>
      </c>
      <c r="AM59" s="100">
        <v>2.17952670985763E-2</v>
      </c>
      <c r="AN59" s="100">
        <v>1.11843935361016E-2</v>
      </c>
      <c r="AO59" s="100">
        <v>3.0417653970234899E-2</v>
      </c>
      <c r="AP59" s="100">
        <v>2.2809650075052999E-2</v>
      </c>
      <c r="AQ59" s="100">
        <v>3.8021048520697598E-2</v>
      </c>
      <c r="AR59" s="100">
        <v>2.3292057368948901E-2</v>
      </c>
      <c r="AS59" s="100">
        <v>2.05661407630565E-2</v>
      </c>
      <c r="AT59" s="100">
        <v>3.2108247609450399E-2</v>
      </c>
      <c r="AU59" s="100">
        <v>3.0946156001604001E-2</v>
      </c>
      <c r="AV59" s="100">
        <v>2.0729000751931501E-2</v>
      </c>
      <c r="AW59" s="100">
        <v>2.2854205038296001E-2</v>
      </c>
      <c r="AX59" s="100">
        <v>3.96426755477709E-2</v>
      </c>
      <c r="AY59" s="100">
        <v>9.2528949213326606E-2</v>
      </c>
      <c r="AZ59" s="100">
        <v>3.5423546246178397E-2</v>
      </c>
      <c r="BA59" s="100">
        <v>3.1201370092968899E-2</v>
      </c>
      <c r="BB59" s="100">
        <v>3.4672371927535799E-2</v>
      </c>
      <c r="BC59" s="100">
        <v>6.2055694940016696E-3</v>
      </c>
      <c r="BD59" s="100">
        <v>1.0790720984767601</v>
      </c>
      <c r="BE59" s="100">
        <v>8.8824477291242099E-2</v>
      </c>
      <c r="BF59" s="100">
        <v>3.6865071429872498E-2</v>
      </c>
      <c r="BG59" s="100">
        <v>2.60239210548023E-2</v>
      </c>
      <c r="BH59" s="100">
        <v>2.65533974378445E-2</v>
      </c>
      <c r="BI59" s="100">
        <v>5.09460118905328E-2</v>
      </c>
      <c r="BJ59" s="100">
        <v>1.2919426952770201E-2</v>
      </c>
      <c r="BK59" s="100">
        <v>4.8561651301558999E-3</v>
      </c>
      <c r="BL59" s="100">
        <v>2.9455198217009499E-2</v>
      </c>
      <c r="BM59" s="100">
        <v>1.2824812573269E-2</v>
      </c>
      <c r="BN59" s="100">
        <v>2.21292485384414E-2</v>
      </c>
      <c r="BO59" s="100">
        <v>4.2721498040606903E-2</v>
      </c>
      <c r="BP59" s="100">
        <v>3.5063157212409199E-2</v>
      </c>
      <c r="BQ59" s="101">
        <v>0</v>
      </c>
    </row>
    <row r="60" spans="1:69" ht="15" customHeight="1" x14ac:dyDescent="0.3">
      <c r="A60" s="33" t="s">
        <v>78</v>
      </c>
      <c r="B60" s="11" t="s">
        <v>146</v>
      </c>
      <c r="C60" s="99">
        <v>3.3880644730836201E-3</v>
      </c>
      <c r="D60" s="100">
        <v>2.3392951879419202E-3</v>
      </c>
      <c r="E60" s="100">
        <v>1.01935293945867E-3</v>
      </c>
      <c r="F60" s="100">
        <v>4.5573656381509998E-3</v>
      </c>
      <c r="G60" s="100">
        <v>6.4855814638310498E-3</v>
      </c>
      <c r="H60" s="100">
        <v>6.2114764069986297E-3</v>
      </c>
      <c r="I60" s="100">
        <v>8.2204704811984497E-3</v>
      </c>
      <c r="J60" s="100">
        <v>6.3777326135036998E-3</v>
      </c>
      <c r="K60" s="100">
        <v>1.07016660678613E-2</v>
      </c>
      <c r="L60" s="100">
        <v>5.9828439388941897E-3</v>
      </c>
      <c r="M60" s="100">
        <v>6.3524762495115296E-3</v>
      </c>
      <c r="N60" s="100">
        <v>1.1204845963963799E-2</v>
      </c>
      <c r="O60" s="100">
        <v>3.39490466272249E-3</v>
      </c>
      <c r="P60" s="100">
        <v>3.86060629880918E-3</v>
      </c>
      <c r="Q60" s="100">
        <v>4.4847435213998497E-3</v>
      </c>
      <c r="R60" s="100">
        <v>4.76546103790252E-3</v>
      </c>
      <c r="S60" s="100">
        <v>8.6098259250912898E-3</v>
      </c>
      <c r="T60" s="100">
        <v>4.8016806528615097E-3</v>
      </c>
      <c r="U60" s="100">
        <v>4.1864004041546402E-3</v>
      </c>
      <c r="V60" s="100">
        <v>8.9336913847955293E-3</v>
      </c>
      <c r="W60" s="100">
        <v>6.2992651799154897E-3</v>
      </c>
      <c r="X60" s="100">
        <v>8.5420387968028998E-3</v>
      </c>
      <c r="Y60" s="100">
        <v>1.00395649249185E-2</v>
      </c>
      <c r="Z60" s="100">
        <v>1.2199734209748901E-2</v>
      </c>
      <c r="AA60" s="100">
        <v>8.7651120330554597E-3</v>
      </c>
      <c r="AB60" s="100">
        <v>7.9636110147997801E-3</v>
      </c>
      <c r="AC60" s="100">
        <v>4.94239977027472E-3</v>
      </c>
      <c r="AD60" s="100">
        <v>5.8356170013521801E-3</v>
      </c>
      <c r="AE60" s="100">
        <v>6.02408581926373E-3</v>
      </c>
      <c r="AF60" s="100">
        <v>5.4880819780111301E-3</v>
      </c>
      <c r="AG60" s="100">
        <v>5.9995431754402201E-3</v>
      </c>
      <c r="AH60" s="100">
        <v>1.2802294606460599E-2</v>
      </c>
      <c r="AI60" s="100">
        <v>1.05852606595415E-2</v>
      </c>
      <c r="AJ60" s="100">
        <v>8.5193571987628499E-3</v>
      </c>
      <c r="AK60" s="100">
        <v>4.2675232582339998E-3</v>
      </c>
      <c r="AL60" s="100">
        <v>5.0102285331992003E-3</v>
      </c>
      <c r="AM60" s="100">
        <v>4.7271581478045503E-3</v>
      </c>
      <c r="AN60" s="100">
        <v>8.0070163346866799E-3</v>
      </c>
      <c r="AO60" s="100">
        <v>7.0918941183072404E-3</v>
      </c>
      <c r="AP60" s="100">
        <v>6.9727272541038696E-3</v>
      </c>
      <c r="AQ60" s="100">
        <v>2.9112731475641799E-3</v>
      </c>
      <c r="AR60" s="100">
        <v>3.8690310884822599E-3</v>
      </c>
      <c r="AS60" s="100">
        <v>5.4958368884053298E-3</v>
      </c>
      <c r="AT60" s="100">
        <v>5.0916158225500496E-3</v>
      </c>
      <c r="AU60" s="100">
        <v>3.0202792638351302E-2</v>
      </c>
      <c r="AV60" s="100">
        <v>2.1857174477315699E-3</v>
      </c>
      <c r="AW60" s="100">
        <v>2.4812173124712299E-3</v>
      </c>
      <c r="AX60" s="100">
        <v>1.72914748817025E-3</v>
      </c>
      <c r="AY60" s="100">
        <v>1.2336717210925301E-3</v>
      </c>
      <c r="AZ60" s="100">
        <v>1.2286908793836899E-3</v>
      </c>
      <c r="BA60" s="100">
        <v>2.80692732333044E-3</v>
      </c>
      <c r="BB60" s="100">
        <v>1.44216106514723E-3</v>
      </c>
      <c r="BC60" s="100">
        <v>2.09477651516558E-4</v>
      </c>
      <c r="BD60" s="100">
        <v>7.7859930070815504E-4</v>
      </c>
      <c r="BE60" s="100">
        <v>1.0363974103931799</v>
      </c>
      <c r="BF60" s="100">
        <v>1.35451811609655E-3</v>
      </c>
      <c r="BG60" s="100">
        <v>2.1880862986934802E-3</v>
      </c>
      <c r="BH60" s="100">
        <v>1.3689692129314601E-3</v>
      </c>
      <c r="BI60" s="100">
        <v>5.6492876983325305E-4</v>
      </c>
      <c r="BJ60" s="100">
        <v>6.4054037847363103E-3</v>
      </c>
      <c r="BK60" s="100">
        <v>3.9226040738909399E-3</v>
      </c>
      <c r="BL60" s="100">
        <v>1.8252160993927401E-3</v>
      </c>
      <c r="BM60" s="100">
        <v>9.3084029169173098E-3</v>
      </c>
      <c r="BN60" s="100">
        <v>1.1510012609117E-3</v>
      </c>
      <c r="BO60" s="100">
        <v>1.61806987507142E-3</v>
      </c>
      <c r="BP60" s="100">
        <v>1.8201493907816901E-3</v>
      </c>
      <c r="BQ60" s="101">
        <v>0</v>
      </c>
    </row>
    <row r="61" spans="1:69" ht="15" customHeight="1" x14ac:dyDescent="0.3">
      <c r="A61" s="33" t="s">
        <v>79</v>
      </c>
      <c r="B61" s="11" t="s">
        <v>147</v>
      </c>
      <c r="C61" s="99">
        <v>4.0221629323912997E-3</v>
      </c>
      <c r="D61" s="100">
        <v>8.5372021501280496E-3</v>
      </c>
      <c r="E61" s="100">
        <v>5.2071521902510298E-3</v>
      </c>
      <c r="F61" s="100">
        <v>8.89838624288131E-3</v>
      </c>
      <c r="G61" s="100">
        <v>6.6708966886987898E-3</v>
      </c>
      <c r="H61" s="100">
        <v>4.4812407553462804E-3</v>
      </c>
      <c r="I61" s="100">
        <v>5.3646043740011697E-3</v>
      </c>
      <c r="J61" s="100">
        <v>1.99322418505814E-2</v>
      </c>
      <c r="K61" s="100">
        <v>1.2016334214349099E-2</v>
      </c>
      <c r="L61" s="100">
        <v>1.9876199291310799E-2</v>
      </c>
      <c r="M61" s="100">
        <v>8.5143662495220096E-2</v>
      </c>
      <c r="N61" s="100">
        <v>3.2332520772967201E-2</v>
      </c>
      <c r="O61" s="100">
        <v>8.0558468359560997E-3</v>
      </c>
      <c r="P61" s="100">
        <v>1.34496559641476E-2</v>
      </c>
      <c r="Q61" s="100">
        <v>2.95870695120799E-2</v>
      </c>
      <c r="R61" s="100">
        <v>8.8778660685602494E-3</v>
      </c>
      <c r="S61" s="100">
        <v>1.60821992606861E-2</v>
      </c>
      <c r="T61" s="100">
        <v>1.1651195180121201E-2</v>
      </c>
      <c r="U61" s="100">
        <v>6.0890257875691701E-3</v>
      </c>
      <c r="V61" s="100">
        <v>1.09662516687928E-2</v>
      </c>
      <c r="W61" s="100">
        <v>6.3740932233940601E-3</v>
      </c>
      <c r="X61" s="100">
        <v>1.3947127988885E-2</v>
      </c>
      <c r="Y61" s="100">
        <v>3.6685594995638802E-2</v>
      </c>
      <c r="Z61" s="100">
        <v>3.6427911528485797E-2</v>
      </c>
      <c r="AA61" s="100">
        <v>1.20089198141309E-2</v>
      </c>
      <c r="AB61" s="100">
        <v>1.15232368947889E-2</v>
      </c>
      <c r="AC61" s="100">
        <v>7.2080923258970699E-3</v>
      </c>
      <c r="AD61" s="100">
        <v>6.9378669917788604E-3</v>
      </c>
      <c r="AE61" s="100">
        <v>1.1506328018235101E-2</v>
      </c>
      <c r="AF61" s="100">
        <v>1.91346666777732E-2</v>
      </c>
      <c r="AG61" s="100">
        <v>1.5038030887590301E-2</v>
      </c>
      <c r="AH61" s="100">
        <v>1.13330998352508E-2</v>
      </c>
      <c r="AI61" s="100">
        <v>2.82461483870146E-2</v>
      </c>
      <c r="AJ61" s="100">
        <v>9.0340505575550595E-3</v>
      </c>
      <c r="AK61" s="100">
        <v>1.1592711107632899E-2</v>
      </c>
      <c r="AL61" s="100">
        <v>1.24487176222605E-2</v>
      </c>
      <c r="AM61" s="100">
        <v>8.0363883544075608E-3</v>
      </c>
      <c r="AN61" s="100">
        <v>1.4078772344410099E-2</v>
      </c>
      <c r="AO61" s="100">
        <v>7.8613646719102193E-3</v>
      </c>
      <c r="AP61" s="100">
        <v>9.3135910753526108E-3</v>
      </c>
      <c r="AQ61" s="100">
        <v>2.5562035954369799E-2</v>
      </c>
      <c r="AR61" s="100">
        <v>8.7443749575565593E-3</v>
      </c>
      <c r="AS61" s="100">
        <v>9.23605600752243E-3</v>
      </c>
      <c r="AT61" s="100">
        <v>1.39676536814773E-2</v>
      </c>
      <c r="AU61" s="100">
        <v>1.8695015099424402E-2</v>
      </c>
      <c r="AV61" s="100">
        <v>2.06018932181481E-2</v>
      </c>
      <c r="AW61" s="100">
        <v>1.8639879505267399E-2</v>
      </c>
      <c r="AX61" s="100">
        <v>5.6221114477853801E-2</v>
      </c>
      <c r="AY61" s="100">
        <v>7.1107459272911094E-2</v>
      </c>
      <c r="AZ61" s="100">
        <v>3.0232538599962101E-2</v>
      </c>
      <c r="BA61" s="100">
        <v>2.25524940673551E-2</v>
      </c>
      <c r="BB61" s="100">
        <v>2.4668354751761899E-2</v>
      </c>
      <c r="BC61" s="100">
        <v>2.7677180333225502E-3</v>
      </c>
      <c r="BD61" s="100">
        <v>2.7401121019438399E-2</v>
      </c>
      <c r="BE61" s="100">
        <v>1.47193754608604E-2</v>
      </c>
      <c r="BF61" s="100">
        <v>1.05353298686486</v>
      </c>
      <c r="BG61" s="100">
        <v>2.7610531212266198E-2</v>
      </c>
      <c r="BH61" s="100">
        <v>1.26770938352823E-2</v>
      </c>
      <c r="BI61" s="100">
        <v>1.0295822460646699E-2</v>
      </c>
      <c r="BJ61" s="100">
        <v>8.5472575903679307E-3</v>
      </c>
      <c r="BK61" s="100">
        <v>4.4077852065667498E-3</v>
      </c>
      <c r="BL61" s="100">
        <v>3.11897831366796E-2</v>
      </c>
      <c r="BM61" s="100">
        <v>1.18770436169765E-2</v>
      </c>
      <c r="BN61" s="100">
        <v>5.0349713875057801E-3</v>
      </c>
      <c r="BO61" s="100">
        <v>5.4303689217140197E-2</v>
      </c>
      <c r="BP61" s="100">
        <v>2.0714437380463701E-2</v>
      </c>
      <c r="BQ61" s="101">
        <v>0</v>
      </c>
    </row>
    <row r="62" spans="1:69" ht="15" customHeight="1" x14ac:dyDescent="0.3">
      <c r="A62" s="33" t="s">
        <v>80</v>
      </c>
      <c r="B62" s="11" t="s">
        <v>148</v>
      </c>
      <c r="C62" s="99">
        <v>2.5208880726653501E-3</v>
      </c>
      <c r="D62" s="100">
        <v>2.7567289011210202E-3</v>
      </c>
      <c r="E62" s="100">
        <v>3.0971339395176201E-3</v>
      </c>
      <c r="F62" s="100">
        <v>1.05058589874461E-2</v>
      </c>
      <c r="G62" s="100">
        <v>2.1583524369811199E-2</v>
      </c>
      <c r="H62" s="100">
        <v>1.2562158723942601E-2</v>
      </c>
      <c r="I62" s="100">
        <v>1.02203467175582E-2</v>
      </c>
      <c r="J62" s="100">
        <v>5.1024344961209797E-3</v>
      </c>
      <c r="K62" s="100">
        <v>9.6997260484845606E-3</v>
      </c>
      <c r="L62" s="100">
        <v>6.0792092869071798E-3</v>
      </c>
      <c r="M62" s="100">
        <v>8.3370226037154192E-3</v>
      </c>
      <c r="N62" s="100">
        <v>5.45961124404772E-3</v>
      </c>
      <c r="O62" s="100">
        <v>3.6803169065326201E-3</v>
      </c>
      <c r="P62" s="100">
        <v>3.5256435683706901E-3</v>
      </c>
      <c r="Q62" s="100">
        <v>4.1703048106034599E-3</v>
      </c>
      <c r="R62" s="100">
        <v>7.4199231241666597E-3</v>
      </c>
      <c r="S62" s="100">
        <v>1.0887904883826601E-2</v>
      </c>
      <c r="T62" s="100">
        <v>9.7534484374581492E-3</v>
      </c>
      <c r="U62" s="100">
        <v>9.6317772129278605E-3</v>
      </c>
      <c r="V62" s="100">
        <v>5.3689053713970704E-3</v>
      </c>
      <c r="W62" s="100">
        <v>4.7157255949369396E-3</v>
      </c>
      <c r="X62" s="100">
        <v>6.0455267556628603E-3</v>
      </c>
      <c r="Y62" s="100">
        <v>5.4202479042991603E-3</v>
      </c>
      <c r="Z62" s="100">
        <v>4.4351628013042602E-3</v>
      </c>
      <c r="AA62" s="100">
        <v>5.52053094658675E-3</v>
      </c>
      <c r="AB62" s="100">
        <v>7.5141935681185797E-3</v>
      </c>
      <c r="AC62" s="100">
        <v>7.9265718877213794E-3</v>
      </c>
      <c r="AD62" s="100">
        <v>6.2862308712639103E-3</v>
      </c>
      <c r="AE62" s="100">
        <v>7.5086609569150796E-3</v>
      </c>
      <c r="AF62" s="100">
        <v>3.34136906029885E-3</v>
      </c>
      <c r="AG62" s="100">
        <v>4.9580443970286599E-3</v>
      </c>
      <c r="AH62" s="100">
        <v>5.9977569074315803E-3</v>
      </c>
      <c r="AI62" s="100">
        <v>7.0587686807784102E-3</v>
      </c>
      <c r="AJ62" s="100">
        <v>6.4856170002447703E-3</v>
      </c>
      <c r="AK62" s="100">
        <v>6.5479450341657903E-3</v>
      </c>
      <c r="AL62" s="100">
        <v>5.1359592858141699E-3</v>
      </c>
      <c r="AM62" s="100">
        <v>5.1070550002321998E-3</v>
      </c>
      <c r="AN62" s="100">
        <v>3.7425341982021002E-3</v>
      </c>
      <c r="AO62" s="100">
        <v>1.5762467832954399E-2</v>
      </c>
      <c r="AP62" s="100">
        <v>5.3707062361730796E-3</v>
      </c>
      <c r="AQ62" s="100">
        <v>6.97674285005881E-3</v>
      </c>
      <c r="AR62" s="100">
        <v>1.12957502787943E-2</v>
      </c>
      <c r="AS62" s="100">
        <v>3.9297687734796402E-2</v>
      </c>
      <c r="AT62" s="100">
        <v>5.1180744706439497E-2</v>
      </c>
      <c r="AU62" s="100">
        <v>1.4807982665475001E-2</v>
      </c>
      <c r="AV62" s="100">
        <v>5.5587309921886598E-3</v>
      </c>
      <c r="AW62" s="100">
        <v>5.0479842357785999E-3</v>
      </c>
      <c r="AX62" s="100">
        <v>1.4490790983044399E-2</v>
      </c>
      <c r="AY62" s="100">
        <v>1.5663458155318201E-2</v>
      </c>
      <c r="AZ62" s="100">
        <v>1.53264468301091E-2</v>
      </c>
      <c r="BA62" s="100">
        <v>1.03712952317039E-2</v>
      </c>
      <c r="BB62" s="100">
        <v>2.8740700681371698E-3</v>
      </c>
      <c r="BC62" s="100">
        <v>5.9682969531198995E-4</v>
      </c>
      <c r="BD62" s="100">
        <v>3.8121492803608499E-3</v>
      </c>
      <c r="BE62" s="100">
        <v>1.0016926955904899E-2</v>
      </c>
      <c r="BF62" s="100">
        <v>8.7239105562001394E-3</v>
      </c>
      <c r="BG62" s="100">
        <v>1.0193681259793901</v>
      </c>
      <c r="BH62" s="100">
        <v>4.7152400392057999E-3</v>
      </c>
      <c r="BI62" s="100">
        <v>7.8301637213900304E-3</v>
      </c>
      <c r="BJ62" s="100">
        <v>5.8942197221003604E-3</v>
      </c>
      <c r="BK62" s="100">
        <v>4.6620298320157096E-3</v>
      </c>
      <c r="BL62" s="100">
        <v>1.09007141093545E-2</v>
      </c>
      <c r="BM62" s="100">
        <v>9.9928232215817404E-3</v>
      </c>
      <c r="BN62" s="100">
        <v>3.1489406435339599E-3</v>
      </c>
      <c r="BO62" s="100">
        <v>1.0449062264368E-2</v>
      </c>
      <c r="BP62" s="100">
        <v>5.0919625674574797E-3</v>
      </c>
      <c r="BQ62" s="101">
        <v>0</v>
      </c>
    </row>
    <row r="63" spans="1:69" ht="15" customHeight="1" x14ac:dyDescent="0.3">
      <c r="A63" s="33" t="s">
        <v>81</v>
      </c>
      <c r="B63" s="11" t="s">
        <v>149</v>
      </c>
      <c r="C63" s="99">
        <v>6.5001673117996402E-3</v>
      </c>
      <c r="D63" s="100">
        <v>8.4344546951349002E-3</v>
      </c>
      <c r="E63" s="100">
        <v>4.6809449298748198E-3</v>
      </c>
      <c r="F63" s="100">
        <v>4.3981742778566799E-2</v>
      </c>
      <c r="G63" s="100">
        <v>1.00646904491026E-2</v>
      </c>
      <c r="H63" s="100">
        <v>1.52129011856446E-2</v>
      </c>
      <c r="I63" s="100">
        <v>2.1320535960267301E-2</v>
      </c>
      <c r="J63" s="100">
        <v>1.7165146687043598E-2</v>
      </c>
      <c r="K63" s="100">
        <v>2.3265739203648599E-2</v>
      </c>
      <c r="L63" s="100">
        <v>1.7361113352735599E-2</v>
      </c>
      <c r="M63" s="100">
        <v>3.3021418415718401E-2</v>
      </c>
      <c r="N63" s="100">
        <v>3.06867859647303E-2</v>
      </c>
      <c r="O63" s="100">
        <v>1.37081437962372E-2</v>
      </c>
      <c r="P63" s="100">
        <v>1.54780427978301E-2</v>
      </c>
      <c r="Q63" s="100">
        <v>2.0142945955365699E-2</v>
      </c>
      <c r="R63" s="100">
        <v>1.34985560950478E-2</v>
      </c>
      <c r="S63" s="100">
        <v>2.23112696854833E-2</v>
      </c>
      <c r="T63" s="100">
        <v>1.5716348042255902E-2</v>
      </c>
      <c r="U63" s="100">
        <v>9.4904357151746593E-3</v>
      </c>
      <c r="V63" s="100">
        <v>2.2432535483271201E-2</v>
      </c>
      <c r="W63" s="100">
        <v>1.18233343932525E-2</v>
      </c>
      <c r="X63" s="100">
        <v>2.0652652289685498E-2</v>
      </c>
      <c r="Y63" s="100">
        <v>2.1566187863195401E-2</v>
      </c>
      <c r="Z63" s="100">
        <v>2.32642331939844E-2</v>
      </c>
      <c r="AA63" s="100">
        <v>1.6931490358296001E-2</v>
      </c>
      <c r="AB63" s="100">
        <v>2.6258627191013701E-2</v>
      </c>
      <c r="AC63" s="100">
        <v>1.45380982449165E-2</v>
      </c>
      <c r="AD63" s="100">
        <v>2.1281438070961001E-2</v>
      </c>
      <c r="AE63" s="100">
        <v>1.9283801832403101E-2</v>
      </c>
      <c r="AF63" s="100">
        <v>1.8192522605035202E-2</v>
      </c>
      <c r="AG63" s="100">
        <v>2.1386358101988402E-2</v>
      </c>
      <c r="AH63" s="100">
        <v>2.7552662856734099E-2</v>
      </c>
      <c r="AI63" s="100">
        <v>2.2108837209259002E-2</v>
      </c>
      <c r="AJ63" s="100">
        <v>1.7159917091789399E-2</v>
      </c>
      <c r="AK63" s="100">
        <v>1.16027523414202E-2</v>
      </c>
      <c r="AL63" s="100">
        <v>1.4912385649896401E-2</v>
      </c>
      <c r="AM63" s="100">
        <v>1.48119906733583E-2</v>
      </c>
      <c r="AN63" s="100">
        <v>1.5908003540537299E-2</v>
      </c>
      <c r="AO63" s="100">
        <v>1.3397346141351201E-2</v>
      </c>
      <c r="AP63" s="100">
        <v>1.48859931350459E-2</v>
      </c>
      <c r="AQ63" s="100">
        <v>4.0925200369957102E-2</v>
      </c>
      <c r="AR63" s="100">
        <v>1.70638060156653E-2</v>
      </c>
      <c r="AS63" s="100">
        <v>1.5720660734739302E-2</v>
      </c>
      <c r="AT63" s="100">
        <v>4.36968044048913E-2</v>
      </c>
      <c r="AU63" s="100">
        <v>3.5743424544133998E-2</v>
      </c>
      <c r="AV63" s="100">
        <v>4.44444882313818E-2</v>
      </c>
      <c r="AW63" s="100">
        <v>2.08270012057763E-2</v>
      </c>
      <c r="AX63" s="100">
        <v>2.7742468804442501E-2</v>
      </c>
      <c r="AY63" s="100">
        <v>4.2360464246526799E-2</v>
      </c>
      <c r="AZ63" s="100">
        <v>0.15584601962818601</v>
      </c>
      <c r="BA63" s="100">
        <v>6.2259693550567902E-2</v>
      </c>
      <c r="BB63" s="100">
        <v>4.7871422270751897E-2</v>
      </c>
      <c r="BC63" s="100">
        <v>4.5630824608825999E-3</v>
      </c>
      <c r="BD63" s="100">
        <v>3.0416089840287399E-2</v>
      </c>
      <c r="BE63" s="100">
        <v>1.8706363236851101E-2</v>
      </c>
      <c r="BF63" s="100">
        <v>3.4943277808767798E-2</v>
      </c>
      <c r="BG63" s="100">
        <v>2.0957695845584198E-2</v>
      </c>
      <c r="BH63" s="100">
        <v>1.0341647086605401</v>
      </c>
      <c r="BI63" s="100">
        <v>2.0181841519728998E-2</v>
      </c>
      <c r="BJ63" s="100">
        <v>3.4852339175662897E-2</v>
      </c>
      <c r="BK63" s="100">
        <v>3.6516354470046003E-2</v>
      </c>
      <c r="BL63" s="100">
        <v>4.8239123161255698E-2</v>
      </c>
      <c r="BM63" s="100">
        <v>6.1690174511068702E-2</v>
      </c>
      <c r="BN63" s="100">
        <v>2.0052457178814698E-2</v>
      </c>
      <c r="BO63" s="100">
        <v>4.2684387019268903E-2</v>
      </c>
      <c r="BP63" s="100">
        <v>5.22868875789472E-2</v>
      </c>
      <c r="BQ63" s="101">
        <v>0</v>
      </c>
    </row>
    <row r="64" spans="1:69" ht="15" customHeight="1" x14ac:dyDescent="0.3">
      <c r="A64" s="33" t="s">
        <v>82</v>
      </c>
      <c r="B64" s="11" t="s">
        <v>150</v>
      </c>
      <c r="C64" s="99">
        <v>1.43578131994257E-3</v>
      </c>
      <c r="D64" s="100">
        <v>1.5975101020753201E-3</v>
      </c>
      <c r="E64" s="100">
        <v>9.2769153084682095E-4</v>
      </c>
      <c r="F64" s="100">
        <v>2.39795670555326E-3</v>
      </c>
      <c r="G64" s="100">
        <v>1.79139930180697E-3</v>
      </c>
      <c r="H64" s="100">
        <v>2.2828452979453502E-3</v>
      </c>
      <c r="I64" s="100">
        <v>2.8133120250823898E-3</v>
      </c>
      <c r="J64" s="100">
        <v>4.0404529369686198E-3</v>
      </c>
      <c r="K64" s="100">
        <v>5.5348699852076199E-3</v>
      </c>
      <c r="L64" s="100">
        <v>3.60901629036086E-3</v>
      </c>
      <c r="M64" s="100">
        <v>5.13407527439101E-3</v>
      </c>
      <c r="N64" s="100">
        <v>1.26636123380911E-2</v>
      </c>
      <c r="O64" s="100">
        <v>2.4519749631529298E-3</v>
      </c>
      <c r="P64" s="100">
        <v>2.3006372163753498E-3</v>
      </c>
      <c r="Q64" s="100">
        <v>3.17840730934107E-3</v>
      </c>
      <c r="R64" s="100">
        <v>4.4186909294467403E-3</v>
      </c>
      <c r="S64" s="100">
        <v>8.4269110426835308E-3</v>
      </c>
      <c r="T64" s="100">
        <v>3.4196222114642599E-3</v>
      </c>
      <c r="U64" s="100">
        <v>1.8971764204617401E-3</v>
      </c>
      <c r="V64" s="100">
        <v>2.7398010133958899E-3</v>
      </c>
      <c r="W64" s="100">
        <v>3.2999960914575702E-3</v>
      </c>
      <c r="X64" s="100">
        <v>4.1669039660484197E-3</v>
      </c>
      <c r="Y64" s="100">
        <v>3.6987549817353899E-3</v>
      </c>
      <c r="Z64" s="100">
        <v>4.91263413023953E-3</v>
      </c>
      <c r="AA64" s="100">
        <v>3.8175170966195399E-3</v>
      </c>
      <c r="AB64" s="100">
        <v>6.7220597717861201E-3</v>
      </c>
      <c r="AC64" s="100">
        <v>2.7062120926871101E-3</v>
      </c>
      <c r="AD64" s="100">
        <v>2.9488052922806802E-3</v>
      </c>
      <c r="AE64" s="100">
        <v>3.6942126093294498E-3</v>
      </c>
      <c r="AF64" s="100">
        <v>2.58119819554645E-3</v>
      </c>
      <c r="AG64" s="100">
        <v>3.30806610733466E-3</v>
      </c>
      <c r="AH64" s="100">
        <v>3.68944996415988E-3</v>
      </c>
      <c r="AI64" s="100">
        <v>5.3417826191486297E-3</v>
      </c>
      <c r="AJ64" s="100">
        <v>4.7689150113611103E-3</v>
      </c>
      <c r="AK64" s="100">
        <v>3.2357776322567001E-3</v>
      </c>
      <c r="AL64" s="100">
        <v>2.7295967823055501E-3</v>
      </c>
      <c r="AM64" s="100">
        <v>3.5638839928189702E-3</v>
      </c>
      <c r="AN64" s="100">
        <v>1.9656379077418098E-3</v>
      </c>
      <c r="AO64" s="100">
        <v>7.3436021744272698E-3</v>
      </c>
      <c r="AP64" s="100">
        <v>3.0315091648158198E-3</v>
      </c>
      <c r="AQ64" s="100">
        <v>6.0214076661051401E-3</v>
      </c>
      <c r="AR64" s="100">
        <v>6.4633534147273504E-3</v>
      </c>
      <c r="AS64" s="100">
        <v>5.2796560542175998E-3</v>
      </c>
      <c r="AT64" s="100">
        <v>8.9473687094942106E-3</v>
      </c>
      <c r="AU64" s="100">
        <v>2.2976617986497701E-2</v>
      </c>
      <c r="AV64" s="100">
        <v>4.6806276881375397E-3</v>
      </c>
      <c r="AW64" s="100">
        <v>4.2869285537160901E-3</v>
      </c>
      <c r="AX64" s="100">
        <v>3.89835293792934E-3</v>
      </c>
      <c r="AY64" s="100">
        <v>8.7242049614719708E-3</v>
      </c>
      <c r="AZ64" s="100">
        <v>5.2472294304360904E-3</v>
      </c>
      <c r="BA64" s="100">
        <v>4.6606567077765899E-3</v>
      </c>
      <c r="BB64" s="100">
        <v>7.7939692136686899E-3</v>
      </c>
      <c r="BC64" s="100">
        <v>6.2657525287299E-4</v>
      </c>
      <c r="BD64" s="100">
        <v>4.4652249783885796E-3</v>
      </c>
      <c r="BE64" s="100">
        <v>1.6243230126037299E-3</v>
      </c>
      <c r="BF64" s="100">
        <v>5.8246803487275499E-3</v>
      </c>
      <c r="BG64" s="100">
        <v>3.2663816879017898E-3</v>
      </c>
      <c r="BH64" s="100">
        <v>4.0471484594828298E-3</v>
      </c>
      <c r="BI64" s="100">
        <v>1.0020746725015</v>
      </c>
      <c r="BJ64" s="100">
        <v>9.5778101896157597E-3</v>
      </c>
      <c r="BK64" s="100">
        <v>1.02963733651223E-2</v>
      </c>
      <c r="BL64" s="100">
        <v>1.18408076615863E-2</v>
      </c>
      <c r="BM64" s="100">
        <v>8.2136812062815201E-3</v>
      </c>
      <c r="BN64" s="100">
        <v>1.1281622526119401E-3</v>
      </c>
      <c r="BO64" s="100">
        <v>5.3120456565855304E-3</v>
      </c>
      <c r="BP64" s="100">
        <v>2.2328753463284998E-3</v>
      </c>
      <c r="BQ64" s="101">
        <v>0</v>
      </c>
    </row>
    <row r="65" spans="1:69" ht="15" customHeight="1" x14ac:dyDescent="0.3">
      <c r="A65" s="33" t="s">
        <v>83</v>
      </c>
      <c r="B65" s="11" t="s">
        <v>151</v>
      </c>
      <c r="C65" s="99">
        <v>1.8982750216826501E-3</v>
      </c>
      <c r="D65" s="100">
        <v>1.9707042619551002E-3</v>
      </c>
      <c r="E65" s="100">
        <v>1.0147253965912999E-3</v>
      </c>
      <c r="F65" s="100">
        <v>3.0744690779235398E-3</v>
      </c>
      <c r="G65" s="100">
        <v>2.4244294520671399E-3</v>
      </c>
      <c r="H65" s="100">
        <v>2.5265776785324801E-3</v>
      </c>
      <c r="I65" s="100">
        <v>2.77181547454397E-3</v>
      </c>
      <c r="J65" s="100">
        <v>3.9000688783223298E-3</v>
      </c>
      <c r="K65" s="100">
        <v>3.8942947775124099E-3</v>
      </c>
      <c r="L65" s="100">
        <v>4.1464780837668002E-3</v>
      </c>
      <c r="M65" s="100">
        <v>9.1780153604072694E-3</v>
      </c>
      <c r="N65" s="100">
        <v>6.89661545774447E-3</v>
      </c>
      <c r="O65" s="100">
        <v>2.42522173679464E-3</v>
      </c>
      <c r="P65" s="100">
        <v>2.3565104951620299E-3</v>
      </c>
      <c r="Q65" s="100">
        <v>3.6637150598412701E-3</v>
      </c>
      <c r="R65" s="100">
        <v>4.2166401925883001E-3</v>
      </c>
      <c r="S65" s="100">
        <v>5.1262245432748396E-3</v>
      </c>
      <c r="T65" s="100">
        <v>2.72547063754315E-3</v>
      </c>
      <c r="U65" s="100">
        <v>2.1836577685235802E-3</v>
      </c>
      <c r="V65" s="100">
        <v>3.6479123556536599E-3</v>
      </c>
      <c r="W65" s="100">
        <v>5.2953862892736398E-3</v>
      </c>
      <c r="X65" s="100">
        <v>5.1448040791190197E-3</v>
      </c>
      <c r="Y65" s="100">
        <v>6.17989486274414E-3</v>
      </c>
      <c r="Z65" s="100">
        <v>5.6553728024618197E-3</v>
      </c>
      <c r="AA65" s="100">
        <v>3.8024355894552202E-3</v>
      </c>
      <c r="AB65" s="100">
        <v>4.5263358015806502E-3</v>
      </c>
      <c r="AC65" s="100">
        <v>3.9857004263303504E-3</v>
      </c>
      <c r="AD65" s="100">
        <v>4.3974607354004E-3</v>
      </c>
      <c r="AE65" s="100">
        <v>3.4445798001563302E-3</v>
      </c>
      <c r="AF65" s="100">
        <v>2.9211800720043298E-3</v>
      </c>
      <c r="AG65" s="100">
        <v>3.65133439564201E-3</v>
      </c>
      <c r="AH65" s="100">
        <v>3.4888181545453898E-3</v>
      </c>
      <c r="AI65" s="100">
        <v>4.7061527645937398E-3</v>
      </c>
      <c r="AJ65" s="100">
        <v>3.4155659879423401E-3</v>
      </c>
      <c r="AK65" s="100">
        <v>2.54879768050663E-3</v>
      </c>
      <c r="AL65" s="100">
        <v>2.8124124468330899E-3</v>
      </c>
      <c r="AM65" s="100">
        <v>2.3191090062118901E-3</v>
      </c>
      <c r="AN65" s="100">
        <v>2.8941737194969602E-3</v>
      </c>
      <c r="AO65" s="100">
        <v>3.4967363009432199E-3</v>
      </c>
      <c r="AP65" s="100">
        <v>2.50487851736058E-3</v>
      </c>
      <c r="AQ65" s="100">
        <v>4.2882891515516296E-3</v>
      </c>
      <c r="AR65" s="100">
        <v>2.71549821141682E-3</v>
      </c>
      <c r="AS65" s="100">
        <v>4.1859479858074302E-3</v>
      </c>
      <c r="AT65" s="100">
        <v>5.0526181603299898E-3</v>
      </c>
      <c r="AU65" s="100">
        <v>5.1059797475527403E-3</v>
      </c>
      <c r="AV65" s="100">
        <v>5.0176010148125401E-3</v>
      </c>
      <c r="AW65" s="100">
        <v>3.20148377611388E-3</v>
      </c>
      <c r="AX65" s="100">
        <v>5.6835817723398597E-3</v>
      </c>
      <c r="AY65" s="100">
        <v>9.3871618264936701E-3</v>
      </c>
      <c r="AZ65" s="100">
        <v>4.82878285620325E-3</v>
      </c>
      <c r="BA65" s="100">
        <v>3.9818442600234802E-3</v>
      </c>
      <c r="BB65" s="100">
        <v>3.65448747118826E-3</v>
      </c>
      <c r="BC65" s="100">
        <v>5.2221400188761302E-4</v>
      </c>
      <c r="BD65" s="100">
        <v>5.0763579102983498E-3</v>
      </c>
      <c r="BE65" s="100">
        <v>7.47261111824614E-3</v>
      </c>
      <c r="BF65" s="100">
        <v>7.5279894869210596E-3</v>
      </c>
      <c r="BG65" s="100">
        <v>3.3055376575442E-3</v>
      </c>
      <c r="BH65" s="100">
        <v>4.2471864767906504E-3</v>
      </c>
      <c r="BI65" s="100">
        <v>2.6051121795779199E-3</v>
      </c>
      <c r="BJ65" s="100">
        <v>1.0028855933763501</v>
      </c>
      <c r="BK65" s="100">
        <v>1.64396340181692E-3</v>
      </c>
      <c r="BL65" s="100">
        <v>4.5475013283174902E-3</v>
      </c>
      <c r="BM65" s="100">
        <v>3.4873170858892698E-3</v>
      </c>
      <c r="BN65" s="100">
        <v>2.54915887461088E-3</v>
      </c>
      <c r="BO65" s="100">
        <v>6.9440123255583401E-3</v>
      </c>
      <c r="BP65" s="100">
        <v>6.4676565862071596E-3</v>
      </c>
      <c r="BQ65" s="101">
        <v>0</v>
      </c>
    </row>
    <row r="66" spans="1:69" ht="15" customHeight="1" x14ac:dyDescent="0.3">
      <c r="A66" s="33" t="s">
        <v>84</v>
      </c>
      <c r="B66" s="11" t="s">
        <v>152</v>
      </c>
      <c r="C66" s="99">
        <v>5.8105683390449502E-5</v>
      </c>
      <c r="D66" s="100">
        <v>6.27633134421877E-5</v>
      </c>
      <c r="E66" s="100">
        <v>2.4095792736315199E-5</v>
      </c>
      <c r="F66" s="100">
        <v>1.3214975787657299E-4</v>
      </c>
      <c r="G66" s="100">
        <v>7.3255312288322794E-5</v>
      </c>
      <c r="H66" s="100">
        <v>3.8102951904423702E-4</v>
      </c>
      <c r="I66" s="100">
        <v>1.01398595994978E-4</v>
      </c>
      <c r="J66" s="100">
        <v>1.6868969791204201E-4</v>
      </c>
      <c r="K66" s="100">
        <v>1.5314749587514199E-4</v>
      </c>
      <c r="L66" s="100">
        <v>1.2331991505147E-4</v>
      </c>
      <c r="M66" s="100">
        <v>3.7613369475022698E-4</v>
      </c>
      <c r="N66" s="100">
        <v>5.1768515657899395E-4</v>
      </c>
      <c r="O66" s="100">
        <v>7.3420070105325596E-5</v>
      </c>
      <c r="P66" s="100">
        <v>1.26119028102844E-4</v>
      </c>
      <c r="Q66" s="100">
        <v>2.31471028004979E-4</v>
      </c>
      <c r="R66" s="100">
        <v>1.7935401026647E-4</v>
      </c>
      <c r="S66" s="100">
        <v>2.0109908865683699E-4</v>
      </c>
      <c r="T66" s="100">
        <v>1.05668734966502E-4</v>
      </c>
      <c r="U66" s="100">
        <v>5.6863535352757501E-5</v>
      </c>
      <c r="V66" s="100">
        <v>9.8934558285363304E-5</v>
      </c>
      <c r="W66" s="100">
        <v>1.8218397204773699E-4</v>
      </c>
      <c r="X66" s="100">
        <v>1.82110672934844E-4</v>
      </c>
      <c r="Y66" s="100">
        <v>3.9228886135153401E-4</v>
      </c>
      <c r="Z66" s="100">
        <v>7.6592332824035499E-4</v>
      </c>
      <c r="AA66" s="100">
        <v>1.7110310714032101E-4</v>
      </c>
      <c r="AB66" s="100">
        <v>1.9544763601047699E-4</v>
      </c>
      <c r="AC66" s="100">
        <v>1.7166190271668399E-4</v>
      </c>
      <c r="AD66" s="100">
        <v>4.3510536776124802E-4</v>
      </c>
      <c r="AE66" s="100">
        <v>1.3926410612001E-4</v>
      </c>
      <c r="AF66" s="100">
        <v>1.6210537974817299E-4</v>
      </c>
      <c r="AG66" s="100">
        <v>4.51879463561365E-4</v>
      </c>
      <c r="AH66" s="100">
        <v>3.4418174409749601E-4</v>
      </c>
      <c r="AI66" s="100">
        <v>4.5777210950479402E-4</v>
      </c>
      <c r="AJ66" s="100">
        <v>4.09070658157876E-4</v>
      </c>
      <c r="AK66" s="100">
        <v>2.2487407398125801E-4</v>
      </c>
      <c r="AL66" s="100">
        <v>1.55697284767229E-4</v>
      </c>
      <c r="AM66" s="100">
        <v>1.0757788166369101E-4</v>
      </c>
      <c r="AN66" s="100">
        <v>1.3050616584750301E-4</v>
      </c>
      <c r="AO66" s="100">
        <v>9.9696600826489407E-5</v>
      </c>
      <c r="AP66" s="100">
        <v>1.0766781681825299E-4</v>
      </c>
      <c r="AQ66" s="100">
        <v>1.4428934106555801E-4</v>
      </c>
      <c r="AR66" s="100">
        <v>9.8357569785624099E-5</v>
      </c>
      <c r="AS66" s="100">
        <v>9.9319396883582601E-5</v>
      </c>
      <c r="AT66" s="100">
        <v>1.01728226114789E-4</v>
      </c>
      <c r="AU66" s="100">
        <v>1.92607249729269E-4</v>
      </c>
      <c r="AV66" s="100">
        <v>1.08137819898547E-4</v>
      </c>
      <c r="AW66" s="100">
        <v>1.01867986703964E-4</v>
      </c>
      <c r="AX66" s="100">
        <v>1.22151408783048E-4</v>
      </c>
      <c r="AY66" s="100">
        <v>1.08209125595499E-4</v>
      </c>
      <c r="AZ66" s="100">
        <v>3.1420371936217002E-4</v>
      </c>
      <c r="BA66" s="100">
        <v>2.7866929386929299E-4</v>
      </c>
      <c r="BB66" s="100">
        <v>1.15020790976465E-4</v>
      </c>
      <c r="BC66" s="100">
        <v>1.1514687166880999E-5</v>
      </c>
      <c r="BD66" s="100">
        <v>1.5797008332832201E-4</v>
      </c>
      <c r="BE66" s="100">
        <v>2.8976432806548402E-3</v>
      </c>
      <c r="BF66" s="100">
        <v>1.5842958389401999E-4</v>
      </c>
      <c r="BG66" s="100">
        <v>2.05806512258622E-4</v>
      </c>
      <c r="BH66" s="100">
        <v>1.3260782065785E-4</v>
      </c>
      <c r="BI66" s="100">
        <v>8.3606682539589394E-5</v>
      </c>
      <c r="BJ66" s="100">
        <v>7.9878927637226795E-5</v>
      </c>
      <c r="BK66" s="100">
        <v>1.00006136062472</v>
      </c>
      <c r="BL66" s="100">
        <v>9.5324488761794001E-5</v>
      </c>
      <c r="BM66" s="100">
        <v>1.5617304821197601E-4</v>
      </c>
      <c r="BN66" s="100">
        <v>1.4810527435565901E-4</v>
      </c>
      <c r="BO66" s="100">
        <v>1.3217537433076501E-4</v>
      </c>
      <c r="BP66" s="100">
        <v>1.4360654788281399E-4</v>
      </c>
      <c r="BQ66" s="101">
        <v>0</v>
      </c>
    </row>
    <row r="67" spans="1:69" ht="15" customHeight="1" x14ac:dyDescent="0.3">
      <c r="A67" s="33" t="s">
        <v>85</v>
      </c>
      <c r="B67" s="11" t="s">
        <v>153</v>
      </c>
      <c r="C67" s="99">
        <v>7.3096088203066802E-4</v>
      </c>
      <c r="D67" s="100">
        <v>8.7659822625885998E-4</v>
      </c>
      <c r="E67" s="100">
        <v>5.3159127699572105E-4</v>
      </c>
      <c r="F67" s="100">
        <v>1.88679378021473E-3</v>
      </c>
      <c r="G67" s="100">
        <v>1.42932551211451E-3</v>
      </c>
      <c r="H67" s="100">
        <v>3.01430803924343E-3</v>
      </c>
      <c r="I67" s="100">
        <v>2.9068561822076602E-3</v>
      </c>
      <c r="J67" s="100">
        <v>1.9022076593804399E-3</v>
      </c>
      <c r="K67" s="100">
        <v>1.8155252771030099E-3</v>
      </c>
      <c r="L67" s="100">
        <v>1.9970064759342299E-3</v>
      </c>
      <c r="M67" s="100">
        <v>3.05421964993907E-3</v>
      </c>
      <c r="N67" s="100">
        <v>2.3359735070609899E-3</v>
      </c>
      <c r="O67" s="100">
        <v>1.16411912873696E-3</v>
      </c>
      <c r="P67" s="100">
        <v>1.15014804095591E-3</v>
      </c>
      <c r="Q67" s="100">
        <v>1.5352819157305601E-3</v>
      </c>
      <c r="R67" s="100">
        <v>1.4803664519740199E-3</v>
      </c>
      <c r="S67" s="100">
        <v>2.6999403681830301E-3</v>
      </c>
      <c r="T67" s="100">
        <v>1.4206924901703701E-3</v>
      </c>
      <c r="U67" s="100">
        <v>1.2221246290831901E-3</v>
      </c>
      <c r="V67" s="100">
        <v>1.6661587634656499E-3</v>
      </c>
      <c r="W67" s="100">
        <v>1.4199627605896499E-3</v>
      </c>
      <c r="X67" s="100">
        <v>2.2944724753598401E-3</v>
      </c>
      <c r="Y67" s="100">
        <v>2.3035655220494801E-3</v>
      </c>
      <c r="Z67" s="100">
        <v>2.0794147536777E-3</v>
      </c>
      <c r="AA67" s="100">
        <v>1.5268763207755001E-3</v>
      </c>
      <c r="AB67" s="100">
        <v>1.8706225748086501E-3</v>
      </c>
      <c r="AC67" s="100">
        <v>2.97692469693032E-3</v>
      </c>
      <c r="AD67" s="100">
        <v>2.71356526930089E-3</v>
      </c>
      <c r="AE67" s="100">
        <v>2.4919586367440501E-3</v>
      </c>
      <c r="AF67" s="100">
        <v>1.3686174981115901E-3</v>
      </c>
      <c r="AG67" s="100">
        <v>1.73883015489417E-3</v>
      </c>
      <c r="AH67" s="100">
        <v>1.9127188243115299E-3</v>
      </c>
      <c r="AI67" s="100">
        <v>2.6919847651769801E-3</v>
      </c>
      <c r="AJ67" s="100">
        <v>1.7002676706465601E-3</v>
      </c>
      <c r="AK67" s="100">
        <v>1.17596764351567E-3</v>
      </c>
      <c r="AL67" s="100">
        <v>1.29893386529334E-3</v>
      </c>
      <c r="AM67" s="100">
        <v>1.24697573041225E-3</v>
      </c>
      <c r="AN67" s="100">
        <v>1.3256925493469801E-3</v>
      </c>
      <c r="AO67" s="100">
        <v>1.0673885307483299E-3</v>
      </c>
      <c r="AP67" s="100">
        <v>1.2112392276115999E-3</v>
      </c>
      <c r="AQ67" s="100">
        <v>2.7464226103965498E-3</v>
      </c>
      <c r="AR67" s="100">
        <v>5.5182238027958802E-3</v>
      </c>
      <c r="AS67" s="100">
        <v>6.61353960082957E-3</v>
      </c>
      <c r="AT67" s="100">
        <v>2.27211862144352E-3</v>
      </c>
      <c r="AU67" s="100">
        <v>4.5044059699084499E-3</v>
      </c>
      <c r="AV67" s="100">
        <v>1.5332108659372101E-3</v>
      </c>
      <c r="AW67" s="100">
        <v>1.3589901663376199E-3</v>
      </c>
      <c r="AX67" s="100">
        <v>1.9947630200210101E-3</v>
      </c>
      <c r="AY67" s="100">
        <v>2.88152466425461E-3</v>
      </c>
      <c r="AZ67" s="100">
        <v>3.4222351495881102E-3</v>
      </c>
      <c r="BA67" s="100">
        <v>1.6223099048503699E-3</v>
      </c>
      <c r="BB67" s="100">
        <v>6.2370356809603802E-3</v>
      </c>
      <c r="BC67" s="100">
        <v>3.41767415726293E-4</v>
      </c>
      <c r="BD67" s="100">
        <v>1.5332431747325801E-2</v>
      </c>
      <c r="BE67" s="100">
        <v>5.4469678042848397E-3</v>
      </c>
      <c r="BF67" s="100">
        <v>1.12109926835041E-2</v>
      </c>
      <c r="BG67" s="100">
        <v>2.6692198015375599E-3</v>
      </c>
      <c r="BH67" s="100">
        <v>1.19014974433653E-2</v>
      </c>
      <c r="BI67" s="100">
        <v>6.4126264764191501E-3</v>
      </c>
      <c r="BJ67" s="100">
        <v>1.4926232736051999E-3</v>
      </c>
      <c r="BK67" s="100">
        <v>1.99903168196642E-3</v>
      </c>
      <c r="BL67" s="100">
        <v>1.0016308105321201</v>
      </c>
      <c r="BM67" s="100">
        <v>4.2082173262618103E-3</v>
      </c>
      <c r="BN67" s="100">
        <v>8.9889156985955697E-4</v>
      </c>
      <c r="BO67" s="100">
        <v>2.10401444767615E-3</v>
      </c>
      <c r="BP67" s="100">
        <v>5.3943066223700702E-3</v>
      </c>
      <c r="BQ67" s="101">
        <v>0</v>
      </c>
    </row>
    <row r="68" spans="1:69" ht="15" customHeight="1" x14ac:dyDescent="0.3">
      <c r="A68" s="33" t="s">
        <v>86</v>
      </c>
      <c r="B68" s="11" t="s">
        <v>154</v>
      </c>
      <c r="C68" s="99">
        <v>5.4952788893987701E-6</v>
      </c>
      <c r="D68" s="100">
        <v>5.7816004809571302E-6</v>
      </c>
      <c r="E68" s="100">
        <v>1.8092007173713701E-6</v>
      </c>
      <c r="F68" s="100">
        <v>8.3454317014824694E-6</v>
      </c>
      <c r="G68" s="100">
        <v>5.7229830660992099E-6</v>
      </c>
      <c r="H68" s="100">
        <v>4.6593702514192997E-5</v>
      </c>
      <c r="I68" s="100">
        <v>6.9909817294073904E-6</v>
      </c>
      <c r="J68" s="100">
        <v>1.6921854432284598E-5</v>
      </c>
      <c r="K68" s="100">
        <v>1.4750604373014199E-5</v>
      </c>
      <c r="L68" s="100">
        <v>1.05542206002492E-5</v>
      </c>
      <c r="M68" s="100">
        <v>4.1253166937788699E-5</v>
      </c>
      <c r="N68" s="100">
        <v>6.1193711383139606E-5</v>
      </c>
      <c r="O68" s="100">
        <v>5.6576818700973297E-6</v>
      </c>
      <c r="P68" s="100">
        <v>1.25079776750096E-5</v>
      </c>
      <c r="Q68" s="100">
        <v>2.5995266893987099E-5</v>
      </c>
      <c r="R68" s="100">
        <v>2.0111255702371899E-5</v>
      </c>
      <c r="S68" s="100">
        <v>2.0202244023326801E-5</v>
      </c>
      <c r="T68" s="100">
        <v>9.5172565451170597E-6</v>
      </c>
      <c r="U68" s="100">
        <v>4.0763633917800703E-6</v>
      </c>
      <c r="V68" s="100">
        <v>7.9638469032966507E-6</v>
      </c>
      <c r="W68" s="100">
        <v>1.9655550622988401E-5</v>
      </c>
      <c r="X68" s="100">
        <v>1.7715022180551601E-5</v>
      </c>
      <c r="Y68" s="100">
        <v>4.5669376315899902E-5</v>
      </c>
      <c r="Z68" s="100">
        <v>9.6967861055579195E-5</v>
      </c>
      <c r="AA68" s="100">
        <v>1.7889591500023201E-5</v>
      </c>
      <c r="AB68" s="100">
        <v>1.9090104901514499E-5</v>
      </c>
      <c r="AC68" s="100">
        <v>1.77453764731483E-5</v>
      </c>
      <c r="AD68" s="100">
        <v>5.3026242165561099E-5</v>
      </c>
      <c r="AE68" s="100">
        <v>1.2809630202114699E-5</v>
      </c>
      <c r="AF68" s="100">
        <v>1.65394811469418E-5</v>
      </c>
      <c r="AG68" s="100">
        <v>5.5751478037562797E-5</v>
      </c>
      <c r="AH68" s="100">
        <v>3.9426906462702803E-5</v>
      </c>
      <c r="AI68" s="100">
        <v>5.54892973233175E-5</v>
      </c>
      <c r="AJ68" s="100">
        <v>5.0448551479098697E-5</v>
      </c>
      <c r="AK68" s="100">
        <v>2.7105591827985699E-5</v>
      </c>
      <c r="AL68" s="100">
        <v>1.6749130385839199E-5</v>
      </c>
      <c r="AM68" s="100">
        <v>1.0230989471622901E-5</v>
      </c>
      <c r="AN68" s="100">
        <v>1.33803126118333E-5</v>
      </c>
      <c r="AO68" s="100">
        <v>9.3534329754648398E-6</v>
      </c>
      <c r="AP68" s="100">
        <v>1.0062622677586299E-5</v>
      </c>
      <c r="AQ68" s="100">
        <v>8.7538543236765902E-6</v>
      </c>
      <c r="AR68" s="100">
        <v>5.5889756283304499E-6</v>
      </c>
      <c r="AS68" s="100">
        <v>4.5447905522065402E-6</v>
      </c>
      <c r="AT68" s="100">
        <v>5.3825040759653298E-6</v>
      </c>
      <c r="AU68" s="100">
        <v>1.3832697361116099E-5</v>
      </c>
      <c r="AV68" s="100">
        <v>4.8224203170570202E-6</v>
      </c>
      <c r="AW68" s="100">
        <v>8.2525813767864207E-6</v>
      </c>
      <c r="AX68" s="100">
        <v>8.8179916381309204E-6</v>
      </c>
      <c r="AY68" s="100">
        <v>3.8899303506667403E-6</v>
      </c>
      <c r="AZ68" s="100">
        <v>1.6037059295884699E-5</v>
      </c>
      <c r="BA68" s="100">
        <v>2.69599815699639E-5</v>
      </c>
      <c r="BB68" s="100">
        <v>2.6063577974193798E-6</v>
      </c>
      <c r="BC68" s="100">
        <v>4.4449072401096999E-7</v>
      </c>
      <c r="BD68" s="100">
        <v>2.05649888276134E-6</v>
      </c>
      <c r="BE68" s="100">
        <v>3.8334018831439497E-4</v>
      </c>
      <c r="BF68" s="100">
        <v>5.74443601905395E-6</v>
      </c>
      <c r="BG68" s="100">
        <v>2.1210349407662599E-5</v>
      </c>
      <c r="BH68" s="100">
        <v>3.78489616872551E-6</v>
      </c>
      <c r="BI68" s="100">
        <v>1.38093663682107E-6</v>
      </c>
      <c r="BJ68" s="100">
        <v>4.7712895906593204E-6</v>
      </c>
      <c r="BK68" s="100">
        <v>2.80348977053939E-6</v>
      </c>
      <c r="BL68" s="100">
        <v>2.9998014933833301E-6</v>
      </c>
      <c r="BM68" s="100">
        <v>1.00001002055751</v>
      </c>
      <c r="BN68" s="100">
        <v>1.2101109942964899E-3</v>
      </c>
      <c r="BO68" s="100">
        <v>3.7231273482812201E-6</v>
      </c>
      <c r="BP68" s="100">
        <v>4.3340206049203099E-6</v>
      </c>
      <c r="BQ68" s="101">
        <v>0</v>
      </c>
    </row>
    <row r="69" spans="1:69" ht="15" customHeight="1" x14ac:dyDescent="0.3">
      <c r="A69" s="33" t="s">
        <v>87</v>
      </c>
      <c r="B69" s="11" t="s">
        <v>155</v>
      </c>
      <c r="C69" s="99">
        <v>8.6919568369417394E-6</v>
      </c>
      <c r="D69" s="100">
        <v>1.17642164729017E-5</v>
      </c>
      <c r="E69" s="100">
        <v>5.7628850433659102E-6</v>
      </c>
      <c r="F69" s="100">
        <v>1.5446424817206699E-5</v>
      </c>
      <c r="G69" s="100">
        <v>1.20881567527425E-5</v>
      </c>
      <c r="H69" s="100">
        <v>1.15571537457028E-5</v>
      </c>
      <c r="I69" s="100">
        <v>1.4411155895664801E-5</v>
      </c>
      <c r="J69" s="100">
        <v>2.5869692757034899E-5</v>
      </c>
      <c r="K69" s="100">
        <v>2.1441716837238101E-5</v>
      </c>
      <c r="L69" s="100">
        <v>2.1987050939957E-5</v>
      </c>
      <c r="M69" s="100">
        <v>2.5530475589216502E-5</v>
      </c>
      <c r="N69" s="100">
        <v>2.3611338395915501E-5</v>
      </c>
      <c r="O69" s="100">
        <v>2.6105192229651202E-5</v>
      </c>
      <c r="P69" s="100">
        <v>3.0291039467174498E-5</v>
      </c>
      <c r="Q69" s="100">
        <v>2.3382650088072001E-5</v>
      </c>
      <c r="R69" s="100">
        <v>1.8658147656417698E-5</v>
      </c>
      <c r="S69" s="100">
        <v>2.4613021716289401E-5</v>
      </c>
      <c r="T69" s="100">
        <v>2.28800843271028E-5</v>
      </c>
      <c r="U69" s="100">
        <v>1.17447709610599E-5</v>
      </c>
      <c r="V69" s="100">
        <v>2.4035685900264099E-5</v>
      </c>
      <c r="W69" s="100">
        <v>1.4877129217744699E-5</v>
      </c>
      <c r="X69" s="100">
        <v>1.9443467480570801E-5</v>
      </c>
      <c r="Y69" s="100">
        <v>2.8043302223770901E-5</v>
      </c>
      <c r="Z69" s="100">
        <v>2.3716462635746601E-5</v>
      </c>
      <c r="AA69" s="100">
        <v>2.3200539769255E-5</v>
      </c>
      <c r="AB69" s="100">
        <v>2.15759085095991E-5</v>
      </c>
      <c r="AC69" s="100">
        <v>1.7470278121779601E-5</v>
      </c>
      <c r="AD69" s="100">
        <v>1.7516232169984799E-5</v>
      </c>
      <c r="AE69" s="100">
        <v>2.08085543067918E-5</v>
      </c>
      <c r="AF69" s="100">
        <v>1.6557059116512101E-5</v>
      </c>
      <c r="AG69" s="100">
        <v>2.2316903286685699E-5</v>
      </c>
      <c r="AH69" s="100">
        <v>2.2238214983801401E-5</v>
      </c>
      <c r="AI69" s="100">
        <v>2.3326971204658599E-5</v>
      </c>
      <c r="AJ69" s="100">
        <v>2.22208158839442E-5</v>
      </c>
      <c r="AK69" s="100">
        <v>1.4200116472161E-5</v>
      </c>
      <c r="AL69" s="100">
        <v>2.1532082298646799E-5</v>
      </c>
      <c r="AM69" s="100">
        <v>1.5199319572165E-5</v>
      </c>
      <c r="AN69" s="100">
        <v>1.27795182447601E-5</v>
      </c>
      <c r="AO69" s="100">
        <v>1.76509763058595E-5</v>
      </c>
      <c r="AP69" s="100">
        <v>1.6642259011314401E-5</v>
      </c>
      <c r="AQ69" s="100">
        <v>8.0634678306700997E-5</v>
      </c>
      <c r="AR69" s="100">
        <v>2.0854467732161302E-5</v>
      </c>
      <c r="AS69" s="100">
        <v>2.3557979992722898E-5</v>
      </c>
      <c r="AT69" s="100">
        <v>2.51814290747204E-5</v>
      </c>
      <c r="AU69" s="100">
        <v>6.1496190414698395E-5</v>
      </c>
      <c r="AV69" s="100">
        <v>9.3649375654659896E-5</v>
      </c>
      <c r="AW69" s="100">
        <v>5.1646665148034402E-5</v>
      </c>
      <c r="AX69" s="100">
        <v>4.0486491997006698E-5</v>
      </c>
      <c r="AY69" s="100">
        <v>5.4731134399211603E-5</v>
      </c>
      <c r="AZ69" s="100">
        <v>4.6252066826349498E-5</v>
      </c>
      <c r="BA69" s="100">
        <v>3.5689536475459302E-5</v>
      </c>
      <c r="BB69" s="100">
        <v>2.7513413390920801E-5</v>
      </c>
      <c r="BC69" s="100">
        <v>7.1662521384106603E-6</v>
      </c>
      <c r="BD69" s="100">
        <v>5.4801986331560202E-5</v>
      </c>
      <c r="BE69" s="100">
        <v>4.14893578745399E-5</v>
      </c>
      <c r="BF69" s="100">
        <v>5.2027839092388103E-5</v>
      </c>
      <c r="BG69" s="100">
        <v>3.7813351920551198E-5</v>
      </c>
      <c r="BH69" s="100">
        <v>3.4042856013857403E-5</v>
      </c>
      <c r="BI69" s="100">
        <v>2.2879211679411401E-5</v>
      </c>
      <c r="BJ69" s="100">
        <v>7.3135139547196102E-5</v>
      </c>
      <c r="BK69" s="100">
        <v>2.5114596363614199E-5</v>
      </c>
      <c r="BL69" s="100">
        <v>9.4627972384362199E-5</v>
      </c>
      <c r="BM69" s="100">
        <v>1.2638108167444901E-4</v>
      </c>
      <c r="BN69" s="100">
        <v>1.1408712639656899</v>
      </c>
      <c r="BO69" s="100">
        <v>2.31032079118635E-4</v>
      </c>
      <c r="BP69" s="100">
        <v>6.4833356116092406E-5</v>
      </c>
      <c r="BQ69" s="101">
        <v>0</v>
      </c>
    </row>
    <row r="70" spans="1:69" ht="15" customHeight="1" x14ac:dyDescent="0.3">
      <c r="A70" s="33" t="s">
        <v>88</v>
      </c>
      <c r="B70" s="11" t="s">
        <v>156</v>
      </c>
      <c r="C70" s="99">
        <v>1.16963016463994E-4</v>
      </c>
      <c r="D70" s="100">
        <v>2.29199270874437E-4</v>
      </c>
      <c r="E70" s="100">
        <v>1.40175877581315E-4</v>
      </c>
      <c r="F70" s="100">
        <v>2.6154151050019898E-4</v>
      </c>
      <c r="G70" s="100">
        <v>2.0281473926855501E-4</v>
      </c>
      <c r="H70" s="100">
        <v>1.5451901892773399E-4</v>
      </c>
      <c r="I70" s="100">
        <v>1.7952648407960201E-4</v>
      </c>
      <c r="J70" s="100">
        <v>5.3051996700240005E-4</v>
      </c>
      <c r="K70" s="100">
        <v>3.4714971117654999E-4</v>
      </c>
      <c r="L70" s="100">
        <v>5.2724807413373498E-4</v>
      </c>
      <c r="M70" s="100">
        <v>2.0905496448966302E-3</v>
      </c>
      <c r="N70" s="100">
        <v>8.2579300956775101E-4</v>
      </c>
      <c r="O70" s="100">
        <v>2.4579519136488503E-4</v>
      </c>
      <c r="P70" s="100">
        <v>3.9524366983998798E-4</v>
      </c>
      <c r="Q70" s="100">
        <v>7.6013990930151305E-4</v>
      </c>
      <c r="R70" s="100">
        <v>2.7946137001366099E-4</v>
      </c>
      <c r="S70" s="100">
        <v>4.53521350175209E-4</v>
      </c>
      <c r="T70" s="100">
        <v>3.7785342008323999E-4</v>
      </c>
      <c r="U70" s="100">
        <v>1.79399155287249E-4</v>
      </c>
      <c r="V70" s="100">
        <v>3.1846967647693099E-4</v>
      </c>
      <c r="W70" s="100">
        <v>1.91214180458915E-4</v>
      </c>
      <c r="X70" s="100">
        <v>3.80948630559802E-4</v>
      </c>
      <c r="Y70" s="100">
        <v>9.2541363160636599E-4</v>
      </c>
      <c r="Z70" s="100">
        <v>9.1723961991585403E-4</v>
      </c>
      <c r="AA70" s="100">
        <v>3.4140575000417902E-4</v>
      </c>
      <c r="AB70" s="100">
        <v>3.41391034739909E-4</v>
      </c>
      <c r="AC70" s="100">
        <v>2.1612269070184499E-4</v>
      </c>
      <c r="AD70" s="100">
        <v>2.1057337883402299E-4</v>
      </c>
      <c r="AE70" s="100">
        <v>3.36053939405901E-4</v>
      </c>
      <c r="AF70" s="100">
        <v>5.1571149886224597E-4</v>
      </c>
      <c r="AG70" s="100">
        <v>4.2131364777572399E-4</v>
      </c>
      <c r="AH70" s="100">
        <v>3.30842439425085E-4</v>
      </c>
      <c r="AI70" s="100">
        <v>7.4670161684655398E-4</v>
      </c>
      <c r="AJ70" s="100">
        <v>2.9569504072936498E-4</v>
      </c>
      <c r="AK70" s="100">
        <v>3.19377470018133E-4</v>
      </c>
      <c r="AL70" s="100">
        <v>3.5851750889711502E-4</v>
      </c>
      <c r="AM70" s="100">
        <v>2.2578300555464701E-4</v>
      </c>
      <c r="AN70" s="100">
        <v>3.6782634351763298E-4</v>
      </c>
      <c r="AO70" s="100">
        <v>2.1706852085322901E-4</v>
      </c>
      <c r="AP70" s="100">
        <v>2.59893758705385E-4</v>
      </c>
      <c r="AQ70" s="100">
        <v>6.9514819001435097E-4</v>
      </c>
      <c r="AR70" s="100">
        <v>2.5829968577311801E-4</v>
      </c>
      <c r="AS70" s="100">
        <v>2.6120662864716698E-4</v>
      </c>
      <c r="AT70" s="100">
        <v>3.8214952068894799E-4</v>
      </c>
      <c r="AU70" s="100">
        <v>5.6509952323777202E-4</v>
      </c>
      <c r="AV70" s="100">
        <v>1.0620772075642601E-3</v>
      </c>
      <c r="AW70" s="100">
        <v>5.0250244569728598E-4</v>
      </c>
      <c r="AX70" s="100">
        <v>1.42684852247287E-3</v>
      </c>
      <c r="AY70" s="100">
        <v>4.7636953701476997E-2</v>
      </c>
      <c r="AZ70" s="100">
        <v>3.7901302335964101E-3</v>
      </c>
      <c r="BA70" s="100">
        <v>6.6068309777890001E-4</v>
      </c>
      <c r="BB70" s="100">
        <v>6.6392278109974798E-4</v>
      </c>
      <c r="BC70" s="100">
        <v>7.54094162975976E-5</v>
      </c>
      <c r="BD70" s="100">
        <v>7.2591385161866796E-4</v>
      </c>
      <c r="BE70" s="100">
        <v>4.0700266348383699E-4</v>
      </c>
      <c r="BF70" s="100">
        <v>1.2364268958898399E-2</v>
      </c>
      <c r="BG70" s="100">
        <v>7.0923675369596699E-4</v>
      </c>
      <c r="BH70" s="100">
        <v>4.4047831527825799E-4</v>
      </c>
      <c r="BI70" s="100">
        <v>2.9224123724718598E-4</v>
      </c>
      <c r="BJ70" s="100">
        <v>1.0835304240515999E-3</v>
      </c>
      <c r="BK70" s="100">
        <v>3.8141358623355599E-4</v>
      </c>
      <c r="BL70" s="100">
        <v>8.4764950791771496E-4</v>
      </c>
      <c r="BM70" s="100">
        <v>6.9534443042351603E-4</v>
      </c>
      <c r="BN70" s="100">
        <v>2.1309888797372E-4</v>
      </c>
      <c r="BO70" s="100">
        <v>1.0180043819109099</v>
      </c>
      <c r="BP70" s="100">
        <v>8.2076189857814494E-3</v>
      </c>
      <c r="BQ70" s="101">
        <v>0</v>
      </c>
    </row>
    <row r="71" spans="1:69" ht="15" customHeight="1" x14ac:dyDescent="0.3">
      <c r="A71" s="33" t="s">
        <v>89</v>
      </c>
      <c r="B71" s="11" t="s">
        <v>157</v>
      </c>
      <c r="C71" s="99">
        <v>1.13267668834233E-3</v>
      </c>
      <c r="D71" s="100">
        <v>1.3167494114983201E-3</v>
      </c>
      <c r="E71" s="100">
        <v>1.1478068493224001E-3</v>
      </c>
      <c r="F71" s="100">
        <v>3.4323547043968402E-3</v>
      </c>
      <c r="G71" s="100">
        <v>3.2440515893245501E-3</v>
      </c>
      <c r="H71" s="100">
        <v>4.0251943343963103E-3</v>
      </c>
      <c r="I71" s="100">
        <v>3.9730436247818199E-3</v>
      </c>
      <c r="J71" s="100">
        <v>2.8941196602041402E-3</v>
      </c>
      <c r="K71" s="100">
        <v>3.9417688506853798E-3</v>
      </c>
      <c r="L71" s="100">
        <v>2.6447812958274898E-3</v>
      </c>
      <c r="M71" s="100">
        <v>4.9110433103062602E-3</v>
      </c>
      <c r="N71" s="100">
        <v>3.58577720727577E-3</v>
      </c>
      <c r="O71" s="100">
        <v>2.53438826800756E-3</v>
      </c>
      <c r="P71" s="100">
        <v>3.3747306029376901E-3</v>
      </c>
      <c r="Q71" s="100">
        <v>3.1429031062158502E-3</v>
      </c>
      <c r="R71" s="100">
        <v>4.6161578456172499E-3</v>
      </c>
      <c r="S71" s="100">
        <v>3.9817618562630998E-3</v>
      </c>
      <c r="T71" s="100">
        <v>4.4304122994729602E-3</v>
      </c>
      <c r="U71" s="100">
        <v>2.3134426355661199E-3</v>
      </c>
      <c r="V71" s="100">
        <v>3.32471543421263E-3</v>
      </c>
      <c r="W71" s="100">
        <v>1.9942235243819201E-3</v>
      </c>
      <c r="X71" s="100">
        <v>2.29661663294029E-3</v>
      </c>
      <c r="Y71" s="100">
        <v>3.23943143641643E-3</v>
      </c>
      <c r="Z71" s="100">
        <v>3.1980612945419901E-3</v>
      </c>
      <c r="AA71" s="100">
        <v>3.0852568900607302E-3</v>
      </c>
      <c r="AB71" s="100">
        <v>3.8302375648031099E-3</v>
      </c>
      <c r="AC71" s="100">
        <v>2.6683379760710901E-3</v>
      </c>
      <c r="AD71" s="100">
        <v>2.4148938661899102E-3</v>
      </c>
      <c r="AE71" s="100">
        <v>3.97783958351216E-3</v>
      </c>
      <c r="AF71" s="100">
        <v>3.4703738225028398E-3</v>
      </c>
      <c r="AG71" s="100">
        <v>3.3622861635880098E-3</v>
      </c>
      <c r="AH71" s="100">
        <v>3.3925806902062698E-3</v>
      </c>
      <c r="AI71" s="100">
        <v>3.7824387592533099E-3</v>
      </c>
      <c r="AJ71" s="100">
        <v>3.5421666163168498E-3</v>
      </c>
      <c r="AK71" s="100">
        <v>2.4722476636549699E-3</v>
      </c>
      <c r="AL71" s="100">
        <v>3.2151746062231801E-3</v>
      </c>
      <c r="AM71" s="100">
        <v>1.45839481075791E-3</v>
      </c>
      <c r="AN71" s="100">
        <v>2.5043988954849801E-3</v>
      </c>
      <c r="AO71" s="100">
        <v>1.0518398981631601E-3</v>
      </c>
      <c r="AP71" s="100">
        <v>1.8081110669047799E-3</v>
      </c>
      <c r="AQ71" s="100">
        <v>3.8546184569151799E-3</v>
      </c>
      <c r="AR71" s="100">
        <v>2.92323162675824E-3</v>
      </c>
      <c r="AS71" s="100">
        <v>2.1932862764574902E-3</v>
      </c>
      <c r="AT71" s="100">
        <v>2.83334803936749E-3</v>
      </c>
      <c r="AU71" s="100">
        <v>9.0067447604656303E-3</v>
      </c>
      <c r="AV71" s="100">
        <v>6.8643548746365598E-3</v>
      </c>
      <c r="AW71" s="100">
        <v>2.3656928050657701E-3</v>
      </c>
      <c r="AX71" s="100">
        <v>4.07472950198707E-3</v>
      </c>
      <c r="AY71" s="100">
        <v>6.5192086859227304E-3</v>
      </c>
      <c r="AZ71" s="100">
        <v>1.9535169234823499E-2</v>
      </c>
      <c r="BA71" s="100">
        <v>1.01123328120712E-2</v>
      </c>
      <c r="BB71" s="100">
        <v>4.6093841348003699E-3</v>
      </c>
      <c r="BC71" s="100">
        <v>4.2269998737432099E-4</v>
      </c>
      <c r="BD71" s="100">
        <v>3.0987070924667001E-3</v>
      </c>
      <c r="BE71" s="100">
        <v>2.14215078867025E-3</v>
      </c>
      <c r="BF71" s="100">
        <v>1.0744858291680599E-2</v>
      </c>
      <c r="BG71" s="100">
        <v>3.5897262968757099E-3</v>
      </c>
      <c r="BH71" s="100">
        <v>6.6994350545195296E-3</v>
      </c>
      <c r="BI71" s="100">
        <v>1.8907096548014899E-3</v>
      </c>
      <c r="BJ71" s="100">
        <v>1.8368406537293701E-3</v>
      </c>
      <c r="BK71" s="100">
        <v>9.6653299930068602E-4</v>
      </c>
      <c r="BL71" s="100">
        <v>5.1896796780701001E-3</v>
      </c>
      <c r="BM71" s="100">
        <v>8.6377310652077707E-3</v>
      </c>
      <c r="BN71" s="100">
        <v>8.3977660890123592E-3</v>
      </c>
      <c r="BO71" s="100">
        <v>2.0489894900922001E-3</v>
      </c>
      <c r="BP71" s="100">
        <v>1.00540847389027</v>
      </c>
      <c r="BQ71" s="101">
        <v>0</v>
      </c>
    </row>
    <row r="72" spans="1:69" ht="15" customHeight="1" x14ac:dyDescent="0.3">
      <c r="A72" s="34" t="s">
        <v>90</v>
      </c>
      <c r="B72" s="35" t="s">
        <v>158</v>
      </c>
      <c r="C72" s="102">
        <v>0</v>
      </c>
      <c r="D72" s="103">
        <v>0</v>
      </c>
      <c r="E72" s="103">
        <v>0</v>
      </c>
      <c r="F72" s="103">
        <v>0</v>
      </c>
      <c r="G72" s="103">
        <v>0</v>
      </c>
      <c r="H72" s="103">
        <v>0</v>
      </c>
      <c r="I72" s="103">
        <v>0</v>
      </c>
      <c r="J72" s="103">
        <v>0</v>
      </c>
      <c r="K72" s="103">
        <v>0</v>
      </c>
      <c r="L72" s="103">
        <v>0</v>
      </c>
      <c r="M72" s="103">
        <v>0</v>
      </c>
      <c r="N72" s="103">
        <v>0</v>
      </c>
      <c r="O72" s="103">
        <v>0</v>
      </c>
      <c r="P72" s="103">
        <v>0</v>
      </c>
      <c r="Q72" s="103">
        <v>0</v>
      </c>
      <c r="R72" s="103">
        <v>0</v>
      </c>
      <c r="S72" s="103">
        <v>0</v>
      </c>
      <c r="T72" s="103">
        <v>0</v>
      </c>
      <c r="U72" s="103">
        <v>0</v>
      </c>
      <c r="V72" s="103">
        <v>0</v>
      </c>
      <c r="W72" s="103">
        <v>0</v>
      </c>
      <c r="X72" s="103">
        <v>0</v>
      </c>
      <c r="Y72" s="103">
        <v>0</v>
      </c>
      <c r="Z72" s="103">
        <v>0</v>
      </c>
      <c r="AA72" s="103">
        <v>0</v>
      </c>
      <c r="AB72" s="103">
        <v>0</v>
      </c>
      <c r="AC72" s="103">
        <v>0</v>
      </c>
      <c r="AD72" s="103">
        <v>0</v>
      </c>
      <c r="AE72" s="103">
        <v>0</v>
      </c>
      <c r="AF72" s="103">
        <v>0</v>
      </c>
      <c r="AG72" s="103">
        <v>0</v>
      </c>
      <c r="AH72" s="103">
        <v>0</v>
      </c>
      <c r="AI72" s="103">
        <v>0</v>
      </c>
      <c r="AJ72" s="103">
        <v>0</v>
      </c>
      <c r="AK72" s="103">
        <v>0</v>
      </c>
      <c r="AL72" s="103">
        <v>0</v>
      </c>
      <c r="AM72" s="103">
        <v>0</v>
      </c>
      <c r="AN72" s="103">
        <v>0</v>
      </c>
      <c r="AO72" s="103">
        <v>0</v>
      </c>
      <c r="AP72" s="103">
        <v>0</v>
      </c>
      <c r="AQ72" s="103">
        <v>0</v>
      </c>
      <c r="AR72" s="103">
        <v>0</v>
      </c>
      <c r="AS72" s="103">
        <v>0</v>
      </c>
      <c r="AT72" s="103">
        <v>0</v>
      </c>
      <c r="AU72" s="103">
        <v>0</v>
      </c>
      <c r="AV72" s="103">
        <v>0</v>
      </c>
      <c r="AW72" s="103">
        <v>0</v>
      </c>
      <c r="AX72" s="103">
        <v>0</v>
      </c>
      <c r="AY72" s="103">
        <v>0</v>
      </c>
      <c r="AZ72" s="103">
        <v>0</v>
      </c>
      <c r="BA72" s="103">
        <v>0</v>
      </c>
      <c r="BB72" s="103">
        <v>0</v>
      </c>
      <c r="BC72" s="103">
        <v>0</v>
      </c>
      <c r="BD72" s="103">
        <v>0</v>
      </c>
      <c r="BE72" s="103">
        <v>0</v>
      </c>
      <c r="BF72" s="103">
        <v>0</v>
      </c>
      <c r="BG72" s="103">
        <v>0</v>
      </c>
      <c r="BH72" s="103">
        <v>0</v>
      </c>
      <c r="BI72" s="103">
        <v>0</v>
      </c>
      <c r="BJ72" s="103">
        <v>0</v>
      </c>
      <c r="BK72" s="103">
        <v>0</v>
      </c>
      <c r="BL72" s="103">
        <v>0</v>
      </c>
      <c r="BM72" s="103">
        <v>0</v>
      </c>
      <c r="BN72" s="103">
        <v>0</v>
      </c>
      <c r="BO72" s="103">
        <v>0</v>
      </c>
      <c r="BP72" s="103">
        <v>0</v>
      </c>
      <c r="BQ72" s="104">
        <v>1</v>
      </c>
    </row>
    <row r="73" spans="1:69" ht="15" customHeight="1" x14ac:dyDescent="0.3">
      <c r="A73" s="54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</row>
    <row r="74" spans="1:69" ht="15" customHeight="1" x14ac:dyDescent="0.3">
      <c r="A74" s="42"/>
    </row>
    <row r="75" spans="1:69" ht="15" customHeight="1" x14ac:dyDescent="0.2">
      <c r="A75" s="53"/>
    </row>
    <row r="102" ht="15" customHeight="1" x14ac:dyDescent="0.2"/>
  </sheetData>
  <mergeCells count="2">
    <mergeCell ref="A3:A5"/>
    <mergeCell ref="B3:B5"/>
  </mergeCells>
  <pageMargins left="0.196527777777778" right="0" top="0.196527777777778" bottom="0.196527777777778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2E26-05BE-4055-9B83-710A1D20D683}">
  <dimension ref="A1:G68"/>
  <sheetViews>
    <sheetView topLeftCell="A27" workbookViewId="0">
      <selection activeCell="K46" sqref="K46"/>
    </sheetView>
  </sheetViews>
  <sheetFormatPr defaultRowHeight="12.75" x14ac:dyDescent="0.2"/>
  <cols>
    <col min="1" max="1" width="6.7109375" bestFit="1" customWidth="1"/>
    <col min="2" max="2" width="62.5703125" bestFit="1" customWidth="1"/>
    <col min="3" max="3" width="14.85546875" bestFit="1" customWidth="1"/>
  </cols>
  <sheetData>
    <row r="1" spans="1:7" x14ac:dyDescent="0.2">
      <c r="A1" s="123" t="s">
        <v>208</v>
      </c>
      <c r="B1" s="123" t="s">
        <v>206</v>
      </c>
      <c r="C1" s="124" t="s">
        <v>209</v>
      </c>
      <c r="F1" t="s">
        <v>278</v>
      </c>
      <c r="G1" t="s">
        <v>279</v>
      </c>
    </row>
    <row r="2" spans="1:7" ht="14.25" x14ac:dyDescent="0.3">
      <c r="A2" s="19" t="s">
        <v>24</v>
      </c>
      <c r="B2" s="11" t="s">
        <v>92</v>
      </c>
      <c r="C2" t="s">
        <v>211</v>
      </c>
      <c r="F2">
        <v>191</v>
      </c>
      <c r="G2" t="s">
        <v>280</v>
      </c>
    </row>
    <row r="3" spans="1:7" ht="14.25" x14ac:dyDescent="0.3">
      <c r="A3" s="19" t="s">
        <v>25</v>
      </c>
      <c r="B3" s="11" t="s">
        <v>93</v>
      </c>
      <c r="C3" t="s">
        <v>212</v>
      </c>
      <c r="F3">
        <v>192</v>
      </c>
      <c r="G3" t="s">
        <v>281</v>
      </c>
    </row>
    <row r="4" spans="1:7" ht="14.25" x14ac:dyDescent="0.3">
      <c r="A4" s="19" t="s">
        <v>26</v>
      </c>
      <c r="B4" s="11" t="s">
        <v>94</v>
      </c>
      <c r="C4" t="s">
        <v>213</v>
      </c>
      <c r="F4">
        <v>280</v>
      </c>
      <c r="G4" t="s">
        <v>282</v>
      </c>
    </row>
    <row r="5" spans="1:7" ht="14.25" x14ac:dyDescent="0.3">
      <c r="A5" s="19" t="s">
        <v>27</v>
      </c>
      <c r="B5" s="11" t="s">
        <v>95</v>
      </c>
      <c r="C5" t="s">
        <v>214</v>
      </c>
      <c r="F5">
        <v>580</v>
      </c>
      <c r="G5" t="s">
        <v>283</v>
      </c>
    </row>
    <row r="6" spans="1:7" ht="14.25" x14ac:dyDescent="0.3">
      <c r="A6" s="19" t="s">
        <v>28</v>
      </c>
      <c r="B6" s="11" t="s">
        <v>96</v>
      </c>
      <c r="C6" t="s">
        <v>215</v>
      </c>
      <c r="F6">
        <v>680</v>
      </c>
      <c r="G6" t="s">
        <v>284</v>
      </c>
    </row>
    <row r="7" spans="1:7" ht="14.25" x14ac:dyDescent="0.3">
      <c r="A7" s="19" t="s">
        <v>29</v>
      </c>
      <c r="B7" s="11" t="s">
        <v>97</v>
      </c>
      <c r="C7" t="s">
        <v>216</v>
      </c>
      <c r="F7">
        <v>791</v>
      </c>
      <c r="G7" t="s">
        <v>285</v>
      </c>
    </row>
    <row r="8" spans="1:7" ht="14.25" x14ac:dyDescent="0.3">
      <c r="A8" s="19" t="s">
        <v>30</v>
      </c>
      <c r="B8" s="11" t="s">
        <v>98</v>
      </c>
      <c r="C8" t="s">
        <v>217</v>
      </c>
      <c r="F8">
        <v>792</v>
      </c>
      <c r="G8" t="s">
        <v>286</v>
      </c>
    </row>
    <row r="9" spans="1:7" ht="14.25" x14ac:dyDescent="0.3">
      <c r="A9" s="19" t="s">
        <v>31</v>
      </c>
      <c r="B9" s="11" t="s">
        <v>99</v>
      </c>
      <c r="C9" t="s">
        <v>218</v>
      </c>
      <c r="F9">
        <v>1091</v>
      </c>
      <c r="G9" t="s">
        <v>287</v>
      </c>
    </row>
    <row r="10" spans="1:7" ht="14.25" x14ac:dyDescent="0.3">
      <c r="A10" s="19" t="s">
        <v>32</v>
      </c>
      <c r="B10" s="11" t="s">
        <v>100</v>
      </c>
      <c r="C10" t="s">
        <v>219</v>
      </c>
      <c r="F10">
        <v>1092</v>
      </c>
      <c r="G10" t="s">
        <v>288</v>
      </c>
    </row>
    <row r="11" spans="1:7" ht="14.25" x14ac:dyDescent="0.3">
      <c r="A11" s="19" t="s">
        <v>33</v>
      </c>
      <c r="B11" s="11" t="s">
        <v>101</v>
      </c>
      <c r="C11" t="s">
        <v>220</v>
      </c>
      <c r="F11">
        <v>1093</v>
      </c>
      <c r="G11" t="s">
        <v>289</v>
      </c>
    </row>
    <row r="12" spans="1:7" ht="14.25" x14ac:dyDescent="0.3">
      <c r="A12" s="19" t="s">
        <v>34</v>
      </c>
      <c r="B12" s="11" t="s">
        <v>102</v>
      </c>
      <c r="C12" t="s">
        <v>221</v>
      </c>
      <c r="F12">
        <v>1100</v>
      </c>
      <c r="G12" t="s">
        <v>290</v>
      </c>
    </row>
    <row r="13" spans="1:7" ht="14.25" x14ac:dyDescent="0.3">
      <c r="A13" s="19" t="s">
        <v>35</v>
      </c>
      <c r="B13" s="11" t="s">
        <v>103</v>
      </c>
      <c r="C13" t="s">
        <v>222</v>
      </c>
      <c r="F13">
        <v>1200</v>
      </c>
      <c r="G13" t="s">
        <v>291</v>
      </c>
    </row>
    <row r="14" spans="1:7" ht="14.25" x14ac:dyDescent="0.3">
      <c r="A14" s="19" t="s">
        <v>36</v>
      </c>
      <c r="B14" s="11" t="s">
        <v>104</v>
      </c>
      <c r="C14" t="s">
        <v>223</v>
      </c>
      <c r="F14">
        <v>1300</v>
      </c>
      <c r="G14" t="s">
        <v>292</v>
      </c>
    </row>
    <row r="15" spans="1:7" ht="14.25" x14ac:dyDescent="0.3">
      <c r="A15" s="19" t="s">
        <v>37</v>
      </c>
      <c r="B15" s="11" t="s">
        <v>105</v>
      </c>
      <c r="C15" t="s">
        <v>224</v>
      </c>
      <c r="F15">
        <v>1400</v>
      </c>
      <c r="G15" t="s">
        <v>293</v>
      </c>
    </row>
    <row r="16" spans="1:7" ht="14.25" x14ac:dyDescent="0.3">
      <c r="A16" s="19" t="s">
        <v>38</v>
      </c>
      <c r="B16" s="11" t="s">
        <v>106</v>
      </c>
      <c r="C16" t="s">
        <v>225</v>
      </c>
      <c r="F16">
        <v>1500</v>
      </c>
      <c r="G16" t="s">
        <v>294</v>
      </c>
    </row>
    <row r="17" spans="1:7" ht="14.25" x14ac:dyDescent="0.3">
      <c r="A17" s="19" t="s">
        <v>39</v>
      </c>
      <c r="B17" s="11" t="s">
        <v>107</v>
      </c>
      <c r="C17" t="s">
        <v>226</v>
      </c>
      <c r="F17">
        <v>1600</v>
      </c>
      <c r="G17" t="s">
        <v>295</v>
      </c>
    </row>
    <row r="18" spans="1:7" ht="14.25" x14ac:dyDescent="0.3">
      <c r="A18" s="19" t="s">
        <v>40</v>
      </c>
      <c r="B18" s="11" t="s">
        <v>108</v>
      </c>
      <c r="C18" t="s">
        <v>227</v>
      </c>
      <c r="F18">
        <v>1700</v>
      </c>
      <c r="G18" t="s">
        <v>296</v>
      </c>
    </row>
    <row r="19" spans="1:7" ht="14.25" x14ac:dyDescent="0.3">
      <c r="A19" s="19" t="s">
        <v>41</v>
      </c>
      <c r="B19" s="11" t="s">
        <v>109</v>
      </c>
      <c r="C19" t="s">
        <v>228</v>
      </c>
      <c r="F19">
        <v>1800</v>
      </c>
      <c r="G19" t="s">
        <v>297</v>
      </c>
    </row>
    <row r="20" spans="1:7" ht="14.25" x14ac:dyDescent="0.3">
      <c r="A20" s="19" t="s">
        <v>42</v>
      </c>
      <c r="B20" s="11" t="s">
        <v>110</v>
      </c>
      <c r="C20" t="s">
        <v>229</v>
      </c>
      <c r="F20">
        <v>1991</v>
      </c>
      <c r="G20" t="s">
        <v>298</v>
      </c>
    </row>
    <row r="21" spans="1:7" ht="14.25" x14ac:dyDescent="0.3">
      <c r="A21" s="19" t="s">
        <v>43</v>
      </c>
      <c r="B21" s="11" t="s">
        <v>111</v>
      </c>
      <c r="C21" t="s">
        <v>230</v>
      </c>
      <c r="F21">
        <v>1992</v>
      </c>
      <c r="G21" t="s">
        <v>299</v>
      </c>
    </row>
    <row r="22" spans="1:7" ht="14.25" x14ac:dyDescent="0.3">
      <c r="A22" s="19" t="s">
        <v>44</v>
      </c>
      <c r="B22" s="32" t="s">
        <v>112</v>
      </c>
      <c r="C22" t="s">
        <v>231</v>
      </c>
      <c r="F22">
        <v>2091</v>
      </c>
      <c r="G22" t="s">
        <v>300</v>
      </c>
    </row>
    <row r="23" spans="1:7" ht="14.25" x14ac:dyDescent="0.3">
      <c r="A23" s="19" t="s">
        <v>45</v>
      </c>
      <c r="B23" s="11" t="s">
        <v>113</v>
      </c>
      <c r="C23" t="s">
        <v>232</v>
      </c>
      <c r="F23">
        <v>2092</v>
      </c>
      <c r="G23" t="s">
        <v>301</v>
      </c>
    </row>
    <row r="24" spans="1:7" ht="14.25" x14ac:dyDescent="0.3">
      <c r="A24" s="33" t="s">
        <v>46</v>
      </c>
      <c r="B24" s="11" t="s">
        <v>114</v>
      </c>
      <c r="C24" t="s">
        <v>233</v>
      </c>
      <c r="F24">
        <v>2093</v>
      </c>
      <c r="G24" t="s">
        <v>302</v>
      </c>
    </row>
    <row r="25" spans="1:7" ht="14.25" x14ac:dyDescent="0.3">
      <c r="A25" s="33" t="s">
        <v>47</v>
      </c>
      <c r="B25" s="11" t="s">
        <v>115</v>
      </c>
      <c r="C25" t="s">
        <v>234</v>
      </c>
      <c r="F25">
        <v>2100</v>
      </c>
      <c r="G25" t="s">
        <v>303</v>
      </c>
    </row>
    <row r="26" spans="1:7" ht="14.25" x14ac:dyDescent="0.3">
      <c r="A26" s="33" t="s">
        <v>48</v>
      </c>
      <c r="B26" s="11" t="s">
        <v>116</v>
      </c>
      <c r="C26" t="s">
        <v>235</v>
      </c>
      <c r="F26">
        <v>2200</v>
      </c>
      <c r="G26" t="s">
        <v>304</v>
      </c>
    </row>
    <row r="27" spans="1:7" ht="14.25" x14ac:dyDescent="0.3">
      <c r="A27" s="33" t="s">
        <v>49</v>
      </c>
      <c r="B27" s="11" t="s">
        <v>117</v>
      </c>
      <c r="C27" t="s">
        <v>236</v>
      </c>
      <c r="F27">
        <v>2300</v>
      </c>
      <c r="G27" t="s">
        <v>305</v>
      </c>
    </row>
    <row r="28" spans="1:7" ht="14.25" x14ac:dyDescent="0.3">
      <c r="A28" s="33" t="s">
        <v>50</v>
      </c>
      <c r="B28" s="11" t="s">
        <v>118</v>
      </c>
      <c r="C28" t="s">
        <v>237</v>
      </c>
      <c r="F28">
        <v>2491</v>
      </c>
      <c r="G28" t="s">
        <v>306</v>
      </c>
    </row>
    <row r="29" spans="1:7" ht="14.25" x14ac:dyDescent="0.3">
      <c r="A29" s="33" t="s">
        <v>51</v>
      </c>
      <c r="B29" s="11" t="s">
        <v>119</v>
      </c>
      <c r="C29" t="s">
        <v>238</v>
      </c>
      <c r="F29">
        <v>2492</v>
      </c>
      <c r="G29" t="s">
        <v>307</v>
      </c>
    </row>
    <row r="30" spans="1:7" ht="14.25" x14ac:dyDescent="0.3">
      <c r="A30" s="33" t="s">
        <v>52</v>
      </c>
      <c r="B30" s="11" t="s">
        <v>120</v>
      </c>
      <c r="C30" t="s">
        <v>239</v>
      </c>
      <c r="F30">
        <v>2500</v>
      </c>
      <c r="G30" t="s">
        <v>308</v>
      </c>
    </row>
    <row r="31" spans="1:7" ht="14.25" x14ac:dyDescent="0.3">
      <c r="A31" s="33" t="s">
        <v>53</v>
      </c>
      <c r="B31" s="11" t="s">
        <v>121</v>
      </c>
      <c r="C31" t="s">
        <v>240</v>
      </c>
      <c r="F31">
        <v>2600</v>
      </c>
      <c r="G31" t="s">
        <v>309</v>
      </c>
    </row>
    <row r="32" spans="1:7" ht="14.25" x14ac:dyDescent="0.3">
      <c r="A32" s="33" t="s">
        <v>54</v>
      </c>
      <c r="B32" s="11" t="s">
        <v>122</v>
      </c>
      <c r="C32" t="s">
        <v>241</v>
      </c>
      <c r="F32">
        <v>2700</v>
      </c>
      <c r="G32" t="s">
        <v>310</v>
      </c>
    </row>
    <row r="33" spans="1:7" ht="14.25" x14ac:dyDescent="0.3">
      <c r="A33" s="33" t="s">
        <v>55</v>
      </c>
      <c r="B33" s="11" t="s">
        <v>123</v>
      </c>
      <c r="C33" t="s">
        <v>242</v>
      </c>
      <c r="F33">
        <v>2800</v>
      </c>
      <c r="G33" t="s">
        <v>311</v>
      </c>
    </row>
    <row r="34" spans="1:7" ht="14.25" x14ac:dyDescent="0.3">
      <c r="A34" s="33" t="s">
        <v>56</v>
      </c>
      <c r="B34" s="11" t="s">
        <v>124</v>
      </c>
      <c r="C34" t="s">
        <v>243</v>
      </c>
      <c r="F34">
        <v>2991</v>
      </c>
      <c r="G34" t="s">
        <v>312</v>
      </c>
    </row>
    <row r="35" spans="1:7" ht="14.25" x14ac:dyDescent="0.3">
      <c r="A35" s="33" t="s">
        <v>57</v>
      </c>
      <c r="B35" s="11" t="s">
        <v>125</v>
      </c>
      <c r="C35" t="s">
        <v>244</v>
      </c>
      <c r="F35">
        <v>2992</v>
      </c>
      <c r="G35" t="s">
        <v>313</v>
      </c>
    </row>
    <row r="36" spans="1:7" ht="14.25" x14ac:dyDescent="0.3">
      <c r="A36" s="33" t="s">
        <v>58</v>
      </c>
      <c r="B36" s="11" t="s">
        <v>126</v>
      </c>
      <c r="C36" t="s">
        <v>245</v>
      </c>
      <c r="F36">
        <v>3000</v>
      </c>
      <c r="G36" t="s">
        <v>314</v>
      </c>
    </row>
    <row r="37" spans="1:7" ht="14.25" x14ac:dyDescent="0.3">
      <c r="A37" s="33" t="s">
        <v>59</v>
      </c>
      <c r="B37" s="11" t="s">
        <v>127</v>
      </c>
      <c r="C37" t="s">
        <v>246</v>
      </c>
      <c r="F37">
        <v>3180</v>
      </c>
      <c r="G37" t="s">
        <v>315</v>
      </c>
    </row>
    <row r="38" spans="1:7" ht="14.25" x14ac:dyDescent="0.3">
      <c r="A38" s="33" t="s">
        <v>60</v>
      </c>
      <c r="B38" s="11" t="s">
        <v>128</v>
      </c>
      <c r="C38" t="s">
        <v>247</v>
      </c>
      <c r="F38">
        <v>3300</v>
      </c>
      <c r="G38" t="s">
        <v>316</v>
      </c>
    </row>
    <row r="39" spans="1:7" ht="14.25" x14ac:dyDescent="0.3">
      <c r="A39" s="33" t="s">
        <v>61</v>
      </c>
      <c r="B39" s="11" t="s">
        <v>129</v>
      </c>
      <c r="C39" t="s">
        <v>248</v>
      </c>
      <c r="F39">
        <v>3500</v>
      </c>
      <c r="G39" t="s">
        <v>317</v>
      </c>
    </row>
    <row r="40" spans="1:7" ht="14.25" x14ac:dyDescent="0.3">
      <c r="A40" s="33" t="s">
        <v>62</v>
      </c>
      <c r="B40" s="11" t="s">
        <v>130</v>
      </c>
      <c r="C40" t="s">
        <v>249</v>
      </c>
      <c r="F40">
        <v>3680</v>
      </c>
      <c r="G40" t="s">
        <v>318</v>
      </c>
    </row>
    <row r="41" spans="1:7" ht="14.25" x14ac:dyDescent="0.3">
      <c r="A41" s="33" t="s">
        <v>63</v>
      </c>
      <c r="B41" s="11" t="s">
        <v>131</v>
      </c>
      <c r="C41" t="s">
        <v>250</v>
      </c>
      <c r="F41">
        <v>4180</v>
      </c>
      <c r="G41" t="s">
        <v>319</v>
      </c>
    </row>
    <row r="42" spans="1:7" ht="14.25" x14ac:dyDescent="0.3">
      <c r="A42" s="33" t="s">
        <v>64</v>
      </c>
      <c r="B42" s="11" t="s">
        <v>132</v>
      </c>
      <c r="C42" t="s">
        <v>251</v>
      </c>
      <c r="F42">
        <v>4580</v>
      </c>
      <c r="G42" t="s">
        <v>320</v>
      </c>
    </row>
    <row r="43" spans="1:7" ht="14.25" x14ac:dyDescent="0.3">
      <c r="A43" s="33" t="s">
        <v>65</v>
      </c>
      <c r="B43" s="11" t="s">
        <v>133</v>
      </c>
      <c r="C43" t="s">
        <v>252</v>
      </c>
      <c r="F43">
        <v>4900</v>
      </c>
      <c r="G43" t="s">
        <v>321</v>
      </c>
    </row>
    <row r="44" spans="1:7" ht="14.25" x14ac:dyDescent="0.3">
      <c r="A44" s="33" t="s">
        <v>66</v>
      </c>
      <c r="B44" s="11" t="s">
        <v>134</v>
      </c>
      <c r="C44" t="s">
        <v>253</v>
      </c>
      <c r="F44">
        <v>5000</v>
      </c>
      <c r="G44" t="s">
        <v>322</v>
      </c>
    </row>
    <row r="45" spans="1:7" ht="14.25" x14ac:dyDescent="0.3">
      <c r="A45" s="33" t="s">
        <v>67</v>
      </c>
      <c r="B45" s="11" t="s">
        <v>135</v>
      </c>
      <c r="C45" t="s">
        <v>254</v>
      </c>
      <c r="F45">
        <v>5100</v>
      </c>
      <c r="G45" t="s">
        <v>323</v>
      </c>
    </row>
    <row r="46" spans="1:7" ht="14.25" x14ac:dyDescent="0.3">
      <c r="A46" s="33" t="s">
        <v>68</v>
      </c>
      <c r="B46" s="11" t="s">
        <v>136</v>
      </c>
      <c r="C46" t="s">
        <v>255</v>
      </c>
      <c r="F46">
        <v>5280</v>
      </c>
      <c r="G46" t="s">
        <v>324</v>
      </c>
    </row>
    <row r="47" spans="1:7" ht="14.25" x14ac:dyDescent="0.3">
      <c r="A47" s="33" t="s">
        <v>69</v>
      </c>
      <c r="B47" s="11" t="s">
        <v>137</v>
      </c>
      <c r="C47" t="s">
        <v>256</v>
      </c>
      <c r="F47">
        <v>5500</v>
      </c>
      <c r="G47" t="s">
        <v>325</v>
      </c>
    </row>
    <row r="48" spans="1:7" ht="14.25" x14ac:dyDescent="0.3">
      <c r="A48" s="33" t="s">
        <v>70</v>
      </c>
      <c r="B48" s="11" t="s">
        <v>138</v>
      </c>
      <c r="C48" t="s">
        <v>257</v>
      </c>
      <c r="F48">
        <v>5600</v>
      </c>
      <c r="G48" t="s">
        <v>326</v>
      </c>
    </row>
    <row r="49" spans="1:7" ht="14.25" x14ac:dyDescent="0.3">
      <c r="A49" s="33" t="s">
        <v>71</v>
      </c>
      <c r="B49" s="11" t="s">
        <v>139</v>
      </c>
      <c r="C49" t="s">
        <v>258</v>
      </c>
      <c r="F49">
        <v>5800</v>
      </c>
      <c r="G49" t="s">
        <v>327</v>
      </c>
    </row>
    <row r="50" spans="1:7" ht="14.25" x14ac:dyDescent="0.3">
      <c r="A50" s="33" t="s">
        <v>72</v>
      </c>
      <c r="B50" s="11" t="s">
        <v>140</v>
      </c>
      <c r="C50" t="s">
        <v>259</v>
      </c>
      <c r="F50">
        <v>5980</v>
      </c>
      <c r="G50" t="s">
        <v>328</v>
      </c>
    </row>
    <row r="51" spans="1:7" ht="14.25" x14ac:dyDescent="0.3">
      <c r="A51" s="33" t="s">
        <v>73</v>
      </c>
      <c r="B51" s="11" t="s">
        <v>141</v>
      </c>
      <c r="C51" t="s">
        <v>260</v>
      </c>
      <c r="F51">
        <v>6100</v>
      </c>
      <c r="G51" t="s">
        <v>260</v>
      </c>
    </row>
    <row r="52" spans="1:7" ht="14.25" x14ac:dyDescent="0.3">
      <c r="A52" s="33" t="s">
        <v>74</v>
      </c>
      <c r="B52" s="11" t="s">
        <v>142</v>
      </c>
      <c r="C52" t="s">
        <v>261</v>
      </c>
      <c r="F52">
        <v>6280</v>
      </c>
      <c r="G52" t="s">
        <v>329</v>
      </c>
    </row>
    <row r="53" spans="1:7" ht="14.25" x14ac:dyDescent="0.3">
      <c r="A53" s="33" t="s">
        <v>75</v>
      </c>
      <c r="B53" s="11" t="s">
        <v>143</v>
      </c>
      <c r="C53" t="s">
        <v>262</v>
      </c>
      <c r="F53">
        <v>6480</v>
      </c>
      <c r="G53" t="s">
        <v>330</v>
      </c>
    </row>
    <row r="54" spans="1:7" ht="14.25" x14ac:dyDescent="0.3">
      <c r="A54" s="33" t="s">
        <v>76</v>
      </c>
      <c r="B54" s="11" t="s">
        <v>144</v>
      </c>
      <c r="C54" t="s">
        <v>263</v>
      </c>
      <c r="F54">
        <v>6800</v>
      </c>
      <c r="G54" t="s">
        <v>331</v>
      </c>
    </row>
    <row r="55" spans="1:7" ht="14.25" x14ac:dyDescent="0.3">
      <c r="A55" s="33" t="s">
        <v>77</v>
      </c>
      <c r="B55" s="11" t="s">
        <v>145</v>
      </c>
      <c r="C55" t="s">
        <v>264</v>
      </c>
      <c r="F55">
        <v>6980</v>
      </c>
      <c r="G55" t="s">
        <v>332</v>
      </c>
    </row>
    <row r="56" spans="1:7" ht="14.25" x14ac:dyDescent="0.3">
      <c r="A56" s="33" t="s">
        <v>78</v>
      </c>
      <c r="B56" s="11" t="s">
        <v>146</v>
      </c>
      <c r="C56" t="s">
        <v>265</v>
      </c>
      <c r="F56">
        <v>7180</v>
      </c>
      <c r="G56" t="s">
        <v>333</v>
      </c>
    </row>
    <row r="57" spans="1:7" ht="14.25" x14ac:dyDescent="0.3">
      <c r="A57" s="33" t="s">
        <v>79</v>
      </c>
      <c r="B57" s="11" t="s">
        <v>147</v>
      </c>
      <c r="C57" t="s">
        <v>266</v>
      </c>
      <c r="F57">
        <v>7380</v>
      </c>
      <c r="G57" t="s">
        <v>334</v>
      </c>
    </row>
    <row r="58" spans="1:7" ht="14.25" x14ac:dyDescent="0.3">
      <c r="A58" s="33" t="s">
        <v>80</v>
      </c>
      <c r="B58" s="11" t="s">
        <v>148</v>
      </c>
      <c r="C58" t="s">
        <v>267</v>
      </c>
      <c r="F58">
        <v>7700</v>
      </c>
      <c r="G58" t="s">
        <v>335</v>
      </c>
    </row>
    <row r="59" spans="1:7" ht="14.25" x14ac:dyDescent="0.3">
      <c r="A59" s="33" t="s">
        <v>81</v>
      </c>
      <c r="B59" s="11" t="s">
        <v>149</v>
      </c>
      <c r="C59" t="s">
        <v>268</v>
      </c>
      <c r="F59">
        <v>7880</v>
      </c>
      <c r="G59" t="s">
        <v>336</v>
      </c>
    </row>
    <row r="60" spans="1:7" ht="14.25" x14ac:dyDescent="0.3">
      <c r="A60" s="33" t="s">
        <v>82</v>
      </c>
      <c r="B60" s="11" t="s">
        <v>150</v>
      </c>
      <c r="C60" t="s">
        <v>269</v>
      </c>
      <c r="F60">
        <v>8000</v>
      </c>
      <c r="G60" t="s">
        <v>337</v>
      </c>
    </row>
    <row r="61" spans="1:7" ht="14.25" x14ac:dyDescent="0.3">
      <c r="A61" s="33" t="s">
        <v>83</v>
      </c>
      <c r="B61" s="11" t="s">
        <v>151</v>
      </c>
      <c r="C61" t="s">
        <v>270</v>
      </c>
      <c r="F61">
        <v>8400</v>
      </c>
      <c r="G61" t="s">
        <v>338</v>
      </c>
    </row>
    <row r="62" spans="1:7" ht="14.25" x14ac:dyDescent="0.3">
      <c r="A62" s="33" t="s">
        <v>84</v>
      </c>
      <c r="B62" s="11" t="s">
        <v>152</v>
      </c>
      <c r="C62" t="s">
        <v>271</v>
      </c>
      <c r="F62">
        <v>8591</v>
      </c>
      <c r="G62" t="s">
        <v>339</v>
      </c>
    </row>
    <row r="63" spans="1:7" ht="14.25" x14ac:dyDescent="0.3">
      <c r="A63" s="33" t="s">
        <v>85</v>
      </c>
      <c r="B63" s="11" t="s">
        <v>153</v>
      </c>
      <c r="C63" t="s">
        <v>272</v>
      </c>
      <c r="F63">
        <v>8592</v>
      </c>
      <c r="G63" t="s">
        <v>340</v>
      </c>
    </row>
    <row r="64" spans="1:7" ht="14.25" x14ac:dyDescent="0.3">
      <c r="A64" s="33" t="s">
        <v>86</v>
      </c>
      <c r="B64" s="11" t="s">
        <v>154</v>
      </c>
      <c r="C64" t="s">
        <v>273</v>
      </c>
      <c r="F64">
        <v>8691</v>
      </c>
      <c r="G64" t="s">
        <v>341</v>
      </c>
    </row>
    <row r="65" spans="1:7" ht="14.25" x14ac:dyDescent="0.3">
      <c r="A65" s="33" t="s">
        <v>87</v>
      </c>
      <c r="B65" s="11" t="s">
        <v>155</v>
      </c>
      <c r="C65" t="s">
        <v>274</v>
      </c>
      <c r="F65">
        <v>8692</v>
      </c>
      <c r="G65" t="s">
        <v>342</v>
      </c>
    </row>
    <row r="66" spans="1:7" ht="14.25" x14ac:dyDescent="0.3">
      <c r="A66" s="33" t="s">
        <v>88</v>
      </c>
      <c r="B66" s="11" t="s">
        <v>156</v>
      </c>
      <c r="C66" t="s">
        <v>275</v>
      </c>
      <c r="F66">
        <v>9080</v>
      </c>
      <c r="G66" t="s">
        <v>343</v>
      </c>
    </row>
    <row r="67" spans="1:7" ht="14.25" x14ac:dyDescent="0.3">
      <c r="A67" s="33" t="s">
        <v>89</v>
      </c>
      <c r="B67" s="11" t="s">
        <v>157</v>
      </c>
      <c r="C67" t="s">
        <v>276</v>
      </c>
      <c r="F67">
        <v>9480</v>
      </c>
      <c r="G67" t="s">
        <v>344</v>
      </c>
    </row>
    <row r="68" spans="1:7" ht="15" thickBot="1" x14ac:dyDescent="0.35">
      <c r="A68" s="34" t="s">
        <v>90</v>
      </c>
      <c r="B68" s="35" t="s">
        <v>158</v>
      </c>
      <c r="C68" t="s">
        <v>277</v>
      </c>
      <c r="F68">
        <v>9700</v>
      </c>
      <c r="G68" t="s">
        <v>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0C0B-397D-460C-95D7-D86C9FCE2B0A}">
  <dimension ref="A1:A67"/>
  <sheetViews>
    <sheetView workbookViewId="0">
      <selection activeCell="L72" sqref="L72"/>
    </sheetView>
  </sheetViews>
  <sheetFormatPr defaultRowHeight="12.75" x14ac:dyDescent="0.2"/>
  <cols>
    <col min="1" max="1" width="14.85546875" bestFit="1" customWidth="1"/>
  </cols>
  <sheetData>
    <row r="1" spans="1:1" x14ac:dyDescent="0.2">
      <c r="A1" t="str">
        <f>Setores!C2</f>
        <v>Agric</v>
      </c>
    </row>
    <row r="2" spans="1:1" x14ac:dyDescent="0.2">
      <c r="A2" t="str">
        <f>Setores!C3</f>
        <v>Pec</v>
      </c>
    </row>
    <row r="3" spans="1:1" x14ac:dyDescent="0.2">
      <c r="A3" t="str">
        <f>Setores!C4</f>
        <v>Florest_Pesca</v>
      </c>
    </row>
    <row r="4" spans="1:1" x14ac:dyDescent="0.2">
      <c r="A4" t="str">
        <f>Setores!C5</f>
        <v>Min_NaoMet</v>
      </c>
    </row>
    <row r="5" spans="1:1" x14ac:dyDescent="0.2">
      <c r="A5" t="str">
        <f>Setores!C6</f>
        <v>Pet_Gas</v>
      </c>
    </row>
    <row r="6" spans="1:1" x14ac:dyDescent="0.2">
      <c r="A6" t="str">
        <f>Setores!C7</f>
        <v>Min_Ferro</v>
      </c>
    </row>
    <row r="7" spans="1:1" x14ac:dyDescent="0.2">
      <c r="A7" t="str">
        <f>Setores!C8</f>
        <v>Min_NFer</v>
      </c>
    </row>
    <row r="8" spans="1:1" x14ac:dyDescent="0.2">
      <c r="A8" t="str">
        <f>Setores!C9</f>
        <v>Carnes_Latic</v>
      </c>
    </row>
    <row r="9" spans="1:1" x14ac:dyDescent="0.2">
      <c r="A9" t="str">
        <f>Setores!C10</f>
        <v>Acucar</v>
      </c>
    </row>
    <row r="10" spans="1:1" x14ac:dyDescent="0.2">
      <c r="A10" t="str">
        <f>Setores!C11</f>
        <v>Alimentos</v>
      </c>
    </row>
    <row r="11" spans="1:1" x14ac:dyDescent="0.2">
      <c r="A11" t="str">
        <f>Setores!C12</f>
        <v>Bebidas</v>
      </c>
    </row>
    <row r="12" spans="1:1" x14ac:dyDescent="0.2">
      <c r="A12" t="str">
        <f>Setores!C13</f>
        <v>Fumo</v>
      </c>
    </row>
    <row r="13" spans="1:1" x14ac:dyDescent="0.2">
      <c r="A13" t="str">
        <f>Setores!C14</f>
        <v>Textil</v>
      </c>
    </row>
    <row r="14" spans="1:1" x14ac:dyDescent="0.2">
      <c r="A14" t="str">
        <f>Setores!C15</f>
        <v>Vestuario</v>
      </c>
    </row>
    <row r="15" spans="1:1" x14ac:dyDescent="0.2">
      <c r="A15" t="str">
        <f>Setores!C16</f>
        <v>Couro_Calc</v>
      </c>
    </row>
    <row r="16" spans="1:1" x14ac:dyDescent="0.2">
      <c r="A16" t="str">
        <f>Setores!C17</f>
        <v>Madeira</v>
      </c>
    </row>
    <row r="17" spans="1:1" x14ac:dyDescent="0.2">
      <c r="A17" t="str">
        <f>Setores!C18</f>
        <v>Papel_Cel</v>
      </c>
    </row>
    <row r="18" spans="1:1" x14ac:dyDescent="0.2">
      <c r="A18" t="str">
        <f>Setores!C19</f>
        <v>Impressao</v>
      </c>
    </row>
    <row r="19" spans="1:1" x14ac:dyDescent="0.2">
      <c r="A19" t="str">
        <f>Setores!C20</f>
        <v>Refino</v>
      </c>
    </row>
    <row r="20" spans="1:1" x14ac:dyDescent="0.2">
      <c r="A20" t="str">
        <f>Setores!C21</f>
        <v>Biocomb</v>
      </c>
    </row>
    <row r="21" spans="1:1" x14ac:dyDescent="0.2">
      <c r="A21" t="str">
        <f>Setores!C22</f>
        <v>Quim_Base</v>
      </c>
    </row>
    <row r="22" spans="1:1" x14ac:dyDescent="0.2">
      <c r="A22" t="str">
        <f>Setores!C23</f>
        <v>Quim_Diversos</v>
      </c>
    </row>
    <row r="23" spans="1:1" x14ac:dyDescent="0.2">
      <c r="A23" t="str">
        <f>Setores!C24</f>
        <v>Hig_Pessoal</v>
      </c>
    </row>
    <row r="24" spans="1:1" x14ac:dyDescent="0.2">
      <c r="A24" t="str">
        <f>Setores!C25</f>
        <v>Farmaceut</v>
      </c>
    </row>
    <row r="25" spans="1:1" x14ac:dyDescent="0.2">
      <c r="A25" t="str">
        <f>Setores!C26</f>
        <v>Borracha_Plast</v>
      </c>
    </row>
    <row r="26" spans="1:1" x14ac:dyDescent="0.2">
      <c r="A26" t="str">
        <f>Setores!C27</f>
        <v>Minerais_NMet</v>
      </c>
    </row>
    <row r="27" spans="1:1" x14ac:dyDescent="0.2">
      <c r="A27" t="str">
        <f>Setores!C28</f>
        <v>Siderurgia</v>
      </c>
    </row>
    <row r="28" spans="1:1" x14ac:dyDescent="0.2">
      <c r="A28" t="str">
        <f>Setores!C29</f>
        <v>Metal_NFer</v>
      </c>
    </row>
    <row r="29" spans="1:1" x14ac:dyDescent="0.2">
      <c r="A29" t="str">
        <f>Setores!C30</f>
        <v>Prod_Metal</v>
      </c>
    </row>
    <row r="30" spans="1:1" x14ac:dyDescent="0.2">
      <c r="A30" t="str">
        <f>Setores!C31</f>
        <v>Eletro_Info</v>
      </c>
    </row>
    <row r="31" spans="1:1" x14ac:dyDescent="0.2">
      <c r="A31" t="str">
        <f>Setores!C32</f>
        <v>Maq_Eletr</v>
      </c>
    </row>
    <row r="32" spans="1:1" x14ac:dyDescent="0.2">
      <c r="A32" t="str">
        <f>Setores!C33</f>
        <v>Maq_Mec</v>
      </c>
    </row>
    <row r="33" spans="1:1" x14ac:dyDescent="0.2">
      <c r="A33" t="str">
        <f>Setores!C34</f>
        <v>Veic_Mont</v>
      </c>
    </row>
    <row r="34" spans="1:1" x14ac:dyDescent="0.2">
      <c r="A34" t="str">
        <f>Setores!C35</f>
        <v>Auto_Pecas</v>
      </c>
    </row>
    <row r="35" spans="1:1" x14ac:dyDescent="0.2">
      <c r="A35" t="str">
        <f>Setores!C36</f>
        <v>Equip_Transp</v>
      </c>
    </row>
    <row r="36" spans="1:1" x14ac:dyDescent="0.2">
      <c r="A36" t="str">
        <f>Setores!C37</f>
        <v>Moveis_Diversos</v>
      </c>
    </row>
    <row r="37" spans="1:1" x14ac:dyDescent="0.2">
      <c r="A37" t="str">
        <f>Setores!C38</f>
        <v>Manut_Maq</v>
      </c>
    </row>
    <row r="38" spans="1:1" x14ac:dyDescent="0.2">
      <c r="A38" t="str">
        <f>Setores!C39</f>
        <v>Energia</v>
      </c>
    </row>
    <row r="39" spans="1:1" x14ac:dyDescent="0.2">
      <c r="A39" t="str">
        <f>Setores!C40</f>
        <v>Saneamento</v>
      </c>
    </row>
    <row r="40" spans="1:1" x14ac:dyDescent="0.2">
      <c r="A40" t="str">
        <f>Setores!C41</f>
        <v>Construcao</v>
      </c>
    </row>
    <row r="41" spans="1:1" x14ac:dyDescent="0.2">
      <c r="A41" t="str">
        <f>Setores!C42</f>
        <v>Comercio</v>
      </c>
    </row>
    <row r="42" spans="1:1" x14ac:dyDescent="0.2">
      <c r="A42" t="str">
        <f>Setores!C43</f>
        <v>Transp_Ter</v>
      </c>
    </row>
    <row r="43" spans="1:1" x14ac:dyDescent="0.2">
      <c r="A43" t="str">
        <f>Setores!C44</f>
        <v>Transp_Aqua</v>
      </c>
    </row>
    <row r="44" spans="1:1" x14ac:dyDescent="0.2">
      <c r="A44" t="str">
        <f>Setores!C45</f>
        <v>Transp_Aereo</v>
      </c>
    </row>
    <row r="45" spans="1:1" x14ac:dyDescent="0.2">
      <c r="A45" t="str">
        <f>Setores!C46</f>
        <v>Logistica</v>
      </c>
    </row>
    <row r="46" spans="1:1" x14ac:dyDescent="0.2">
      <c r="A46" t="str">
        <f>Setores!C47</f>
        <v>Aloj</v>
      </c>
    </row>
    <row r="47" spans="1:1" x14ac:dyDescent="0.2">
      <c r="A47" t="str">
        <f>Setores!C48</f>
        <v>Alimentacao</v>
      </c>
    </row>
    <row r="48" spans="1:1" x14ac:dyDescent="0.2">
      <c r="A48" t="str">
        <f>Setores!C49</f>
        <v>Edicao</v>
      </c>
    </row>
    <row r="49" spans="1:1" x14ac:dyDescent="0.2">
      <c r="A49" t="str">
        <f>Setores!C50</f>
        <v>Midia</v>
      </c>
    </row>
    <row r="50" spans="1:1" x14ac:dyDescent="0.2">
      <c r="A50" t="str">
        <f>Setores!C51</f>
        <v>Telecom</v>
      </c>
    </row>
    <row r="51" spans="1:1" x14ac:dyDescent="0.2">
      <c r="A51" t="str">
        <f>Setores!C52</f>
        <v>TI_Info</v>
      </c>
    </row>
    <row r="52" spans="1:1" x14ac:dyDescent="0.2">
      <c r="A52" t="str">
        <f>Setores!C53</f>
        <v>Financeiro</v>
      </c>
    </row>
    <row r="53" spans="1:1" x14ac:dyDescent="0.2">
      <c r="A53" t="str">
        <f>Setores!C54</f>
        <v>Imobiliario</v>
      </c>
    </row>
    <row r="54" spans="1:1" x14ac:dyDescent="0.2">
      <c r="A54" t="str">
        <f>Setores!C55</f>
        <v>Serv_Corp</v>
      </c>
    </row>
    <row r="55" spans="1:1" x14ac:dyDescent="0.2">
      <c r="A55" t="str">
        <f>Setores!C56</f>
        <v>Eng_P&amp;D</v>
      </c>
    </row>
    <row r="56" spans="1:1" x14ac:dyDescent="0.2">
      <c r="A56" t="str">
        <f>Setores!C57</f>
        <v>Prof_Tecn</v>
      </c>
    </row>
    <row r="57" spans="1:1" x14ac:dyDescent="0.2">
      <c r="A57" t="str">
        <f>Setores!C58</f>
        <v>Alug_Ativos</v>
      </c>
    </row>
    <row r="58" spans="1:1" x14ac:dyDescent="0.2">
      <c r="A58" t="str">
        <f>Setores!C59</f>
        <v>Serv_Admin</v>
      </c>
    </row>
    <row r="59" spans="1:1" x14ac:dyDescent="0.2">
      <c r="A59" t="str">
        <f>Setores!C60</f>
        <v>Seguranca</v>
      </c>
    </row>
    <row r="60" spans="1:1" x14ac:dyDescent="0.2">
      <c r="A60" t="str">
        <f>Setores!C61</f>
        <v>Adm_Publica</v>
      </c>
    </row>
    <row r="61" spans="1:1" x14ac:dyDescent="0.2">
      <c r="A61" t="str">
        <f>Setores!C62</f>
        <v>Educ_Pub</v>
      </c>
    </row>
    <row r="62" spans="1:1" x14ac:dyDescent="0.2">
      <c r="A62" t="str">
        <f>Setores!C63</f>
        <v>Educ_Priv</v>
      </c>
    </row>
    <row r="63" spans="1:1" x14ac:dyDescent="0.2">
      <c r="A63" t="str">
        <f>Setores!C64</f>
        <v>Saude_Pub</v>
      </c>
    </row>
    <row r="64" spans="1:1" x14ac:dyDescent="0.2">
      <c r="A64" t="str">
        <f>Setores!C65</f>
        <v>Saude_Priv</v>
      </c>
    </row>
    <row r="65" spans="1:1" x14ac:dyDescent="0.2">
      <c r="A65" t="str">
        <f>Setores!C66</f>
        <v>Cultura</v>
      </c>
    </row>
    <row r="66" spans="1:1" x14ac:dyDescent="0.2">
      <c r="A66" t="str">
        <f>Setores!C67</f>
        <v>Org_Assoc</v>
      </c>
    </row>
    <row r="67" spans="1:1" x14ac:dyDescent="0.2">
      <c r="A67" t="str">
        <f>Setores!C68</f>
        <v>Serv_Dom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BE7B-1AF4-44D1-AAC2-F9ED4DEC3374}">
  <dimension ref="A1:BO67"/>
  <sheetViews>
    <sheetView workbookViewId="0">
      <selection activeCell="F8" sqref="F8"/>
    </sheetView>
  </sheetViews>
  <sheetFormatPr defaultRowHeight="12.75" x14ac:dyDescent="0.2"/>
  <cols>
    <col min="1" max="16384" width="9.140625" style="105"/>
  </cols>
  <sheetData>
    <row r="1" spans="1:67" x14ac:dyDescent="0.2">
      <c r="A1" s="105" cm="1">
        <f t="array" ref="A1:BO67">'Usos Nacional'!C6:BQ72</f>
        <v>16983.247640976799</v>
      </c>
      <c r="B1" s="105">
        <v>11985.7118715913</v>
      </c>
      <c r="C1" s="105">
        <v>219.75067867827599</v>
      </c>
      <c r="D1" s="105">
        <v>2.4446188831995901</v>
      </c>
      <c r="E1" s="105">
        <v>10.070757673037299</v>
      </c>
      <c r="F1" s="105">
        <v>18.831943136767599</v>
      </c>
      <c r="G1" s="105">
        <v>2.5990456554613499</v>
      </c>
      <c r="H1" s="105">
        <v>13773.569014287201</v>
      </c>
      <c r="I1" s="105">
        <v>40352.239443632803</v>
      </c>
      <c r="J1" s="105">
        <v>144426.083779712</v>
      </c>
      <c r="K1" s="105">
        <v>3476.9129644576301</v>
      </c>
      <c r="L1" s="105">
        <v>7355.7566927649405</v>
      </c>
      <c r="M1" s="105">
        <v>12151.147821455401</v>
      </c>
      <c r="N1" s="105">
        <v>826.38093235854296</v>
      </c>
      <c r="O1" s="105">
        <v>8.2014628021535501</v>
      </c>
      <c r="P1" s="105">
        <v>139.511083554712</v>
      </c>
      <c r="Q1" s="105">
        <v>262.77827453264098</v>
      </c>
      <c r="R1" s="105">
        <v>0.30482600334756499</v>
      </c>
      <c r="S1" s="105">
        <v>17.250539534068899</v>
      </c>
      <c r="T1" s="105">
        <v>36913.890216475003</v>
      </c>
      <c r="U1" s="105">
        <v>18.947496079245902</v>
      </c>
      <c r="V1" s="105">
        <v>22.664833288947101</v>
      </c>
      <c r="W1" s="105">
        <v>4.2399617473883104</v>
      </c>
      <c r="X1" s="105">
        <v>28.012323629647401</v>
      </c>
      <c r="Y1" s="105">
        <v>38.054853464048499</v>
      </c>
      <c r="Z1" s="105">
        <v>24.278499006860699</v>
      </c>
      <c r="AA1" s="105">
        <v>61.220021748223303</v>
      </c>
      <c r="AB1" s="105">
        <v>39.645899255179501</v>
      </c>
      <c r="AC1" s="105">
        <v>6.24891835412999</v>
      </c>
      <c r="AD1" s="105">
        <v>0.42540656962946799</v>
      </c>
      <c r="AE1" s="105">
        <v>0.505770915948766</v>
      </c>
      <c r="AF1" s="105">
        <v>1.46293364534828</v>
      </c>
      <c r="AG1" s="105">
        <v>0.727851998321555</v>
      </c>
      <c r="AH1" s="105">
        <v>0.60726419511461804</v>
      </c>
      <c r="AI1" s="105">
        <v>0.62477458778066997</v>
      </c>
      <c r="AJ1" s="105">
        <v>17.623418931504599</v>
      </c>
      <c r="AK1" s="105">
        <v>0.12588053197613899</v>
      </c>
      <c r="AL1" s="105">
        <v>0.96140955529054795</v>
      </c>
      <c r="AM1" s="105">
        <v>77.168599513695796</v>
      </c>
      <c r="AN1" s="105">
        <v>415.16463182773703</v>
      </c>
      <c r="AO1" s="105">
        <v>19996.859219469799</v>
      </c>
      <c r="AP1" s="105">
        <v>2.0821477395877501</v>
      </c>
      <c r="AQ1" s="105">
        <v>0.113491132801399</v>
      </c>
      <c r="AR1" s="105">
        <v>0.34712637425138998</v>
      </c>
      <c r="AS1" s="105">
        <v>19.797531816222801</v>
      </c>
      <c r="AT1" s="105">
        <v>436.34999235867201</v>
      </c>
      <c r="AU1" s="105">
        <v>5788.0274436897598</v>
      </c>
      <c r="AV1" s="105">
        <v>0.21432553113201</v>
      </c>
      <c r="AW1" s="105">
        <v>0.95087960595968302</v>
      </c>
      <c r="AX1" s="105">
        <v>45.613296795034998</v>
      </c>
      <c r="AY1" s="105">
        <v>5.3546602290244198</v>
      </c>
      <c r="AZ1" s="105">
        <v>16.3279877596046</v>
      </c>
      <c r="BA1" s="105">
        <v>19.471190625466601</v>
      </c>
      <c r="BB1" s="105">
        <v>13.650208777078699</v>
      </c>
      <c r="BC1" s="105">
        <v>16.444522473309501</v>
      </c>
      <c r="BD1" s="105">
        <v>2.0917105848824402</v>
      </c>
      <c r="BE1" s="105">
        <v>1.4085659030225901</v>
      </c>
      <c r="BF1" s="105">
        <v>215.55613440657501</v>
      </c>
      <c r="BG1" s="105">
        <v>0.48304965700464098</v>
      </c>
      <c r="BH1" s="105">
        <v>1299.83057372947</v>
      </c>
      <c r="BI1" s="105">
        <v>517.26448181550495</v>
      </c>
      <c r="BJ1" s="105">
        <v>92.627136533180106</v>
      </c>
      <c r="BK1" s="105">
        <v>674.39034154712999</v>
      </c>
      <c r="BL1" s="105">
        <v>279.33630282785202</v>
      </c>
      <c r="BM1" s="105">
        <v>5.6342111738988399</v>
      </c>
      <c r="BN1" s="105">
        <v>421.33590069856302</v>
      </c>
      <c r="BO1" s="105">
        <v>0</v>
      </c>
    </row>
    <row r="2" spans="1:67" x14ac:dyDescent="0.2">
      <c r="A2" s="105">
        <v>1874.4990742775401</v>
      </c>
      <c r="B2" s="105">
        <v>10816.7605496</v>
      </c>
      <c r="C2" s="105">
        <v>281.81531881158099</v>
      </c>
      <c r="D2" s="105">
        <v>6.1725582703029902</v>
      </c>
      <c r="E2" s="105">
        <v>24.822897209708</v>
      </c>
      <c r="F2" s="105">
        <v>33.799521884358498</v>
      </c>
      <c r="G2" s="105">
        <v>4.7537387996443803</v>
      </c>
      <c r="H2" s="105">
        <v>160629.40235576601</v>
      </c>
      <c r="I2" s="105">
        <v>227.40567877949499</v>
      </c>
      <c r="J2" s="105">
        <v>8330.10011922382</v>
      </c>
      <c r="K2" s="105">
        <v>86.564137191050193</v>
      </c>
      <c r="L2" s="105">
        <v>341.714340809372</v>
      </c>
      <c r="M2" s="105">
        <v>481.17479650085602</v>
      </c>
      <c r="N2" s="105">
        <v>385.60221437552002</v>
      </c>
      <c r="O2" s="105">
        <v>8.8757715095057108</v>
      </c>
      <c r="P2" s="105">
        <v>279.87373398051699</v>
      </c>
      <c r="Q2" s="105">
        <v>466.44825185010802</v>
      </c>
      <c r="R2" s="105">
        <v>0.52309191151216905</v>
      </c>
      <c r="S2" s="105">
        <v>1.31739760335433</v>
      </c>
      <c r="T2" s="105">
        <v>426.28389005583</v>
      </c>
      <c r="U2" s="105">
        <v>52.668934083088402</v>
      </c>
      <c r="V2" s="105">
        <v>11.0100835791932</v>
      </c>
      <c r="W2" s="105">
        <v>10.846312919333799</v>
      </c>
      <c r="X2" s="105">
        <v>13.7749876090248</v>
      </c>
      <c r="Y2" s="105">
        <v>57.558184916699403</v>
      </c>
      <c r="Z2" s="105">
        <v>110.718922295727</v>
      </c>
      <c r="AA2" s="105">
        <v>130.39123870142001</v>
      </c>
      <c r="AB2" s="105">
        <v>76.286198759283096</v>
      </c>
      <c r="AC2" s="105">
        <v>5.0184879408309797</v>
      </c>
      <c r="AD2" s="105">
        <v>0.86395702563646404</v>
      </c>
      <c r="AE2" s="105">
        <v>1.51897135536854</v>
      </c>
      <c r="AF2" s="105">
        <v>2.8508172911251402</v>
      </c>
      <c r="AG2" s="105">
        <v>1.33324066505189</v>
      </c>
      <c r="AH2" s="105">
        <v>1.3350735667098601</v>
      </c>
      <c r="AI2" s="105">
        <v>0.94154856716990099</v>
      </c>
      <c r="AJ2" s="105">
        <v>10.494813420344</v>
      </c>
      <c r="AK2" s="105">
        <v>0.29735100558148397</v>
      </c>
      <c r="AL2" s="105">
        <v>1.2626596698186501</v>
      </c>
      <c r="AM2" s="105">
        <v>12.0469517823873</v>
      </c>
      <c r="AN2" s="105">
        <v>818.192360022598</v>
      </c>
      <c r="AO2" s="105">
        <v>717.91887720160798</v>
      </c>
      <c r="AP2" s="105">
        <v>2.0699010152570398</v>
      </c>
      <c r="AQ2" s="105">
        <v>9.4280220013958194E-2</v>
      </c>
      <c r="AR2" s="105">
        <v>0.35233015409090701</v>
      </c>
      <c r="AS2" s="105">
        <v>32.880639256258704</v>
      </c>
      <c r="AT2" s="105">
        <v>518.21709792607896</v>
      </c>
      <c r="AU2" s="105">
        <v>2589.1851868213998</v>
      </c>
      <c r="AV2" s="105">
        <v>0.32953477971244099</v>
      </c>
      <c r="AW2" s="105">
        <v>1.46913268676819</v>
      </c>
      <c r="AX2" s="105">
        <v>81.394049172992496</v>
      </c>
      <c r="AY2" s="105">
        <v>8.7423478722065493</v>
      </c>
      <c r="AZ2" s="105">
        <v>25.271437558166301</v>
      </c>
      <c r="BA2" s="105">
        <v>35.848426204963303</v>
      </c>
      <c r="BB2" s="105">
        <v>10.594616395114899</v>
      </c>
      <c r="BC2" s="105">
        <v>21.3149074253473</v>
      </c>
      <c r="BD2" s="105">
        <v>9.5876250216221095</v>
      </c>
      <c r="BE2" s="105">
        <v>1.91931374152071</v>
      </c>
      <c r="BF2" s="105">
        <v>40.599941633261999</v>
      </c>
      <c r="BG2" s="105">
        <v>0.590767540086509</v>
      </c>
      <c r="BH2" s="105">
        <v>428.53961821193599</v>
      </c>
      <c r="BI2" s="105">
        <v>152.296892249682</v>
      </c>
      <c r="BJ2" s="105">
        <v>29.553771352143599</v>
      </c>
      <c r="BK2" s="105">
        <v>187.680020242795</v>
      </c>
      <c r="BL2" s="105">
        <v>133.616517452496</v>
      </c>
      <c r="BM2" s="105">
        <v>5.0786781816633697</v>
      </c>
      <c r="BN2" s="105">
        <v>59.635322622223001</v>
      </c>
      <c r="BO2" s="105">
        <v>0</v>
      </c>
    </row>
    <row r="3" spans="1:67" x14ac:dyDescent="0.2">
      <c r="A3" s="105">
        <v>1688.5049794855199</v>
      </c>
      <c r="B3" s="105">
        <v>1700.0692261730601</v>
      </c>
      <c r="C3" s="105">
        <v>2524.3458107759802</v>
      </c>
      <c r="D3" s="105">
        <v>2.42130557957833</v>
      </c>
      <c r="E3" s="105">
        <v>1.9440342339352601</v>
      </c>
      <c r="F3" s="105">
        <v>2.56964456343443</v>
      </c>
      <c r="G3" s="105">
        <v>0.35119115098120701</v>
      </c>
      <c r="H3" s="105">
        <v>2907.4262361948299</v>
      </c>
      <c r="I3" s="105">
        <v>1.2932913902536001</v>
      </c>
      <c r="J3" s="105">
        <v>339.88064823806701</v>
      </c>
      <c r="K3" s="105">
        <v>17.352535350390401</v>
      </c>
      <c r="L3" s="105">
        <v>17.945642363564701</v>
      </c>
      <c r="M3" s="105">
        <v>26.683224789141299</v>
      </c>
      <c r="N3" s="105">
        <v>6.6290399061429399</v>
      </c>
      <c r="O3" s="105">
        <v>4.5406797291379899</v>
      </c>
      <c r="P3" s="105">
        <v>3296.8901921178899</v>
      </c>
      <c r="Q3" s="105">
        <v>5362.1790099252603</v>
      </c>
      <c r="R3" s="105">
        <v>4.1243098089289901E-2</v>
      </c>
      <c r="S3" s="105">
        <v>0.10967613215416799</v>
      </c>
      <c r="T3" s="105">
        <v>13.029997867379</v>
      </c>
      <c r="U3" s="105">
        <v>334.062306256677</v>
      </c>
      <c r="V3" s="105">
        <v>3.5972104639601201</v>
      </c>
      <c r="W3" s="105">
        <v>0.14048076087202399</v>
      </c>
      <c r="X3" s="105">
        <v>0.209533236126351</v>
      </c>
      <c r="Y3" s="105">
        <v>606.36747763561903</v>
      </c>
      <c r="Z3" s="105">
        <v>116.633913028271</v>
      </c>
      <c r="AA3" s="105">
        <v>1428.9897716371199</v>
      </c>
      <c r="AB3" s="105">
        <v>5.6256292367961702</v>
      </c>
      <c r="AC3" s="105">
        <v>5.7305412901184498</v>
      </c>
      <c r="AD3" s="105">
        <v>9.2514461132860798E-2</v>
      </c>
      <c r="AE3" s="105">
        <v>0.14463256242389999</v>
      </c>
      <c r="AF3" s="105">
        <v>0.318472748685528</v>
      </c>
      <c r="AG3" s="105">
        <v>0.14276051693144401</v>
      </c>
      <c r="AH3" s="105">
        <v>0.12895160021436999</v>
      </c>
      <c r="AI3" s="105">
        <v>8.0979667045254805E-2</v>
      </c>
      <c r="AJ3" s="105">
        <v>2.0563198578850099</v>
      </c>
      <c r="AK3" s="105">
        <v>3.5468853954746297E-2</v>
      </c>
      <c r="AL3" s="105">
        <v>0.17288638743155399</v>
      </c>
      <c r="AM3" s="105">
        <v>0.826808876823659</v>
      </c>
      <c r="AN3" s="105">
        <v>959.18055987609898</v>
      </c>
      <c r="AO3" s="105">
        <v>176.834385341337</v>
      </c>
      <c r="AP3" s="105">
        <v>0.22782768105467499</v>
      </c>
      <c r="AQ3" s="105">
        <v>1.08558256909746E-2</v>
      </c>
      <c r="AR3" s="105">
        <v>3.2371689658823602E-2</v>
      </c>
      <c r="AS3" s="105">
        <v>2.55006225289269</v>
      </c>
      <c r="AT3" s="105">
        <v>42.962256012153397</v>
      </c>
      <c r="AU3" s="105">
        <v>473.161358495088</v>
      </c>
      <c r="AV3" s="105">
        <v>3.9132559624546003E-2</v>
      </c>
      <c r="AW3" s="105">
        <v>0.15461912518776799</v>
      </c>
      <c r="AX3" s="105">
        <v>6.0155937694650197</v>
      </c>
      <c r="AY3" s="105">
        <v>0.846241509815437</v>
      </c>
      <c r="AZ3" s="105">
        <v>2.0933957067676001</v>
      </c>
      <c r="BA3" s="105">
        <v>2.7185940525428598</v>
      </c>
      <c r="BB3" s="105">
        <v>0.95679367085359901</v>
      </c>
      <c r="BC3" s="105">
        <v>3.9464391468042002</v>
      </c>
      <c r="BD3" s="105">
        <v>0.24312273597560399</v>
      </c>
      <c r="BE3" s="105">
        <v>0.19536080448242699</v>
      </c>
      <c r="BF3" s="105">
        <v>2.8141439025821899</v>
      </c>
      <c r="BG3" s="105">
        <v>6.0217608333799501E-2</v>
      </c>
      <c r="BH3" s="105">
        <v>114.75740507609</v>
      </c>
      <c r="BI3" s="105">
        <v>71.484970048416102</v>
      </c>
      <c r="BJ3" s="105">
        <v>7.0629456705111302</v>
      </c>
      <c r="BK3" s="105">
        <v>93.786223026511905</v>
      </c>
      <c r="BL3" s="105">
        <v>15.5859973806442</v>
      </c>
      <c r="BM3" s="105">
        <v>0.48511085950202598</v>
      </c>
      <c r="BN3" s="105">
        <v>4.3423871333597104</v>
      </c>
      <c r="BO3" s="105">
        <v>0</v>
      </c>
    </row>
    <row r="4" spans="1:67" x14ac:dyDescent="0.2">
      <c r="A4" s="105">
        <v>149.30588030674301</v>
      </c>
      <c r="B4" s="105">
        <v>819.54278323703704</v>
      </c>
      <c r="C4" s="105">
        <v>22.086799277284701</v>
      </c>
      <c r="D4" s="105">
        <v>411.91150671127502</v>
      </c>
      <c r="E4" s="105">
        <v>820.36058842778198</v>
      </c>
      <c r="F4" s="105">
        <v>1.3538069505585699</v>
      </c>
      <c r="G4" s="105">
        <v>5.7939026623958396</v>
      </c>
      <c r="H4" s="105">
        <v>104.863711141214</v>
      </c>
      <c r="I4" s="105">
        <v>20.752811128379701</v>
      </c>
      <c r="J4" s="105">
        <v>326.85422640847497</v>
      </c>
      <c r="K4" s="105">
        <v>27.084261336552501</v>
      </c>
      <c r="L4" s="105">
        <v>2.8390051411376498E-2</v>
      </c>
      <c r="M4" s="105">
        <v>0.43891063332982999</v>
      </c>
      <c r="N4" s="105">
        <v>0.208273774530435</v>
      </c>
      <c r="O4" s="105">
        <v>0.329812564673924</v>
      </c>
      <c r="P4" s="105">
        <v>0.184273650325605</v>
      </c>
      <c r="Q4" s="105">
        <v>15.974643807595299</v>
      </c>
      <c r="R4" s="105">
        <v>1.0945433942092799</v>
      </c>
      <c r="S4" s="105">
        <v>11.3681872336139</v>
      </c>
      <c r="T4" s="105">
        <v>586.10945815822697</v>
      </c>
      <c r="U4" s="105">
        <v>1865.4501991753</v>
      </c>
      <c r="V4" s="105">
        <v>133.68132873953101</v>
      </c>
      <c r="W4" s="105">
        <v>6.0951226313859799</v>
      </c>
      <c r="X4" s="105">
        <v>1.3907623425447599</v>
      </c>
      <c r="Y4" s="105">
        <v>6.6222773875156502</v>
      </c>
      <c r="Z4" s="105">
        <v>7666.4636463980996</v>
      </c>
      <c r="AA4" s="105">
        <v>1964.2615700910101</v>
      </c>
      <c r="AB4" s="105">
        <v>625.11207352530096</v>
      </c>
      <c r="AC4" s="105">
        <v>14.376460932684401</v>
      </c>
      <c r="AD4" s="105">
        <v>0.72291194816895898</v>
      </c>
      <c r="AE4" s="105">
        <v>81.703797435364905</v>
      </c>
      <c r="AF4" s="105">
        <v>8.7163353279023994</v>
      </c>
      <c r="AG4" s="105">
        <v>24.6809986465557</v>
      </c>
      <c r="AH4" s="105">
        <v>56.982151006760702</v>
      </c>
      <c r="AI4" s="105">
        <v>4.3157239215305401</v>
      </c>
      <c r="AJ4" s="105">
        <v>47.6684462011021</v>
      </c>
      <c r="AK4" s="105">
        <v>4.5992116017874896</v>
      </c>
      <c r="AL4" s="105">
        <v>360.93966690653298</v>
      </c>
      <c r="AM4" s="105">
        <v>625.18773077510696</v>
      </c>
      <c r="AN4" s="105">
        <v>7223.8027351206401</v>
      </c>
      <c r="AO4" s="105">
        <v>135.81180434332001</v>
      </c>
      <c r="AP4" s="105">
        <v>0.71747171153080103</v>
      </c>
      <c r="AQ4" s="105">
        <v>0.14348154142727601</v>
      </c>
      <c r="AR4" s="105">
        <v>4.71650951511116E-2</v>
      </c>
      <c r="AS4" s="105">
        <v>8.6290967587452805</v>
      </c>
      <c r="AT4" s="105">
        <v>2.9290382543667599</v>
      </c>
      <c r="AU4" s="105">
        <v>14.1530676406302</v>
      </c>
      <c r="AV4" s="105">
        <v>9.88582049512466E-2</v>
      </c>
      <c r="AW4" s="105">
        <v>0.13386898151177601</v>
      </c>
      <c r="AX4" s="105">
        <v>0.58754712452271995</v>
      </c>
      <c r="AY4" s="105">
        <v>0.90582522918713804</v>
      </c>
      <c r="AZ4" s="105">
        <v>1.21831116361596</v>
      </c>
      <c r="BA4" s="105">
        <v>264.72213266597299</v>
      </c>
      <c r="BB4" s="105">
        <v>1.376368901924</v>
      </c>
      <c r="BC4" s="105">
        <v>1.3755184696396701</v>
      </c>
      <c r="BD4" s="105">
        <v>0.49763655051359701</v>
      </c>
      <c r="BE4" s="105">
        <v>0.372001998211131</v>
      </c>
      <c r="BF4" s="105">
        <v>1.96848096491904</v>
      </c>
      <c r="BG4" s="105">
        <v>0.10602792280522499</v>
      </c>
      <c r="BH4" s="105">
        <v>97.280214919452405</v>
      </c>
      <c r="BI4" s="105">
        <v>21.476332246481402</v>
      </c>
      <c r="BJ4" s="105">
        <v>1.44445158884362</v>
      </c>
      <c r="BK4" s="105">
        <v>14.3470208741206</v>
      </c>
      <c r="BL4" s="105">
        <v>4.4411685331868398</v>
      </c>
      <c r="BM4" s="105">
        <v>0.99521822646064595</v>
      </c>
      <c r="BN4" s="105">
        <v>2.7906141341328699</v>
      </c>
      <c r="BO4" s="105">
        <v>0</v>
      </c>
    </row>
    <row r="5" spans="1:67" x14ac:dyDescent="0.2">
      <c r="A5" s="105">
        <v>29.4987798954458</v>
      </c>
      <c r="B5" s="105">
        <v>18.332812401847299</v>
      </c>
      <c r="C5" s="105">
        <v>1.32328541402433</v>
      </c>
      <c r="D5" s="105">
        <v>4.3985043231080496</v>
      </c>
      <c r="E5" s="105">
        <v>9720.6024889706096</v>
      </c>
      <c r="F5" s="105">
        <v>1297.65640083983</v>
      </c>
      <c r="G5" s="105">
        <v>66.3664760646502</v>
      </c>
      <c r="H5" s="105">
        <v>36.200819824070997</v>
      </c>
      <c r="I5" s="105">
        <v>1.24698374281298</v>
      </c>
      <c r="J5" s="105">
        <v>316.20719979008999</v>
      </c>
      <c r="K5" s="105">
        <v>65.334293995520895</v>
      </c>
      <c r="L5" s="105">
        <v>0.24801618158689301</v>
      </c>
      <c r="M5" s="105">
        <v>54.769254806406799</v>
      </c>
      <c r="N5" s="105">
        <v>1.1817855936441799</v>
      </c>
      <c r="O5" s="105">
        <v>1.72188879631748</v>
      </c>
      <c r="P5" s="105">
        <v>28.8137600648116</v>
      </c>
      <c r="Q5" s="105">
        <v>360.28358805809398</v>
      </c>
      <c r="R5" s="105">
        <v>0.60773736849773097</v>
      </c>
      <c r="S5" s="105">
        <v>162686.386294342</v>
      </c>
      <c r="T5" s="105">
        <v>1.7993495986142001</v>
      </c>
      <c r="U5" s="105">
        <v>942.57372652477704</v>
      </c>
      <c r="V5" s="105">
        <v>50.767453045490299</v>
      </c>
      <c r="W5" s="105">
        <v>15.101049982038999</v>
      </c>
      <c r="X5" s="105">
        <v>16.846368054455699</v>
      </c>
      <c r="Y5" s="105">
        <v>65.127524764205603</v>
      </c>
      <c r="Z5" s="105">
        <v>340.86297779900798</v>
      </c>
      <c r="AA5" s="105">
        <v>237.593643639118</v>
      </c>
      <c r="AB5" s="105">
        <v>156.27750717852001</v>
      </c>
      <c r="AC5" s="105">
        <v>179.138341411814</v>
      </c>
      <c r="AD5" s="105">
        <v>0.91118770416070105</v>
      </c>
      <c r="AE5" s="105">
        <v>22.558511552896</v>
      </c>
      <c r="AF5" s="105">
        <v>60.5320430429854</v>
      </c>
      <c r="AG5" s="105">
        <v>28.3016641001633</v>
      </c>
      <c r="AH5" s="105">
        <v>66.047686536085195</v>
      </c>
      <c r="AI5" s="105">
        <v>1.52204961569598</v>
      </c>
      <c r="AJ5" s="105">
        <v>2.66746139160561</v>
      </c>
      <c r="AK5" s="105">
        <v>23.0186444040156</v>
      </c>
      <c r="AL5" s="105">
        <v>10436.1124301257</v>
      </c>
      <c r="AM5" s="105">
        <v>1553.9861626188101</v>
      </c>
      <c r="AN5" s="105">
        <v>1775.4246052701801</v>
      </c>
      <c r="AO5" s="105">
        <v>211.913248805363</v>
      </c>
      <c r="AP5" s="105">
        <v>147.80096375934301</v>
      </c>
      <c r="AQ5" s="105">
        <v>2.55195397675462</v>
      </c>
      <c r="AR5" s="105">
        <v>0.32073306754666298</v>
      </c>
      <c r="AS5" s="105">
        <v>144.30287350151801</v>
      </c>
      <c r="AT5" s="105">
        <v>3.1956246579543</v>
      </c>
      <c r="AU5" s="105">
        <v>38.591913993991803</v>
      </c>
      <c r="AV5" s="105">
        <v>0.618934659289886</v>
      </c>
      <c r="AW5" s="105">
        <v>1.3472218790259001</v>
      </c>
      <c r="AX5" s="105">
        <v>193.397282454459</v>
      </c>
      <c r="AY5" s="105">
        <v>8.11883922856609</v>
      </c>
      <c r="AZ5" s="105">
        <v>13.103140270668</v>
      </c>
      <c r="BA5" s="105">
        <v>4.8264331177678104</v>
      </c>
      <c r="BB5" s="105">
        <v>14.2719004015912</v>
      </c>
      <c r="BC5" s="105">
        <v>80.371917382971702</v>
      </c>
      <c r="BD5" s="105">
        <v>4.7809737120103604</v>
      </c>
      <c r="BE5" s="105">
        <v>5.9231611942134101</v>
      </c>
      <c r="BF5" s="105">
        <v>15.5000354998073</v>
      </c>
      <c r="BG5" s="105">
        <v>0.93974616625803198</v>
      </c>
      <c r="BH5" s="105">
        <v>3256.2141814575202</v>
      </c>
      <c r="BI5" s="105">
        <v>38.204306507720901</v>
      </c>
      <c r="BJ5" s="105">
        <v>14.3154394035954</v>
      </c>
      <c r="BK5" s="105">
        <v>3.3085933001007199</v>
      </c>
      <c r="BL5" s="105">
        <v>8.1286353660871296</v>
      </c>
      <c r="BM5" s="105">
        <v>10.547889326085</v>
      </c>
      <c r="BN5" s="105">
        <v>35.877657471111803</v>
      </c>
      <c r="BO5" s="105">
        <v>0</v>
      </c>
    </row>
    <row r="6" spans="1:67" x14ac:dyDescent="0.2">
      <c r="A6" s="105">
        <v>0.57938893100547995</v>
      </c>
      <c r="B6" s="105">
        <v>1.12518019350873</v>
      </c>
      <c r="C6" s="105">
        <v>7.2169608452123293E-2</v>
      </c>
      <c r="D6" s="105">
        <v>7.6912666479920205E-2</v>
      </c>
      <c r="E6" s="105">
        <v>13.183717193289199</v>
      </c>
      <c r="F6" s="105">
        <v>7085.1146589343898</v>
      </c>
      <c r="G6" s="105">
        <v>96.663035752810103</v>
      </c>
      <c r="H6" s="105">
        <v>1.1569485933978301</v>
      </c>
      <c r="I6" s="105">
        <v>0.103843791685271</v>
      </c>
      <c r="J6" s="105">
        <v>1.3084138834547101</v>
      </c>
      <c r="K6" s="105">
        <v>0.36478133259191098</v>
      </c>
      <c r="L6" s="105">
        <v>0.100935870168158</v>
      </c>
      <c r="M6" s="105">
        <v>0.21336356542765</v>
      </c>
      <c r="N6" s="105">
        <v>8.6208663927640206E-2</v>
      </c>
      <c r="O6" s="105">
        <v>9.5419597274650797E-2</v>
      </c>
      <c r="P6" s="105">
        <v>0.19038568627883301</v>
      </c>
      <c r="Q6" s="105">
        <v>0.91082844164837395</v>
      </c>
      <c r="R6" s="105">
        <v>0.62982935507261095</v>
      </c>
      <c r="S6" s="105">
        <v>0.295013457541905</v>
      </c>
      <c r="T6" s="105">
        <v>1.7563509568745E-2</v>
      </c>
      <c r="U6" s="105">
        <v>0.53316218206459898</v>
      </c>
      <c r="V6" s="105">
        <v>0.53170564157865996</v>
      </c>
      <c r="W6" s="105">
        <v>0.26368342718600501</v>
      </c>
      <c r="X6" s="105">
        <v>0.99040312235537398</v>
      </c>
      <c r="Y6" s="105">
        <v>0.464201673602128</v>
      </c>
      <c r="Z6" s="105">
        <v>359.91118394985102</v>
      </c>
      <c r="AA6" s="105">
        <v>53412.974487658001</v>
      </c>
      <c r="AB6" s="105">
        <v>93.643610230663796</v>
      </c>
      <c r="AC6" s="105">
        <v>5.5406240338544404</v>
      </c>
      <c r="AD6" s="105">
        <v>0.50556913214311605</v>
      </c>
      <c r="AE6" s="105">
        <v>13.2937031405962</v>
      </c>
      <c r="AF6" s="105">
        <v>21.480474770581498</v>
      </c>
      <c r="AG6" s="105">
        <v>3.9077493804908099</v>
      </c>
      <c r="AH6" s="105">
        <v>6.2448253197851402</v>
      </c>
      <c r="AI6" s="105">
        <v>1.92706104465816</v>
      </c>
      <c r="AJ6" s="105">
        <v>4.6684771274772698</v>
      </c>
      <c r="AK6" s="105">
        <v>8.1808276512355693</v>
      </c>
      <c r="AL6" s="105">
        <v>0.314959450173313</v>
      </c>
      <c r="AM6" s="105">
        <v>20.412119656361298</v>
      </c>
      <c r="AN6" s="105">
        <v>177.92838302923701</v>
      </c>
      <c r="AO6" s="105">
        <v>4.3795196265010397</v>
      </c>
      <c r="AP6" s="105">
        <v>1.38793220855267</v>
      </c>
      <c r="AQ6" s="105">
        <v>0.20282440963855999</v>
      </c>
      <c r="AR6" s="105">
        <v>4.2930700117338001E-3</v>
      </c>
      <c r="AS6" s="105">
        <v>9.8628107512458705</v>
      </c>
      <c r="AT6" s="105">
        <v>0.34065219011722198</v>
      </c>
      <c r="AU6" s="105">
        <v>3.2937782530126101</v>
      </c>
      <c r="AV6" s="105">
        <v>1.5945302998794701E-2</v>
      </c>
      <c r="AW6" s="105">
        <v>2.1579946147912001E-2</v>
      </c>
      <c r="AX6" s="105">
        <v>24.521045438767299</v>
      </c>
      <c r="AY6" s="105">
        <v>0.77643600487059306</v>
      </c>
      <c r="AZ6" s="105">
        <v>5.1043241973167399</v>
      </c>
      <c r="BA6" s="105">
        <v>8.2290382147639605</v>
      </c>
      <c r="BB6" s="105">
        <v>1.9471677473957101</v>
      </c>
      <c r="BC6" s="105">
        <v>13.5947548076171</v>
      </c>
      <c r="BD6" s="105">
        <v>0.120790919733927</v>
      </c>
      <c r="BE6" s="105">
        <v>0.20164959141796199</v>
      </c>
      <c r="BF6" s="105">
        <v>9.0296511033505293</v>
      </c>
      <c r="BG6" s="105">
        <v>8.0307834806766704E-2</v>
      </c>
      <c r="BH6" s="105">
        <v>57.497405632753903</v>
      </c>
      <c r="BI6" s="105">
        <v>2.7379923585340502</v>
      </c>
      <c r="BJ6" s="105">
        <v>0.25688563971216599</v>
      </c>
      <c r="BK6" s="105">
        <v>18.170858479379799</v>
      </c>
      <c r="BL6" s="105">
        <v>0.163655020680499</v>
      </c>
      <c r="BM6" s="105">
        <v>0.89916665909487503</v>
      </c>
      <c r="BN6" s="105">
        <v>0.55834767032008703</v>
      </c>
      <c r="BO6" s="105">
        <v>0</v>
      </c>
    </row>
    <row r="7" spans="1:67" x14ac:dyDescent="0.2">
      <c r="A7" s="105">
        <v>2.1655422418666301</v>
      </c>
      <c r="B7" s="105">
        <v>0.90008043921423098</v>
      </c>
      <c r="C7" s="105">
        <v>3.2068864511072298E-2</v>
      </c>
      <c r="D7" s="105">
        <v>4.10610859596863E-2</v>
      </c>
      <c r="E7" s="105">
        <v>84.367646188284894</v>
      </c>
      <c r="F7" s="105">
        <v>45.8800889036686</v>
      </c>
      <c r="G7" s="105">
        <v>1118.64708498031</v>
      </c>
      <c r="H7" s="105">
        <v>6.0059433463412999</v>
      </c>
      <c r="I7" s="105">
        <v>0.107547833644396</v>
      </c>
      <c r="J7" s="105">
        <v>10.7394156411659</v>
      </c>
      <c r="K7" s="105">
        <v>1.06159456750758</v>
      </c>
      <c r="L7" s="105">
        <v>1.03097301433446E-2</v>
      </c>
      <c r="M7" s="105">
        <v>5.1172838628204501E-2</v>
      </c>
      <c r="N7" s="105">
        <v>3.3658592086460798E-2</v>
      </c>
      <c r="O7" s="105">
        <v>4.4480464940693298E-2</v>
      </c>
      <c r="P7" s="105">
        <v>2.2742833968818099E-2</v>
      </c>
      <c r="Q7" s="105">
        <v>6.0892226380000398</v>
      </c>
      <c r="R7" s="105">
        <v>4.4153165361436004</v>
      </c>
      <c r="S7" s="105">
        <v>1.90450031570388E-2</v>
      </c>
      <c r="T7" s="105">
        <v>1.5104693700788201E-2</v>
      </c>
      <c r="U7" s="105">
        <v>5.8977151101645298</v>
      </c>
      <c r="V7" s="105">
        <v>4.1912475531456401</v>
      </c>
      <c r="W7" s="105">
        <v>0.348202287457824</v>
      </c>
      <c r="X7" s="105">
        <v>0.34250801686925397</v>
      </c>
      <c r="Y7" s="105">
        <v>2.2227501197522299</v>
      </c>
      <c r="Z7" s="105">
        <v>76.716171188059405</v>
      </c>
      <c r="AA7" s="105">
        <v>3239.7422969716599</v>
      </c>
      <c r="AB7" s="105">
        <v>6179.2444401498597</v>
      </c>
      <c r="AC7" s="105">
        <v>46.301518207281099</v>
      </c>
      <c r="AD7" s="105">
        <v>2.5968498798476198</v>
      </c>
      <c r="AE7" s="105">
        <v>107.188202764894</v>
      </c>
      <c r="AF7" s="105">
        <v>18.783824944751299</v>
      </c>
      <c r="AG7" s="105">
        <v>12.5989115524404</v>
      </c>
      <c r="AH7" s="105">
        <v>63.086284579214698</v>
      </c>
      <c r="AI7" s="105">
        <v>13.3107957286065</v>
      </c>
      <c r="AJ7" s="105">
        <v>40.446999615956699</v>
      </c>
      <c r="AK7" s="105">
        <v>5.9567096791316203</v>
      </c>
      <c r="AL7" s="105">
        <v>0.313792272410438</v>
      </c>
      <c r="AM7" s="105">
        <v>1.72876546749386</v>
      </c>
      <c r="AN7" s="105">
        <v>35.099867228875603</v>
      </c>
      <c r="AO7" s="105">
        <v>0.72400193651936395</v>
      </c>
      <c r="AP7" s="105">
        <v>0.38967242619010001</v>
      </c>
      <c r="AQ7" s="105">
        <v>3.1921229478085698E-3</v>
      </c>
      <c r="AR7" s="105">
        <v>1.6544119516223601E-3</v>
      </c>
      <c r="AS7" s="105">
        <v>7.86161964466227E-3</v>
      </c>
      <c r="AT7" s="105">
        <v>9.4119893150290998E-2</v>
      </c>
      <c r="AU7" s="105">
        <v>0.37689695967718201</v>
      </c>
      <c r="AV7" s="105">
        <v>5.3356850521186E-3</v>
      </c>
      <c r="AW7" s="105">
        <v>3.91841649526349E-3</v>
      </c>
      <c r="AX7" s="105">
        <v>2.5889595427732601E-2</v>
      </c>
      <c r="AY7" s="105">
        <v>4.7137502561013997E-2</v>
      </c>
      <c r="AZ7" s="105">
        <v>1.1482986812797901E-2</v>
      </c>
      <c r="BA7" s="105">
        <v>0.67079816057501396</v>
      </c>
      <c r="BB7" s="105">
        <v>9.1292269030363703E-3</v>
      </c>
      <c r="BC7" s="105">
        <v>1.18743686990659</v>
      </c>
      <c r="BD7" s="105">
        <v>2.20131337858183E-2</v>
      </c>
      <c r="BE7" s="105">
        <v>1.67371530192321E-2</v>
      </c>
      <c r="BF7" s="105">
        <v>6.7187298054005903E-2</v>
      </c>
      <c r="BG7" s="105">
        <v>1.99097116765958E-3</v>
      </c>
      <c r="BH7" s="105">
        <v>0.27972888212043501</v>
      </c>
      <c r="BI7" s="105">
        <v>0.10290386351467901</v>
      </c>
      <c r="BJ7" s="105">
        <v>6.3217129921737201E-3</v>
      </c>
      <c r="BK7" s="105">
        <v>0.20327233843435299</v>
      </c>
      <c r="BL7" s="105">
        <v>0.20872473677654099</v>
      </c>
      <c r="BM7" s="105">
        <v>2.4562729382856699E-3</v>
      </c>
      <c r="BN7" s="105">
        <v>8.4460186539612903E-2</v>
      </c>
      <c r="BO7" s="105">
        <v>0</v>
      </c>
    </row>
    <row r="8" spans="1:67" x14ac:dyDescent="0.2">
      <c r="A8" s="105">
        <v>136.21375523001799</v>
      </c>
      <c r="B8" s="105">
        <v>3742.77468826325</v>
      </c>
      <c r="C8" s="105">
        <v>43.042407294578297</v>
      </c>
      <c r="D8" s="105">
        <v>13.343761922094</v>
      </c>
      <c r="E8" s="105">
        <v>26.276405429518501</v>
      </c>
      <c r="F8" s="105">
        <v>29.104733110604901</v>
      </c>
      <c r="G8" s="105">
        <v>3.9926175717027999</v>
      </c>
      <c r="H8" s="105">
        <v>49307.518704542301</v>
      </c>
      <c r="I8" s="105">
        <v>4.28689668977559</v>
      </c>
      <c r="J8" s="105">
        <v>5384.7847931992201</v>
      </c>
      <c r="K8" s="105">
        <v>87.335646679890104</v>
      </c>
      <c r="L8" s="105">
        <v>2.6322089790173702</v>
      </c>
      <c r="M8" s="105">
        <v>16.246748673128099</v>
      </c>
      <c r="N8" s="105">
        <v>16.040822286281699</v>
      </c>
      <c r="O8" s="105">
        <v>2163.3048754833198</v>
      </c>
      <c r="P8" s="105">
        <v>13.4451833427906</v>
      </c>
      <c r="Q8" s="105">
        <v>44.594234002054002</v>
      </c>
      <c r="R8" s="105">
        <v>4.5450932659173304</v>
      </c>
      <c r="S8" s="105">
        <v>12.2530282776661</v>
      </c>
      <c r="T8" s="105">
        <v>1651.9569492815299</v>
      </c>
      <c r="U8" s="105">
        <v>120.038821146769</v>
      </c>
      <c r="V8" s="105">
        <v>104.023581752605</v>
      </c>
      <c r="W8" s="105">
        <v>4300.0108140374496</v>
      </c>
      <c r="X8" s="105">
        <v>23.9060516377223</v>
      </c>
      <c r="Y8" s="105">
        <v>45.150496579699798</v>
      </c>
      <c r="Z8" s="105">
        <v>22.565238306347101</v>
      </c>
      <c r="AA8" s="105">
        <v>43.104933487260098</v>
      </c>
      <c r="AB8" s="105">
        <v>24.759095414395301</v>
      </c>
      <c r="AC8" s="105">
        <v>154.374623245501</v>
      </c>
      <c r="AD8" s="105">
        <v>21.867359433616102</v>
      </c>
      <c r="AE8" s="105">
        <v>33.293451432141403</v>
      </c>
      <c r="AF8" s="105">
        <v>60.797839601194099</v>
      </c>
      <c r="AG8" s="105">
        <v>46.120427625112598</v>
      </c>
      <c r="AH8" s="105">
        <v>26.347679553034698</v>
      </c>
      <c r="AI8" s="105">
        <v>7.3882532274127097</v>
      </c>
      <c r="AJ8" s="105">
        <v>25.703959489304701</v>
      </c>
      <c r="AK8" s="105">
        <v>21.3064849225308</v>
      </c>
      <c r="AL8" s="105">
        <v>11.932753546652799</v>
      </c>
      <c r="AM8" s="105">
        <v>8.0272316788634708</v>
      </c>
      <c r="AN8" s="105">
        <v>91.941221670642307</v>
      </c>
      <c r="AO8" s="105">
        <v>840.88235046934096</v>
      </c>
      <c r="AP8" s="105">
        <v>50.824006657108598</v>
      </c>
      <c r="AQ8" s="105">
        <v>1.18061230774513</v>
      </c>
      <c r="AR8" s="105">
        <v>1.1425436444099599</v>
      </c>
      <c r="AS8" s="105">
        <v>9.7052380521469193</v>
      </c>
      <c r="AT8" s="105">
        <v>770.44717175160702</v>
      </c>
      <c r="AU8" s="105">
        <v>27183.738387809601</v>
      </c>
      <c r="AV8" s="105">
        <v>2.6103824231429802</v>
      </c>
      <c r="AW8" s="105">
        <v>2.5734042735451799</v>
      </c>
      <c r="AX8" s="105">
        <v>10.1911935274325</v>
      </c>
      <c r="AY8" s="105">
        <v>10.6202597884024</v>
      </c>
      <c r="AZ8" s="105">
        <v>13.1678438375809</v>
      </c>
      <c r="BA8" s="105">
        <v>5.76447675791088</v>
      </c>
      <c r="BB8" s="105">
        <v>12.429631332684201</v>
      </c>
      <c r="BC8" s="105">
        <v>10.525853423686</v>
      </c>
      <c r="BD8" s="105">
        <v>14.839883919116099</v>
      </c>
      <c r="BE8" s="105">
        <v>5.8961914483371203</v>
      </c>
      <c r="BF8" s="105">
        <v>15.5353673254819</v>
      </c>
      <c r="BG8" s="105">
        <v>1.5355255665276299</v>
      </c>
      <c r="BH8" s="105">
        <v>4104.94413559435</v>
      </c>
      <c r="BI8" s="105">
        <v>2006.43230167407</v>
      </c>
      <c r="BJ8" s="105">
        <v>403.54655175804402</v>
      </c>
      <c r="BK8" s="105">
        <v>2722.3546534099901</v>
      </c>
      <c r="BL8" s="105">
        <v>1170.9640349107499</v>
      </c>
      <c r="BM8" s="105">
        <v>13.324955507233399</v>
      </c>
      <c r="BN8" s="105">
        <v>330.03943269982801</v>
      </c>
      <c r="BO8" s="105">
        <v>0</v>
      </c>
    </row>
    <row r="9" spans="1:67" x14ac:dyDescent="0.2">
      <c r="A9" s="105">
        <v>90.728566462823096</v>
      </c>
      <c r="B9" s="105">
        <v>140.50226200149899</v>
      </c>
      <c r="C9" s="105">
        <v>5.4568608019941696</v>
      </c>
      <c r="D9" s="105">
        <v>3.17338912553303</v>
      </c>
      <c r="E9" s="105">
        <v>444.37559245409102</v>
      </c>
      <c r="F9" s="105">
        <v>29.612264164528099</v>
      </c>
      <c r="G9" s="105">
        <v>4.2537674319234098</v>
      </c>
      <c r="H9" s="105">
        <v>539.34238245013205</v>
      </c>
      <c r="I9" s="105">
        <v>2290.18059620855</v>
      </c>
      <c r="J9" s="105">
        <v>5421.2738494523901</v>
      </c>
      <c r="K9" s="105">
        <v>1269.66395233359</v>
      </c>
      <c r="L9" s="105">
        <v>0.59231108313517999</v>
      </c>
      <c r="M9" s="105">
        <v>3.15062045085687</v>
      </c>
      <c r="N9" s="105">
        <v>3.5323977306539098</v>
      </c>
      <c r="O9" s="105">
        <v>1.9130325541808</v>
      </c>
      <c r="P9" s="105">
        <v>55.472190895894599</v>
      </c>
      <c r="Q9" s="105">
        <v>12.798776139962801</v>
      </c>
      <c r="R9" s="105">
        <v>0.77068981742196596</v>
      </c>
      <c r="S9" s="105">
        <v>15960.3573003365</v>
      </c>
      <c r="T9" s="105">
        <v>2092.1555779959499</v>
      </c>
      <c r="U9" s="105">
        <v>221.80144020781799</v>
      </c>
      <c r="V9" s="105">
        <v>760.26757051222398</v>
      </c>
      <c r="W9" s="105">
        <v>1008.04218609467</v>
      </c>
      <c r="X9" s="105">
        <v>469.906680709098</v>
      </c>
      <c r="Y9" s="105">
        <v>7.1123185527573796</v>
      </c>
      <c r="Z9" s="105">
        <v>5.4721386446992497</v>
      </c>
      <c r="AA9" s="105">
        <v>8.4230471812349492</v>
      </c>
      <c r="AB9" s="105">
        <v>5.3009612508035602</v>
      </c>
      <c r="AC9" s="105">
        <v>30.393969702761002</v>
      </c>
      <c r="AD9" s="105">
        <v>4.7139805300563502</v>
      </c>
      <c r="AE9" s="105">
        <v>10.074713093561201</v>
      </c>
      <c r="AF9" s="105">
        <v>77.560745255235403</v>
      </c>
      <c r="AG9" s="105">
        <v>23.212165295671198</v>
      </c>
      <c r="AH9" s="105">
        <v>6.57951290397975</v>
      </c>
      <c r="AI9" s="105">
        <v>2.8624135615113602</v>
      </c>
      <c r="AJ9" s="105">
        <v>6.9335698944911002</v>
      </c>
      <c r="AK9" s="105">
        <v>31.720874527337301</v>
      </c>
      <c r="AL9" s="105">
        <v>8.7337847325448195</v>
      </c>
      <c r="AM9" s="105">
        <v>37.711323672140999</v>
      </c>
      <c r="AN9" s="105">
        <v>275.17902670563399</v>
      </c>
      <c r="AO9" s="105">
        <v>848.72802466783003</v>
      </c>
      <c r="AP9" s="105">
        <v>506.356644216174</v>
      </c>
      <c r="AQ9" s="105">
        <v>9.6730084228679605</v>
      </c>
      <c r="AR9" s="105">
        <v>16.807292827315401</v>
      </c>
      <c r="AS9" s="105">
        <v>55.676506802543301</v>
      </c>
      <c r="AT9" s="105">
        <v>18.972679039311</v>
      </c>
      <c r="AU9" s="105">
        <v>1053.2816740830301</v>
      </c>
      <c r="AV9" s="105">
        <v>6.3573845511428502</v>
      </c>
      <c r="AW9" s="105">
        <v>12.0642676052105</v>
      </c>
      <c r="AX9" s="105">
        <v>28.282193051654701</v>
      </c>
      <c r="AY9" s="105">
        <v>48.622071020355101</v>
      </c>
      <c r="AZ9" s="105">
        <v>81.947023940473997</v>
      </c>
      <c r="BA9" s="105">
        <v>24.108708895514901</v>
      </c>
      <c r="BB9" s="105">
        <v>91.360629235727004</v>
      </c>
      <c r="BC9" s="105">
        <v>112.11500100277</v>
      </c>
      <c r="BD9" s="105">
        <v>40.765185510909802</v>
      </c>
      <c r="BE9" s="105">
        <v>105.102526356673</v>
      </c>
      <c r="BF9" s="105">
        <v>130.35173945328299</v>
      </c>
      <c r="BG9" s="105">
        <v>51.440529103885098</v>
      </c>
      <c r="BH9" s="105">
        <v>470.73815239312398</v>
      </c>
      <c r="BI9" s="105">
        <v>116.796205159519</v>
      </c>
      <c r="BJ9" s="105">
        <v>20.075405164243701</v>
      </c>
      <c r="BK9" s="105">
        <v>127.427241486911</v>
      </c>
      <c r="BL9" s="105">
        <v>82.845464574172794</v>
      </c>
      <c r="BM9" s="105">
        <v>27.021800396058001</v>
      </c>
      <c r="BN9" s="105">
        <v>118.46907421114101</v>
      </c>
      <c r="BO9" s="105">
        <v>0</v>
      </c>
    </row>
    <row r="10" spans="1:67" x14ac:dyDescent="0.2">
      <c r="A10" s="105">
        <v>3807.86453487265</v>
      </c>
      <c r="B10" s="105">
        <v>25100.827251319999</v>
      </c>
      <c r="C10" s="105">
        <v>1866.09985047135</v>
      </c>
      <c r="D10" s="105">
        <v>239.28198535270499</v>
      </c>
      <c r="E10" s="105">
        <v>336.80538097958299</v>
      </c>
      <c r="F10" s="105">
        <v>171.206552680134</v>
      </c>
      <c r="G10" s="105">
        <v>27.248698328100598</v>
      </c>
      <c r="H10" s="105">
        <v>50391.391140552398</v>
      </c>
      <c r="I10" s="105">
        <v>70.350487458022997</v>
      </c>
      <c r="J10" s="105">
        <v>53685.329488048097</v>
      </c>
      <c r="K10" s="105">
        <v>3898.3970722170102</v>
      </c>
      <c r="L10" s="105">
        <v>10.629716900356</v>
      </c>
      <c r="M10" s="105">
        <v>77.471686487973102</v>
      </c>
      <c r="N10" s="105">
        <v>67.575224314468201</v>
      </c>
      <c r="O10" s="105">
        <v>61.306272724480003</v>
      </c>
      <c r="P10" s="105">
        <v>124.122291948618</v>
      </c>
      <c r="Q10" s="105">
        <v>1584.3167989543699</v>
      </c>
      <c r="R10" s="105">
        <v>31.563224522245498</v>
      </c>
      <c r="S10" s="105">
        <v>5745.3707676595805</v>
      </c>
      <c r="T10" s="105">
        <v>9950.4344761661596</v>
      </c>
      <c r="U10" s="105">
        <v>1063.6459475660499</v>
      </c>
      <c r="V10" s="105">
        <v>1595.8580335818299</v>
      </c>
      <c r="W10" s="105">
        <v>1765.3907495963399</v>
      </c>
      <c r="X10" s="105">
        <v>327.196879224133</v>
      </c>
      <c r="Y10" s="105">
        <v>283.15825048632797</v>
      </c>
      <c r="Z10" s="105">
        <v>166.57773194798199</v>
      </c>
      <c r="AA10" s="105">
        <v>235.08282519267601</v>
      </c>
      <c r="AB10" s="105">
        <v>102.881650875094</v>
      </c>
      <c r="AC10" s="105">
        <v>269.44886558432199</v>
      </c>
      <c r="AD10" s="105">
        <v>83.8418006080597</v>
      </c>
      <c r="AE10" s="105">
        <v>146.75011831341499</v>
      </c>
      <c r="AF10" s="105">
        <v>285.84438090066101</v>
      </c>
      <c r="AG10" s="105">
        <v>200.27273223204699</v>
      </c>
      <c r="AH10" s="105">
        <v>132.325216527685</v>
      </c>
      <c r="AI10" s="105">
        <v>32.595006609175499</v>
      </c>
      <c r="AJ10" s="105">
        <v>135.450996287549</v>
      </c>
      <c r="AK10" s="105">
        <v>106.398378755008</v>
      </c>
      <c r="AL10" s="105">
        <v>49.407444141535599</v>
      </c>
      <c r="AM10" s="105">
        <v>65.968274304869396</v>
      </c>
      <c r="AN10" s="105">
        <v>556.52504618521198</v>
      </c>
      <c r="AO10" s="105">
        <v>6793.17728699079</v>
      </c>
      <c r="AP10" s="105">
        <v>372.14949363803902</v>
      </c>
      <c r="AQ10" s="105">
        <v>8.2242143717694098</v>
      </c>
      <c r="AR10" s="105">
        <v>37.073183971032798</v>
      </c>
      <c r="AS10" s="105">
        <v>77.409483611238599</v>
      </c>
      <c r="AT10" s="105">
        <v>342.96535061650201</v>
      </c>
      <c r="AU10" s="105">
        <v>15847.239415460101</v>
      </c>
      <c r="AV10" s="105">
        <v>12.2002244669454</v>
      </c>
      <c r="AW10" s="105">
        <v>13.858754216446201</v>
      </c>
      <c r="AX10" s="105">
        <v>56.956867342861699</v>
      </c>
      <c r="AY10" s="105">
        <v>54.102776261884401</v>
      </c>
      <c r="AZ10" s="105">
        <v>219.11292462031</v>
      </c>
      <c r="BA10" s="105">
        <v>47.112002572812699</v>
      </c>
      <c r="BB10" s="105">
        <v>108.12530254172</v>
      </c>
      <c r="BC10" s="105">
        <v>73.234056577510302</v>
      </c>
      <c r="BD10" s="105">
        <v>137.41366504378499</v>
      </c>
      <c r="BE10" s="105">
        <v>61.5230432453126</v>
      </c>
      <c r="BF10" s="105">
        <v>112.087459708694</v>
      </c>
      <c r="BG10" s="105">
        <v>23.913333554439198</v>
      </c>
      <c r="BH10" s="105">
        <v>2669.6795663046801</v>
      </c>
      <c r="BI10" s="105">
        <v>1670.2387081720599</v>
      </c>
      <c r="BJ10" s="105">
        <v>257.733145958992</v>
      </c>
      <c r="BK10" s="105">
        <v>3356.80534363277</v>
      </c>
      <c r="BL10" s="105">
        <v>944.668925389577</v>
      </c>
      <c r="BM10" s="105">
        <v>72.327303511804601</v>
      </c>
      <c r="BN10" s="105">
        <v>1149.23983719181</v>
      </c>
      <c r="BO10" s="105">
        <v>0</v>
      </c>
    </row>
    <row r="11" spans="1:67" x14ac:dyDescent="0.2">
      <c r="A11" s="105">
        <v>85.531334227882297</v>
      </c>
      <c r="B11" s="105">
        <v>41.633263281505499</v>
      </c>
      <c r="C11" s="105">
        <v>3.1642291851794599</v>
      </c>
      <c r="D11" s="105">
        <v>20.500361716954899</v>
      </c>
      <c r="E11" s="105">
        <v>39.744404383562603</v>
      </c>
      <c r="F11" s="105">
        <v>42.582992823677003</v>
      </c>
      <c r="G11" s="105">
        <v>6.0942844533414204</v>
      </c>
      <c r="H11" s="105">
        <v>665.187442126875</v>
      </c>
      <c r="I11" s="105">
        <v>6.8436188016376898</v>
      </c>
      <c r="J11" s="105">
        <v>182.94739349941699</v>
      </c>
      <c r="K11" s="105">
        <v>11254.4624045687</v>
      </c>
      <c r="L11" s="105">
        <v>3.1672466928577001</v>
      </c>
      <c r="M11" s="105">
        <v>18.8092792061003</v>
      </c>
      <c r="N11" s="105">
        <v>19.882879541828402</v>
      </c>
      <c r="O11" s="105">
        <v>11.4733470841665</v>
      </c>
      <c r="P11" s="105">
        <v>19.013763860791101</v>
      </c>
      <c r="Q11" s="105">
        <v>41.117011252363703</v>
      </c>
      <c r="R11" s="105">
        <v>6.1558923970118702</v>
      </c>
      <c r="S11" s="105">
        <v>62.088241507450597</v>
      </c>
      <c r="T11" s="105">
        <v>13.383064041026</v>
      </c>
      <c r="U11" s="105">
        <v>56.019072290270401</v>
      </c>
      <c r="V11" s="105">
        <v>57.898282801749303</v>
      </c>
      <c r="W11" s="105">
        <v>27.872454765051401</v>
      </c>
      <c r="X11" s="105">
        <v>23.791516812988899</v>
      </c>
      <c r="Y11" s="105">
        <v>51.282685979908202</v>
      </c>
      <c r="Z11" s="105">
        <v>29.283901309062902</v>
      </c>
      <c r="AA11" s="105">
        <v>58.979819066252801</v>
      </c>
      <c r="AB11" s="105">
        <v>28.1726483775495</v>
      </c>
      <c r="AC11" s="105">
        <v>69.635032677112704</v>
      </c>
      <c r="AD11" s="105">
        <v>28.8696860172554</v>
      </c>
      <c r="AE11" s="105">
        <v>46.056217874102799</v>
      </c>
      <c r="AF11" s="105">
        <v>102.37368856372601</v>
      </c>
      <c r="AG11" s="105">
        <v>64.777377165184603</v>
      </c>
      <c r="AH11" s="105">
        <v>37.209382865588701</v>
      </c>
      <c r="AI11" s="105">
        <v>12.4581442903922</v>
      </c>
      <c r="AJ11" s="105">
        <v>31.260210609220699</v>
      </c>
      <c r="AK11" s="105">
        <v>38.053617371093502</v>
      </c>
      <c r="AL11" s="105">
        <v>20.9747138315835</v>
      </c>
      <c r="AM11" s="105">
        <v>12.6178168819212</v>
      </c>
      <c r="AN11" s="105">
        <v>164.62421937781099</v>
      </c>
      <c r="AO11" s="105">
        <v>431.91083369552001</v>
      </c>
      <c r="AP11" s="105">
        <v>71.529081211413398</v>
      </c>
      <c r="AQ11" s="105">
        <v>2.0217305063525202</v>
      </c>
      <c r="AR11" s="105">
        <v>4.8039405525112597</v>
      </c>
      <c r="AS11" s="105">
        <v>28.5490511690017</v>
      </c>
      <c r="AT11" s="105">
        <v>554.76228513076603</v>
      </c>
      <c r="AU11" s="105">
        <v>28692.8902291099</v>
      </c>
      <c r="AV11" s="105">
        <v>3.8808298010206501</v>
      </c>
      <c r="AW11" s="105">
        <v>5.1784291375158498</v>
      </c>
      <c r="AX11" s="105">
        <v>20.6197199563194</v>
      </c>
      <c r="AY11" s="105">
        <v>24.330830889514999</v>
      </c>
      <c r="AZ11" s="105">
        <v>120.46789802476999</v>
      </c>
      <c r="BA11" s="105">
        <v>15.2544338073292</v>
      </c>
      <c r="BB11" s="105">
        <v>40.164703466211101</v>
      </c>
      <c r="BC11" s="105">
        <v>10.2318441296736</v>
      </c>
      <c r="BD11" s="105">
        <v>22.309773839428999</v>
      </c>
      <c r="BE11" s="105">
        <v>10.8499330076408</v>
      </c>
      <c r="BF11" s="105">
        <v>37.402942608743899</v>
      </c>
      <c r="BG11" s="105">
        <v>3.5596006754887299</v>
      </c>
      <c r="BH11" s="105">
        <v>225.64458276492701</v>
      </c>
      <c r="BI11" s="105">
        <v>126.60630919235599</v>
      </c>
      <c r="BJ11" s="105">
        <v>45.614287704967097</v>
      </c>
      <c r="BK11" s="105">
        <v>184.40784233213199</v>
      </c>
      <c r="BL11" s="105">
        <v>227.62929615270301</v>
      </c>
      <c r="BM11" s="105">
        <v>51.444157403212301</v>
      </c>
      <c r="BN11" s="105">
        <v>41.986084173000499</v>
      </c>
      <c r="BO11" s="105">
        <v>0</v>
      </c>
    </row>
    <row r="12" spans="1:67" x14ac:dyDescent="0.2">
      <c r="A12" s="105">
        <v>11.7039520975637</v>
      </c>
      <c r="B12" s="105">
        <v>2.4525136076042902</v>
      </c>
      <c r="C12" s="105">
        <v>0.18668056389006399</v>
      </c>
      <c r="D12" s="105">
        <v>0.109920149433741</v>
      </c>
      <c r="E12" s="105">
        <v>1.4239831965694301</v>
      </c>
      <c r="F12" s="105">
        <v>2.1427722013135599</v>
      </c>
      <c r="G12" s="105">
        <v>0.19648758780597</v>
      </c>
      <c r="H12" s="105">
        <v>5.2286195592832403</v>
      </c>
      <c r="I12" s="105">
        <v>0.251357197276244</v>
      </c>
      <c r="J12" s="105">
        <v>5.4368853735006999</v>
      </c>
      <c r="K12" s="105">
        <v>0.78670177284518195</v>
      </c>
      <c r="L12" s="105">
        <v>1159.50210273884</v>
      </c>
      <c r="M12" s="105">
        <v>0.91756204441650702</v>
      </c>
      <c r="N12" s="105">
        <v>0.87099422387099901</v>
      </c>
      <c r="O12" s="105">
        <v>0.70247423283339205</v>
      </c>
      <c r="P12" s="105">
        <v>1.0900638948266499</v>
      </c>
      <c r="Q12" s="105">
        <v>5.0446459412167304</v>
      </c>
      <c r="R12" s="105">
        <v>0.59596588963438202</v>
      </c>
      <c r="S12" s="105">
        <v>0.51841262667015398</v>
      </c>
      <c r="T12" s="105">
        <v>0.32784857410560297</v>
      </c>
      <c r="U12" s="105">
        <v>2.21410873323387</v>
      </c>
      <c r="V12" s="105">
        <v>1.08482053730298</v>
      </c>
      <c r="W12" s="105">
        <v>1.2785608100511801</v>
      </c>
      <c r="X12" s="105">
        <v>1.33361856375161</v>
      </c>
      <c r="Y12" s="105">
        <v>2.5177282382828401</v>
      </c>
      <c r="Z12" s="105">
        <v>1.88416413489164</v>
      </c>
      <c r="AA12" s="105">
        <v>1.8374243750047701</v>
      </c>
      <c r="AB12" s="105">
        <v>1.33708194785559</v>
      </c>
      <c r="AC12" s="105">
        <v>1.8654848408622999</v>
      </c>
      <c r="AD12" s="105">
        <v>1.38492259185375</v>
      </c>
      <c r="AE12" s="105">
        <v>1.8178363919582801</v>
      </c>
      <c r="AF12" s="105">
        <v>4.2812198015723597</v>
      </c>
      <c r="AG12" s="105">
        <v>2.5844090178158998</v>
      </c>
      <c r="AH12" s="105">
        <v>1.62533054549971</v>
      </c>
      <c r="AI12" s="105">
        <v>0.35686414759039298</v>
      </c>
      <c r="AJ12" s="105">
        <v>1.35615260649754</v>
      </c>
      <c r="AK12" s="105">
        <v>1.4233622446660701</v>
      </c>
      <c r="AL12" s="105">
        <v>0.55321956503069902</v>
      </c>
      <c r="AM12" s="105">
        <v>0.30567606789455198</v>
      </c>
      <c r="AN12" s="105">
        <v>3.9493840919097498</v>
      </c>
      <c r="AO12" s="105">
        <v>7.9220524020919303</v>
      </c>
      <c r="AP12" s="105">
        <v>2.4933951788157098</v>
      </c>
      <c r="AQ12" s="105">
        <v>8.8823966880911903E-2</v>
      </c>
      <c r="AR12" s="105">
        <v>4.4895927813207601E-2</v>
      </c>
      <c r="AS12" s="105">
        <v>0.43656833172795001</v>
      </c>
      <c r="AT12" s="105">
        <v>0.156894366534996</v>
      </c>
      <c r="AU12" s="105">
        <v>2.2644882616669801</v>
      </c>
      <c r="AV12" s="105">
        <v>0.32267065225046199</v>
      </c>
      <c r="AW12" s="105">
        <v>0.140291265970411</v>
      </c>
      <c r="AX12" s="105">
        <v>0.49103245596066702</v>
      </c>
      <c r="AY12" s="105">
        <v>0.89145594138408901</v>
      </c>
      <c r="AZ12" s="105">
        <v>0.76938341132600396</v>
      </c>
      <c r="BA12" s="105">
        <v>0.27024925301708402</v>
      </c>
      <c r="BB12" s="105">
        <v>0.78671625032665204</v>
      </c>
      <c r="BC12" s="105">
        <v>1.65849441935244</v>
      </c>
      <c r="BD12" s="105">
        <v>0.75862147726298701</v>
      </c>
      <c r="BE12" s="105">
        <v>0.44226984308664402</v>
      </c>
      <c r="BF12" s="105">
        <v>1.4080182258765399</v>
      </c>
      <c r="BG12" s="105">
        <v>6.8941674262092301E-2</v>
      </c>
      <c r="BH12" s="105">
        <v>1.0382069528248901</v>
      </c>
      <c r="BI12" s="105">
        <v>0.67382173206086504</v>
      </c>
      <c r="BJ12" s="105">
        <v>0.45948648421832</v>
      </c>
      <c r="BK12" s="105">
        <v>1.2367028319384401</v>
      </c>
      <c r="BL12" s="105">
        <v>1.8270459134457699</v>
      </c>
      <c r="BM12" s="105">
        <v>0.185226050401568</v>
      </c>
      <c r="BN12" s="105">
        <v>0.679576417156604</v>
      </c>
      <c r="BO12" s="105">
        <v>0</v>
      </c>
    </row>
    <row r="13" spans="1:67" x14ac:dyDescent="0.2">
      <c r="A13" s="105">
        <v>1273.2785841826201</v>
      </c>
      <c r="B13" s="105">
        <v>23.310143913857701</v>
      </c>
      <c r="C13" s="105">
        <v>3.5297109355099301</v>
      </c>
      <c r="D13" s="105">
        <v>268.076590909103</v>
      </c>
      <c r="E13" s="105">
        <v>180.90345846907999</v>
      </c>
      <c r="F13" s="105">
        <v>9.0330783257358807</v>
      </c>
      <c r="G13" s="105">
        <v>9.4954987467283001</v>
      </c>
      <c r="H13" s="105">
        <v>30.0791969406574</v>
      </c>
      <c r="I13" s="105">
        <v>266.38499440493302</v>
      </c>
      <c r="J13" s="105">
        <v>382.30718237221902</v>
      </c>
      <c r="K13" s="105">
        <v>22.991018415577798</v>
      </c>
      <c r="L13" s="105">
        <v>0.90014549808404098</v>
      </c>
      <c r="M13" s="105">
        <v>13880.566868153801</v>
      </c>
      <c r="N13" s="105">
        <v>18964.5753426271</v>
      </c>
      <c r="O13" s="105">
        <v>3475.10299854085</v>
      </c>
      <c r="P13" s="105">
        <v>16.814710224074101</v>
      </c>
      <c r="Q13" s="105">
        <v>221.72449355428199</v>
      </c>
      <c r="R13" s="105">
        <v>5.5542596032279903</v>
      </c>
      <c r="S13" s="105">
        <v>2.4113107830556202</v>
      </c>
      <c r="T13" s="105">
        <v>1.94770329865478</v>
      </c>
      <c r="U13" s="105">
        <v>39.966536480649403</v>
      </c>
      <c r="V13" s="105">
        <v>70.268928786928896</v>
      </c>
      <c r="W13" s="105">
        <v>17.271076378587701</v>
      </c>
      <c r="X13" s="105">
        <v>198.020995725467</v>
      </c>
      <c r="Y13" s="105">
        <v>1049.8415773786301</v>
      </c>
      <c r="Z13" s="105">
        <v>60.773895785397102</v>
      </c>
      <c r="AA13" s="105">
        <v>10.3827785234188</v>
      </c>
      <c r="AB13" s="105">
        <v>11.5930308500732</v>
      </c>
      <c r="AC13" s="105">
        <v>99.813046893185003</v>
      </c>
      <c r="AD13" s="105">
        <v>13.453996077996599</v>
      </c>
      <c r="AE13" s="105">
        <v>68.575008965533499</v>
      </c>
      <c r="AF13" s="105">
        <v>46.056948845743101</v>
      </c>
      <c r="AG13" s="105">
        <v>63.297168412236203</v>
      </c>
      <c r="AH13" s="105">
        <v>1807.00819077447</v>
      </c>
      <c r="AI13" s="105">
        <v>96.473145244768602</v>
      </c>
      <c r="AJ13" s="105">
        <v>1978.38857004019</v>
      </c>
      <c r="AK13" s="105">
        <v>17.5923251708519</v>
      </c>
      <c r="AL13" s="105">
        <v>38.292422782679303</v>
      </c>
      <c r="AM13" s="105">
        <v>25.031870412447098</v>
      </c>
      <c r="AN13" s="105">
        <v>660.31220388757902</v>
      </c>
      <c r="AO13" s="105">
        <v>305.209576642267</v>
      </c>
      <c r="AP13" s="105">
        <v>93.939858449540594</v>
      </c>
      <c r="AQ13" s="105">
        <v>28.349420531915602</v>
      </c>
      <c r="AR13" s="105">
        <v>2.7544304715465899</v>
      </c>
      <c r="AS13" s="105">
        <v>11.804651793526601</v>
      </c>
      <c r="AT13" s="105">
        <v>321.41925800367102</v>
      </c>
      <c r="AU13" s="105">
        <v>223.567105658419</v>
      </c>
      <c r="AV13" s="105">
        <v>1.8003253211272301</v>
      </c>
      <c r="AW13" s="105">
        <v>9.0376726940345407</v>
      </c>
      <c r="AX13" s="105">
        <v>7.7574569400466702</v>
      </c>
      <c r="AY13" s="105">
        <v>8.2417013261284193</v>
      </c>
      <c r="AZ13" s="105">
        <v>16.858348007505199</v>
      </c>
      <c r="BA13" s="105">
        <v>8.0787644630340196</v>
      </c>
      <c r="BB13" s="105">
        <v>16.588074506918801</v>
      </c>
      <c r="BC13" s="105">
        <v>9.7099474083049895</v>
      </c>
      <c r="BD13" s="105">
        <v>10.658537546817</v>
      </c>
      <c r="BE13" s="105">
        <v>6.0812504041675499</v>
      </c>
      <c r="BF13" s="105">
        <v>28.457488764269399</v>
      </c>
      <c r="BG13" s="105">
        <v>2.4528505714845199</v>
      </c>
      <c r="BH13" s="105">
        <v>64.218249480951897</v>
      </c>
      <c r="BI13" s="105">
        <v>65.456516790298494</v>
      </c>
      <c r="BJ13" s="105">
        <v>12.3601475372895</v>
      </c>
      <c r="BK13" s="105">
        <v>77.247827431643003</v>
      </c>
      <c r="BL13" s="105">
        <v>91.510955798468302</v>
      </c>
      <c r="BM13" s="105">
        <v>10.309749646196099</v>
      </c>
      <c r="BN13" s="105">
        <v>879.94783423132105</v>
      </c>
      <c r="BO13" s="105">
        <v>0</v>
      </c>
    </row>
    <row r="14" spans="1:67" x14ac:dyDescent="0.2">
      <c r="A14" s="105">
        <v>26.8719726761997</v>
      </c>
      <c r="B14" s="105">
        <v>5.47246784718409</v>
      </c>
      <c r="C14" s="105">
        <v>21.091504341242601</v>
      </c>
      <c r="D14" s="105">
        <v>6.95786272140076</v>
      </c>
      <c r="E14" s="105">
        <v>205.702889308615</v>
      </c>
      <c r="F14" s="105">
        <v>4.81993665551345</v>
      </c>
      <c r="G14" s="105">
        <v>0.56246797894404399</v>
      </c>
      <c r="H14" s="105">
        <v>24.431526964718099</v>
      </c>
      <c r="I14" s="105">
        <v>4.12583971778208</v>
      </c>
      <c r="J14" s="105">
        <v>30.009618385827299</v>
      </c>
      <c r="K14" s="105">
        <v>2.0406295702249801</v>
      </c>
      <c r="L14" s="105">
        <v>0.59180799620052904</v>
      </c>
      <c r="M14" s="105">
        <v>144.34908173364801</v>
      </c>
      <c r="N14" s="105">
        <v>3326.2262796424902</v>
      </c>
      <c r="O14" s="105">
        <v>120.768414075755</v>
      </c>
      <c r="P14" s="105">
        <v>1.6415491445889101</v>
      </c>
      <c r="Q14" s="105">
        <v>7.8730355443281104</v>
      </c>
      <c r="R14" s="105">
        <v>0.87699600436769498</v>
      </c>
      <c r="S14" s="105">
        <v>1.2114278762524799</v>
      </c>
      <c r="T14" s="105">
        <v>0.86203240863155295</v>
      </c>
      <c r="U14" s="105">
        <v>5.1294111009337602</v>
      </c>
      <c r="V14" s="105">
        <v>20.399915087222499</v>
      </c>
      <c r="W14" s="105">
        <v>2.1106572547281299</v>
      </c>
      <c r="X14" s="105">
        <v>3.2492907626847001</v>
      </c>
      <c r="Y14" s="105">
        <v>12.259838575655101</v>
      </c>
      <c r="Z14" s="105">
        <v>34.122715528509403</v>
      </c>
      <c r="AA14" s="105">
        <v>16.2281952158271</v>
      </c>
      <c r="AB14" s="105">
        <v>2.6565524828906399</v>
      </c>
      <c r="AC14" s="105">
        <v>98.228445665863006</v>
      </c>
      <c r="AD14" s="105">
        <v>2.8498493837899601</v>
      </c>
      <c r="AE14" s="105">
        <v>5.9437149867334202</v>
      </c>
      <c r="AF14" s="105">
        <v>14.0678560501195</v>
      </c>
      <c r="AG14" s="105">
        <v>8.4137028484874108</v>
      </c>
      <c r="AH14" s="105">
        <v>58.141503316246002</v>
      </c>
      <c r="AI14" s="105">
        <v>2.5787627222899299</v>
      </c>
      <c r="AJ14" s="105">
        <v>51.843436995067499</v>
      </c>
      <c r="AK14" s="105">
        <v>4.9413718727918798</v>
      </c>
      <c r="AL14" s="105">
        <v>136.731325515279</v>
      </c>
      <c r="AM14" s="105">
        <v>235.29045230080601</v>
      </c>
      <c r="AN14" s="105">
        <v>64.971310262320898</v>
      </c>
      <c r="AO14" s="105">
        <v>650.42853404753396</v>
      </c>
      <c r="AP14" s="105">
        <v>349.52904684660598</v>
      </c>
      <c r="AQ14" s="105">
        <v>16.832114067618299</v>
      </c>
      <c r="AR14" s="105">
        <v>175.03196338072601</v>
      </c>
      <c r="AS14" s="105">
        <v>204.39189925060299</v>
      </c>
      <c r="AT14" s="105">
        <v>140.578679470352</v>
      </c>
      <c r="AU14" s="105">
        <v>298.28676723224999</v>
      </c>
      <c r="AV14" s="105">
        <v>0.51756231877625902</v>
      </c>
      <c r="AW14" s="105">
        <v>186.903404428854</v>
      </c>
      <c r="AX14" s="105">
        <v>50.455386887546297</v>
      </c>
      <c r="AY14" s="105">
        <v>3.0073358650731898</v>
      </c>
      <c r="AZ14" s="105">
        <v>658.51648164076596</v>
      </c>
      <c r="BA14" s="105">
        <v>42.683578600752803</v>
      </c>
      <c r="BB14" s="105">
        <v>14.698561994338201</v>
      </c>
      <c r="BC14" s="105">
        <v>248.227662888948</v>
      </c>
      <c r="BD14" s="105">
        <v>66.877143130583093</v>
      </c>
      <c r="BE14" s="105">
        <v>3.1384021749912798</v>
      </c>
      <c r="BF14" s="105">
        <v>222.02862539973401</v>
      </c>
      <c r="BG14" s="105">
        <v>316.15192201613303</v>
      </c>
      <c r="BH14" s="105">
        <v>1180.1022592073</v>
      </c>
      <c r="BI14" s="105">
        <v>958.56128822965798</v>
      </c>
      <c r="BJ14" s="105">
        <v>3.4079945710595099</v>
      </c>
      <c r="BK14" s="105">
        <v>167.029039604643</v>
      </c>
      <c r="BL14" s="105">
        <v>102.85120623574601</v>
      </c>
      <c r="BM14" s="105">
        <v>168.62330106980201</v>
      </c>
      <c r="BN14" s="105">
        <v>1337.5709532178901</v>
      </c>
      <c r="BO14" s="105">
        <v>0</v>
      </c>
    </row>
    <row r="15" spans="1:67" x14ac:dyDescent="0.2">
      <c r="A15" s="105">
        <v>9.4932498990857503</v>
      </c>
      <c r="B15" s="105">
        <v>7.8045641379328998</v>
      </c>
      <c r="C15" s="105">
        <v>0.32350901652032499</v>
      </c>
      <c r="D15" s="105">
        <v>1.8519847137352199</v>
      </c>
      <c r="E15" s="105">
        <v>12.241605025227599</v>
      </c>
      <c r="F15" s="105">
        <v>5.4308374943832503</v>
      </c>
      <c r="G15" s="105">
        <v>0.40882461423118399</v>
      </c>
      <c r="H15" s="105">
        <v>31.967874493508301</v>
      </c>
      <c r="I15" s="105">
        <v>1.2417828413698599</v>
      </c>
      <c r="J15" s="105">
        <v>42.215100306241702</v>
      </c>
      <c r="K15" s="105">
        <v>7.4826975240459603</v>
      </c>
      <c r="L15" s="105">
        <v>1.17527581224105</v>
      </c>
      <c r="M15" s="105">
        <v>10.424457341331699</v>
      </c>
      <c r="N15" s="105">
        <v>10.5463537601787</v>
      </c>
      <c r="O15" s="105">
        <v>8655.4501963695402</v>
      </c>
      <c r="P15" s="105">
        <v>2.3619160812680402</v>
      </c>
      <c r="Q15" s="105">
        <v>76.726293882084903</v>
      </c>
      <c r="R15" s="105">
        <v>1.84113938929767</v>
      </c>
      <c r="S15" s="105">
        <v>1.1473631189686599</v>
      </c>
      <c r="T15" s="105">
        <v>3.3885999206792299</v>
      </c>
      <c r="U15" s="105">
        <v>8.7592868488418691</v>
      </c>
      <c r="V15" s="105">
        <v>8.6790221437367094</v>
      </c>
      <c r="W15" s="105">
        <v>10.042129168993901</v>
      </c>
      <c r="X15" s="105">
        <v>3.7620437739440198</v>
      </c>
      <c r="Y15" s="105">
        <v>34.653571016667897</v>
      </c>
      <c r="Z15" s="105">
        <v>6.3437377814767002</v>
      </c>
      <c r="AA15" s="105">
        <v>3.9587502817729199</v>
      </c>
      <c r="AB15" s="105">
        <v>2.6302819144898399</v>
      </c>
      <c r="AC15" s="105">
        <v>56.063713656687398</v>
      </c>
      <c r="AD15" s="105">
        <v>3.45668587827454</v>
      </c>
      <c r="AE15" s="105">
        <v>7.2983658647167999</v>
      </c>
      <c r="AF15" s="105">
        <v>9.52265283779996</v>
      </c>
      <c r="AG15" s="105">
        <v>67.179368490054998</v>
      </c>
      <c r="AH15" s="105">
        <v>31.912210638021499</v>
      </c>
      <c r="AI15" s="105">
        <v>1.7021560051787299</v>
      </c>
      <c r="AJ15" s="105">
        <v>49.224928093972501</v>
      </c>
      <c r="AK15" s="105">
        <v>3.60655195344403</v>
      </c>
      <c r="AL15" s="105">
        <v>130.66079033882701</v>
      </c>
      <c r="AM15" s="105">
        <v>2.5630613327340099</v>
      </c>
      <c r="AN15" s="105">
        <v>52.9478755674822</v>
      </c>
      <c r="AO15" s="105">
        <v>51.564322060287701</v>
      </c>
      <c r="AP15" s="105">
        <v>25.645143912289399</v>
      </c>
      <c r="AQ15" s="105">
        <v>0.24058309673734601</v>
      </c>
      <c r="AR15" s="105">
        <v>1.0578504878660899</v>
      </c>
      <c r="AS15" s="105">
        <v>1.45242050042486</v>
      </c>
      <c r="AT15" s="105">
        <v>2.6795445992665901</v>
      </c>
      <c r="AU15" s="105">
        <v>27.540842772045799</v>
      </c>
      <c r="AV15" s="105">
        <v>0.52909192699603202</v>
      </c>
      <c r="AW15" s="105">
        <v>36.585061399572901</v>
      </c>
      <c r="AX15" s="105">
        <v>1.3321950125597699</v>
      </c>
      <c r="AY15" s="105">
        <v>4.7175977706594399</v>
      </c>
      <c r="AZ15" s="105">
        <v>3.1158998122516</v>
      </c>
      <c r="BA15" s="105">
        <v>0.85850582292952404</v>
      </c>
      <c r="BB15" s="105">
        <v>1.6301681673975601</v>
      </c>
      <c r="BC15" s="105">
        <v>7.24646492072677</v>
      </c>
      <c r="BD15" s="105">
        <v>2.5028989014472001</v>
      </c>
      <c r="BE15" s="105">
        <v>1.40202609386218</v>
      </c>
      <c r="BF15" s="105">
        <v>9.3767865943617608</v>
      </c>
      <c r="BG15" s="105">
        <v>74.556835657641201</v>
      </c>
      <c r="BH15" s="105">
        <v>23.169575676351499</v>
      </c>
      <c r="BI15" s="105">
        <v>6.9002760387275996</v>
      </c>
      <c r="BJ15" s="105">
        <v>1.0204413664846801</v>
      </c>
      <c r="BK15" s="105">
        <v>7.9318501411988596</v>
      </c>
      <c r="BL15" s="105">
        <v>9.9610304974667692</v>
      </c>
      <c r="BM15" s="105">
        <v>1.01269125846505</v>
      </c>
      <c r="BN15" s="105">
        <v>6.3000510700027199</v>
      </c>
      <c r="BO15" s="105">
        <v>0</v>
      </c>
    </row>
    <row r="16" spans="1:67" x14ac:dyDescent="0.2">
      <c r="A16" s="105">
        <v>752.63803752859599</v>
      </c>
      <c r="B16" s="105">
        <v>513.80168710956002</v>
      </c>
      <c r="C16" s="105">
        <v>34.237896046099301</v>
      </c>
      <c r="D16" s="105">
        <v>5.5495533745309498</v>
      </c>
      <c r="E16" s="105">
        <v>10.678702087858101</v>
      </c>
      <c r="F16" s="105">
        <v>5.7270888631988903</v>
      </c>
      <c r="G16" s="105">
        <v>0.82007478502396403</v>
      </c>
      <c r="H16" s="105">
        <v>61.435240736907303</v>
      </c>
      <c r="I16" s="105">
        <v>1.8823948332841201</v>
      </c>
      <c r="J16" s="105">
        <v>395.14390463063398</v>
      </c>
      <c r="K16" s="105">
        <v>158.58344187723401</v>
      </c>
      <c r="L16" s="105">
        <v>0.31722296036812903</v>
      </c>
      <c r="M16" s="105">
        <v>31.852960550624498</v>
      </c>
      <c r="N16" s="105">
        <v>3.0304081118900199</v>
      </c>
      <c r="O16" s="105">
        <v>1.01276100896017</v>
      </c>
      <c r="P16" s="105">
        <v>8205.2200732457895</v>
      </c>
      <c r="Q16" s="105">
        <v>1156.5564315187901</v>
      </c>
      <c r="R16" s="105">
        <v>0.80312045278320698</v>
      </c>
      <c r="S16" s="105">
        <v>2.5295459231291901</v>
      </c>
      <c r="T16" s="105">
        <v>2.3929764459065002</v>
      </c>
      <c r="U16" s="105">
        <v>32.731844951209098</v>
      </c>
      <c r="V16" s="105">
        <v>59.038132508233403</v>
      </c>
      <c r="W16" s="105">
        <v>3.6152305976664199</v>
      </c>
      <c r="X16" s="105">
        <v>2.6993746253920499</v>
      </c>
      <c r="Y16" s="105">
        <v>9.2830389708194705</v>
      </c>
      <c r="Z16" s="105">
        <v>56.445531867084597</v>
      </c>
      <c r="AA16" s="105">
        <v>26.310664345410299</v>
      </c>
      <c r="AB16" s="105">
        <v>1.8400623532701199</v>
      </c>
      <c r="AC16" s="105">
        <v>397.76383824704999</v>
      </c>
      <c r="AD16" s="105">
        <v>3.64530866412654</v>
      </c>
      <c r="AE16" s="105">
        <v>10.9584885413866</v>
      </c>
      <c r="AF16" s="105">
        <v>464.27114348783499</v>
      </c>
      <c r="AG16" s="105">
        <v>275.81412010369502</v>
      </c>
      <c r="AH16" s="105">
        <v>90.301701726153894</v>
      </c>
      <c r="AI16" s="105">
        <v>132.858524144173</v>
      </c>
      <c r="AJ16" s="105">
        <v>9059.5438686637099</v>
      </c>
      <c r="AK16" s="105">
        <v>6.69900746867894</v>
      </c>
      <c r="AL16" s="105">
        <v>367.33854119024301</v>
      </c>
      <c r="AM16" s="105">
        <v>11.2438887109319</v>
      </c>
      <c r="AN16" s="105">
        <v>6278.9540246341003</v>
      </c>
      <c r="AO16" s="105">
        <v>3578.4893459416999</v>
      </c>
      <c r="AP16" s="105">
        <v>8.8027938520944407</v>
      </c>
      <c r="AQ16" s="105">
        <v>0.73461295583633501</v>
      </c>
      <c r="AR16" s="105">
        <v>0.50252318974125698</v>
      </c>
      <c r="AS16" s="105">
        <v>131.585838891317</v>
      </c>
      <c r="AT16" s="105">
        <v>5.4419718120939899</v>
      </c>
      <c r="AU16" s="105">
        <v>24.1834526710986</v>
      </c>
      <c r="AV16" s="105">
        <v>0.98063838003123105</v>
      </c>
      <c r="AW16" s="105">
        <v>159.170629558028</v>
      </c>
      <c r="AX16" s="105">
        <v>10.262826683332101</v>
      </c>
      <c r="AY16" s="105">
        <v>13.8453718973701</v>
      </c>
      <c r="AZ16" s="105">
        <v>24.030016711198801</v>
      </c>
      <c r="BA16" s="105">
        <v>401.302129285261</v>
      </c>
      <c r="BB16" s="105">
        <v>25.933913362739801</v>
      </c>
      <c r="BC16" s="105">
        <v>5.2525456926522898</v>
      </c>
      <c r="BD16" s="105">
        <v>8.1627477737556102</v>
      </c>
      <c r="BE16" s="105">
        <v>4.7655631037212602</v>
      </c>
      <c r="BF16" s="105">
        <v>145.56621727537001</v>
      </c>
      <c r="BG16" s="105">
        <v>1.69955664255883</v>
      </c>
      <c r="BH16" s="105">
        <v>108.46446583911801</v>
      </c>
      <c r="BI16" s="105">
        <v>30.777961298712199</v>
      </c>
      <c r="BJ16" s="105">
        <v>26.407150466096599</v>
      </c>
      <c r="BK16" s="105">
        <v>10.781087796332001</v>
      </c>
      <c r="BL16" s="105">
        <v>17.300055943977998</v>
      </c>
      <c r="BM16" s="105">
        <v>19.0331923887986</v>
      </c>
      <c r="BN16" s="105">
        <v>310.01081771837102</v>
      </c>
      <c r="BO16" s="105">
        <v>0</v>
      </c>
    </row>
    <row r="17" spans="1:67" x14ac:dyDescent="0.2">
      <c r="A17" s="105">
        <v>787.55590371856397</v>
      </c>
      <c r="B17" s="105">
        <v>265.057503305343</v>
      </c>
      <c r="C17" s="105">
        <v>35.060838809124498</v>
      </c>
      <c r="D17" s="105">
        <v>7.8643781394314596</v>
      </c>
      <c r="E17" s="105">
        <v>145.18010285637899</v>
      </c>
      <c r="F17" s="105">
        <v>369.97555577116202</v>
      </c>
      <c r="G17" s="105">
        <v>42.6349291601625</v>
      </c>
      <c r="H17" s="105">
        <v>6157.5763872992402</v>
      </c>
      <c r="I17" s="105">
        <v>41.182906085964703</v>
      </c>
      <c r="J17" s="105">
        <v>6780.1407218267104</v>
      </c>
      <c r="K17" s="105">
        <v>404.98969179484999</v>
      </c>
      <c r="L17" s="105">
        <v>1289.02468508996</v>
      </c>
      <c r="M17" s="105">
        <v>1060.71818888249</v>
      </c>
      <c r="N17" s="105">
        <v>480.582012174525</v>
      </c>
      <c r="O17" s="105">
        <v>952.79801481976199</v>
      </c>
      <c r="P17" s="105">
        <v>2474.1308996173598</v>
      </c>
      <c r="Q17" s="105">
        <v>24854.580956981001</v>
      </c>
      <c r="R17" s="105">
        <v>1676.89656473846</v>
      </c>
      <c r="S17" s="105">
        <v>239.897153338544</v>
      </c>
      <c r="T17" s="105">
        <v>143.03868148337</v>
      </c>
      <c r="U17" s="105">
        <v>205.40477216625899</v>
      </c>
      <c r="V17" s="105">
        <v>355.644197384157</v>
      </c>
      <c r="W17" s="105">
        <v>2720.40442871914</v>
      </c>
      <c r="X17" s="105">
        <v>1680.3194776498101</v>
      </c>
      <c r="Y17" s="105">
        <v>3905.4776657188499</v>
      </c>
      <c r="Z17" s="105">
        <v>3469.7313061731302</v>
      </c>
      <c r="AA17" s="105">
        <v>65.799722621458599</v>
      </c>
      <c r="AB17" s="105">
        <v>26.4663191439315</v>
      </c>
      <c r="AC17" s="105">
        <v>2194.0803337840198</v>
      </c>
      <c r="AD17" s="105">
        <v>1246.8813119208801</v>
      </c>
      <c r="AE17" s="105">
        <v>605.62819338808094</v>
      </c>
      <c r="AF17" s="105">
        <v>402.49414276518303</v>
      </c>
      <c r="AG17" s="105">
        <v>494.21260133511299</v>
      </c>
      <c r="AH17" s="105">
        <v>1194.0134421888599</v>
      </c>
      <c r="AI17" s="105">
        <v>80.769520111215201</v>
      </c>
      <c r="AJ17" s="105">
        <v>1613.30072418744</v>
      </c>
      <c r="AK17" s="105">
        <v>98.859693547604394</v>
      </c>
      <c r="AL17" s="105">
        <v>55.715092904058402</v>
      </c>
      <c r="AM17" s="105">
        <v>74.630723112523896</v>
      </c>
      <c r="AN17" s="105">
        <v>483.56499194235101</v>
      </c>
      <c r="AO17" s="105">
        <v>9542.5857932265299</v>
      </c>
      <c r="AP17" s="105">
        <v>237.15589825693101</v>
      </c>
      <c r="AQ17" s="105">
        <v>92.820398883778495</v>
      </c>
      <c r="AR17" s="105">
        <v>12.755818592881401</v>
      </c>
      <c r="AS17" s="105">
        <v>594.27898222247597</v>
      </c>
      <c r="AT17" s="105">
        <v>221.70622008745201</v>
      </c>
      <c r="AU17" s="105">
        <v>1639.8747532421401</v>
      </c>
      <c r="AV17" s="105">
        <v>789.33286409653795</v>
      </c>
      <c r="AW17" s="105">
        <v>136.04885725730099</v>
      </c>
      <c r="AX17" s="105">
        <v>66.141524157488007</v>
      </c>
      <c r="AY17" s="105">
        <v>1010.02315108785</v>
      </c>
      <c r="AZ17" s="105">
        <v>1475.4371617131501</v>
      </c>
      <c r="BA17" s="105">
        <v>287.79634005471701</v>
      </c>
      <c r="BB17" s="105">
        <v>1631.53333092917</v>
      </c>
      <c r="BC17" s="105">
        <v>405.19257033663098</v>
      </c>
      <c r="BD17" s="105">
        <v>831.82989009532503</v>
      </c>
      <c r="BE17" s="105">
        <v>579.23492674441104</v>
      </c>
      <c r="BF17" s="105">
        <v>2487.6107952826901</v>
      </c>
      <c r="BG17" s="105">
        <v>49.897517707932302</v>
      </c>
      <c r="BH17" s="105">
        <v>1030.8713896100001</v>
      </c>
      <c r="BI17" s="105">
        <v>789.81438391139397</v>
      </c>
      <c r="BJ17" s="105">
        <v>594.68761103100303</v>
      </c>
      <c r="BK17" s="105">
        <v>300.30624641306298</v>
      </c>
      <c r="BL17" s="105">
        <v>805.03458103520995</v>
      </c>
      <c r="BM17" s="105">
        <v>77.018917728557696</v>
      </c>
      <c r="BN17" s="105">
        <v>687.28078941263198</v>
      </c>
      <c r="BO17" s="105">
        <v>0</v>
      </c>
    </row>
    <row r="18" spans="1:67" x14ac:dyDescent="0.2">
      <c r="A18" s="105">
        <v>23.3971722117188</v>
      </c>
      <c r="B18" s="105">
        <v>5.4853994567250899</v>
      </c>
      <c r="C18" s="105">
        <v>2.8520169371434401</v>
      </c>
      <c r="D18" s="105">
        <v>1.7127724298373701</v>
      </c>
      <c r="E18" s="105">
        <v>22.038418867111201</v>
      </c>
      <c r="F18" s="105">
        <v>36.322496593679602</v>
      </c>
      <c r="G18" s="105">
        <v>6.1313225683504804</v>
      </c>
      <c r="H18" s="105">
        <v>115.93170384125401</v>
      </c>
      <c r="I18" s="105">
        <v>25.761770591504199</v>
      </c>
      <c r="J18" s="105">
        <v>152.82524184861401</v>
      </c>
      <c r="K18" s="105">
        <v>256.965317022607</v>
      </c>
      <c r="L18" s="105">
        <v>6.9963398777126802</v>
      </c>
      <c r="M18" s="105">
        <v>20.835248090071499</v>
      </c>
      <c r="N18" s="105">
        <v>21.104758811128001</v>
      </c>
      <c r="O18" s="105">
        <v>12.3818125893991</v>
      </c>
      <c r="P18" s="105">
        <v>47.878259575048197</v>
      </c>
      <c r="Q18" s="105">
        <v>250.97613755952301</v>
      </c>
      <c r="R18" s="105">
        <v>900.03330210867296</v>
      </c>
      <c r="S18" s="105">
        <v>8.2184274063036895</v>
      </c>
      <c r="T18" s="105">
        <v>18.393724503384099</v>
      </c>
      <c r="U18" s="105">
        <v>17.007733346769101</v>
      </c>
      <c r="V18" s="105">
        <v>31.000560967462601</v>
      </c>
      <c r="W18" s="105">
        <v>23.225300684038</v>
      </c>
      <c r="X18" s="105">
        <v>23.5728894688441</v>
      </c>
      <c r="Y18" s="105">
        <v>113.450549868165</v>
      </c>
      <c r="Z18" s="105">
        <v>44.660218616819897</v>
      </c>
      <c r="AA18" s="105">
        <v>23.562037681917499</v>
      </c>
      <c r="AB18" s="105">
        <v>3.20279885316529</v>
      </c>
      <c r="AC18" s="105">
        <v>41.787843497567202</v>
      </c>
      <c r="AD18" s="105">
        <v>159.95076641741801</v>
      </c>
      <c r="AE18" s="105">
        <v>21.864468923063701</v>
      </c>
      <c r="AF18" s="105">
        <v>42.080017108925396</v>
      </c>
      <c r="AG18" s="105">
        <v>36.256706563575101</v>
      </c>
      <c r="AH18" s="105">
        <v>36.314458588795503</v>
      </c>
      <c r="AI18" s="105">
        <v>6.3261618420877097</v>
      </c>
      <c r="AJ18" s="105">
        <v>49.272988861303197</v>
      </c>
      <c r="AK18" s="105">
        <v>12.2224770214545</v>
      </c>
      <c r="AL18" s="105">
        <v>25.0634527222096</v>
      </c>
      <c r="AM18" s="105">
        <v>18.317507697483101</v>
      </c>
      <c r="AN18" s="105">
        <v>151.85907108525799</v>
      </c>
      <c r="AO18" s="105">
        <v>6909.5777068058296</v>
      </c>
      <c r="AP18" s="105">
        <v>47.809483856734502</v>
      </c>
      <c r="AQ18" s="105">
        <v>2.9814052236593098</v>
      </c>
      <c r="AR18" s="105">
        <v>19.009657213762001</v>
      </c>
      <c r="AS18" s="105">
        <v>76.383796895011898</v>
      </c>
      <c r="AT18" s="105">
        <v>10.5442353281615</v>
      </c>
      <c r="AU18" s="105">
        <v>81.935002770757393</v>
      </c>
      <c r="AV18" s="105">
        <v>826.05920259809602</v>
      </c>
      <c r="AW18" s="105">
        <v>171.324959736849</v>
      </c>
      <c r="AX18" s="105">
        <v>458.10447614288802</v>
      </c>
      <c r="AY18" s="105">
        <v>623.63635598360895</v>
      </c>
      <c r="AZ18" s="105">
        <v>1154.9313402159901</v>
      </c>
      <c r="BA18" s="105">
        <v>231.77878103100099</v>
      </c>
      <c r="BB18" s="105">
        <v>441.17431242152401</v>
      </c>
      <c r="BC18" s="105">
        <v>201.638505881323</v>
      </c>
      <c r="BD18" s="105">
        <v>3156.0783602083402</v>
      </c>
      <c r="BE18" s="105">
        <v>56.96693606665</v>
      </c>
      <c r="BF18" s="105">
        <v>1228.1942369594999</v>
      </c>
      <c r="BG18" s="105">
        <v>3.3545645276853699</v>
      </c>
      <c r="BH18" s="105">
        <v>1049.97975335301</v>
      </c>
      <c r="BI18" s="105">
        <v>225.333297936528</v>
      </c>
      <c r="BJ18" s="105">
        <v>45.256412852748603</v>
      </c>
      <c r="BK18" s="105">
        <v>133.16428270957701</v>
      </c>
      <c r="BL18" s="105">
        <v>97.962480921810794</v>
      </c>
      <c r="BM18" s="105">
        <v>246.54206174333899</v>
      </c>
      <c r="BN18" s="105">
        <v>278.21790075634999</v>
      </c>
      <c r="BO18" s="105">
        <v>0</v>
      </c>
    </row>
    <row r="19" spans="1:67" x14ac:dyDescent="0.2">
      <c r="A19" s="105">
        <v>18722.1182293067</v>
      </c>
      <c r="B19" s="105">
        <v>6373.5912683776896</v>
      </c>
      <c r="C19" s="105">
        <v>1074.0841278355799</v>
      </c>
      <c r="D19" s="105">
        <v>2189.82290677324</v>
      </c>
      <c r="E19" s="105">
        <v>3994.4382409874001</v>
      </c>
      <c r="F19" s="105">
        <v>14504.577140469701</v>
      </c>
      <c r="G19" s="105">
        <v>1990.1647166992</v>
      </c>
      <c r="H19" s="105">
        <v>5853.0640333599404</v>
      </c>
      <c r="I19" s="105">
        <v>2886.4465050992499</v>
      </c>
      <c r="J19" s="105">
        <v>6501.5153431592898</v>
      </c>
      <c r="K19" s="105">
        <v>1260.6516358290901</v>
      </c>
      <c r="L19" s="105">
        <v>43.8391616382808</v>
      </c>
      <c r="M19" s="105">
        <v>402.50558234997197</v>
      </c>
      <c r="N19" s="105">
        <v>161.94234835490499</v>
      </c>
      <c r="O19" s="105">
        <v>247.87962873458</v>
      </c>
      <c r="P19" s="105">
        <v>561.19374254524496</v>
      </c>
      <c r="Q19" s="105">
        <v>3837.14656739877</v>
      </c>
      <c r="R19" s="105">
        <v>46.458179514356402</v>
      </c>
      <c r="S19" s="105">
        <v>189868.02394859199</v>
      </c>
      <c r="T19" s="105">
        <v>2988.7480429012098</v>
      </c>
      <c r="U19" s="105">
        <v>18064.887482642302</v>
      </c>
      <c r="V19" s="105">
        <v>1700.5489607971199</v>
      </c>
      <c r="W19" s="105">
        <v>707.34824555682906</v>
      </c>
      <c r="X19" s="105">
        <v>324.59080542324801</v>
      </c>
      <c r="Y19" s="105">
        <v>2867.6194044786698</v>
      </c>
      <c r="Z19" s="105">
        <v>5615.3784080041696</v>
      </c>
      <c r="AA19" s="105">
        <v>4717.2199991076104</v>
      </c>
      <c r="AB19" s="105">
        <v>4057.0830405997499</v>
      </c>
      <c r="AC19" s="105">
        <v>723.12817699785796</v>
      </c>
      <c r="AD19" s="105">
        <v>310.15587168518903</v>
      </c>
      <c r="AE19" s="105">
        <v>1037.90904568726</v>
      </c>
      <c r="AF19" s="105">
        <v>907.35226107367805</v>
      </c>
      <c r="AG19" s="105">
        <v>1168.99628083944</v>
      </c>
      <c r="AH19" s="105">
        <v>563.10782841759101</v>
      </c>
      <c r="AI19" s="105">
        <v>142.63485742741199</v>
      </c>
      <c r="AJ19" s="105">
        <v>497.59510106228299</v>
      </c>
      <c r="AK19" s="105">
        <v>522.21266875799597</v>
      </c>
      <c r="AL19" s="105">
        <v>7718.3064270042696</v>
      </c>
      <c r="AM19" s="105">
        <v>1807.1813146081399</v>
      </c>
      <c r="AN19" s="105">
        <v>8394.6060928980096</v>
      </c>
      <c r="AO19" s="105">
        <v>26340.5645655095</v>
      </c>
      <c r="AP19" s="105">
        <v>109744.706573006</v>
      </c>
      <c r="AQ19" s="105">
        <v>2956.7433913561299</v>
      </c>
      <c r="AR19" s="105">
        <v>6452.8764954083999</v>
      </c>
      <c r="AS19" s="105">
        <v>3541.2275472772399</v>
      </c>
      <c r="AT19" s="105">
        <v>110.346616157216</v>
      </c>
      <c r="AU19" s="105">
        <v>1774.05403063738</v>
      </c>
      <c r="AV19" s="105">
        <v>22.513227469647799</v>
      </c>
      <c r="AW19" s="105">
        <v>82.966907266746603</v>
      </c>
      <c r="AX19" s="105">
        <v>129.237890986656</v>
      </c>
      <c r="AY19" s="105">
        <v>275.92966925486502</v>
      </c>
      <c r="AZ19" s="105">
        <v>763.33760554006199</v>
      </c>
      <c r="BA19" s="105">
        <v>104.374429604006</v>
      </c>
      <c r="BB19" s="105">
        <v>847.29575309621998</v>
      </c>
      <c r="BC19" s="105">
        <v>586.29459250832394</v>
      </c>
      <c r="BD19" s="105">
        <v>194.05291570401499</v>
      </c>
      <c r="BE19" s="105">
        <v>904.45033841100803</v>
      </c>
      <c r="BF19" s="105">
        <v>669.192666715786</v>
      </c>
      <c r="BG19" s="105">
        <v>550.78916014271397</v>
      </c>
      <c r="BH19" s="105">
        <v>3375.6882125433399</v>
      </c>
      <c r="BI19" s="105">
        <v>439.91886229172798</v>
      </c>
      <c r="BJ19" s="105">
        <v>176.92560439570701</v>
      </c>
      <c r="BK19" s="105">
        <v>222.45884105168699</v>
      </c>
      <c r="BL19" s="105">
        <v>342.221499060746</v>
      </c>
      <c r="BM19" s="105">
        <v>143.899700021711</v>
      </c>
      <c r="BN19" s="105">
        <v>745.32606254013206</v>
      </c>
      <c r="BO19" s="105">
        <v>0</v>
      </c>
    </row>
    <row r="20" spans="1:67" x14ac:dyDescent="0.2">
      <c r="A20" s="105">
        <v>184.057310883067</v>
      </c>
      <c r="B20" s="105">
        <v>319.53332957526698</v>
      </c>
      <c r="C20" s="105">
        <v>7.3156742281723597</v>
      </c>
      <c r="D20" s="105">
        <v>7.6788755983323904</v>
      </c>
      <c r="E20" s="105">
        <v>1066.8747279690799</v>
      </c>
      <c r="F20" s="105">
        <v>10.2366317738935</v>
      </c>
      <c r="G20" s="105">
        <v>4.3916255863275699</v>
      </c>
      <c r="H20" s="105">
        <v>1066.02266392807</v>
      </c>
      <c r="I20" s="105">
        <v>552.32060271563603</v>
      </c>
      <c r="J20" s="105">
        <v>2432.9490612090199</v>
      </c>
      <c r="K20" s="105">
        <v>348.20370094939301</v>
      </c>
      <c r="L20" s="105">
        <v>0.280158664683759</v>
      </c>
      <c r="M20" s="105">
        <v>2.71226303440897</v>
      </c>
      <c r="N20" s="105">
        <v>2.2216609864040202</v>
      </c>
      <c r="O20" s="105">
        <v>1.3515198171332501</v>
      </c>
      <c r="P20" s="105">
        <v>136.27441555431099</v>
      </c>
      <c r="Q20" s="105">
        <v>40.065205640175002</v>
      </c>
      <c r="R20" s="105">
        <v>0.93985495982812695</v>
      </c>
      <c r="S20" s="105">
        <v>40419.301651072899</v>
      </c>
      <c r="T20" s="105">
        <v>1909.7876213575701</v>
      </c>
      <c r="U20" s="105">
        <v>579.20219471665803</v>
      </c>
      <c r="V20" s="105">
        <v>631.69319283305197</v>
      </c>
      <c r="W20" s="105">
        <v>2599.5962744876001</v>
      </c>
      <c r="X20" s="105">
        <v>1183.2643335479199</v>
      </c>
      <c r="Y20" s="105">
        <v>6.31102403167802</v>
      </c>
      <c r="Z20" s="105">
        <v>6.4729858997327696</v>
      </c>
      <c r="AA20" s="105">
        <v>10.1511672936295</v>
      </c>
      <c r="AB20" s="105">
        <v>4.3168354402595401</v>
      </c>
      <c r="AC20" s="105">
        <v>66.443917184417003</v>
      </c>
      <c r="AD20" s="105">
        <v>2.53599824435548</v>
      </c>
      <c r="AE20" s="105">
        <v>8.2829561994981002</v>
      </c>
      <c r="AF20" s="105">
        <v>23.422609760387701</v>
      </c>
      <c r="AG20" s="105">
        <v>26.797617565647499</v>
      </c>
      <c r="AH20" s="105">
        <v>6.2402892980243001</v>
      </c>
      <c r="AI20" s="105">
        <v>2.16273839809404</v>
      </c>
      <c r="AJ20" s="105">
        <v>10.2013753680005</v>
      </c>
      <c r="AK20" s="105">
        <v>12.204945039845001</v>
      </c>
      <c r="AL20" s="105">
        <v>17.238261437353302</v>
      </c>
      <c r="AM20" s="105">
        <v>92.557254912057203</v>
      </c>
      <c r="AN20" s="105">
        <v>627.52117299650001</v>
      </c>
      <c r="AO20" s="105">
        <v>2048.9700064768099</v>
      </c>
      <c r="AP20" s="105">
        <v>1259.60107994448</v>
      </c>
      <c r="AQ20" s="105">
        <v>22.650889158803</v>
      </c>
      <c r="AR20" s="105">
        <v>42.082669307640998</v>
      </c>
      <c r="AS20" s="105">
        <v>131.18340009619899</v>
      </c>
      <c r="AT20" s="105">
        <v>34.486961031507803</v>
      </c>
      <c r="AU20" s="105">
        <v>521.55264848294701</v>
      </c>
      <c r="AV20" s="105">
        <v>14.9266676594945</v>
      </c>
      <c r="AW20" s="105">
        <v>28.8440703294449</v>
      </c>
      <c r="AX20" s="105">
        <v>63.948910279570001</v>
      </c>
      <c r="AY20" s="105">
        <v>114.385899111261</v>
      </c>
      <c r="AZ20" s="105">
        <v>191.19375882978099</v>
      </c>
      <c r="BA20" s="105">
        <v>56.082022215265098</v>
      </c>
      <c r="BB20" s="105">
        <v>218.530927381412</v>
      </c>
      <c r="BC20" s="105">
        <v>271.11478994574799</v>
      </c>
      <c r="BD20" s="105">
        <v>95.731809614039406</v>
      </c>
      <c r="BE20" s="105">
        <v>262.87395513848702</v>
      </c>
      <c r="BF20" s="105">
        <v>294.17238003006503</v>
      </c>
      <c r="BG20" s="105">
        <v>129.328948774612</v>
      </c>
      <c r="BH20" s="105">
        <v>881.73368642306104</v>
      </c>
      <c r="BI20" s="105">
        <v>116.489678488275</v>
      </c>
      <c r="BJ20" s="105">
        <v>17.6148426459673</v>
      </c>
      <c r="BK20" s="105">
        <v>83.250388613727694</v>
      </c>
      <c r="BL20" s="105">
        <v>146.78594239627</v>
      </c>
      <c r="BM20" s="105">
        <v>59.757766671774299</v>
      </c>
      <c r="BN20" s="105">
        <v>273.16024087601897</v>
      </c>
      <c r="BO20" s="105">
        <v>0</v>
      </c>
    </row>
    <row r="21" spans="1:67" x14ac:dyDescent="0.2">
      <c r="A21" s="105">
        <v>102547.163781535</v>
      </c>
      <c r="B21" s="105">
        <v>10721.6469198701</v>
      </c>
      <c r="C21" s="105">
        <v>711.21630478626003</v>
      </c>
      <c r="D21" s="105">
        <v>352.630640744875</v>
      </c>
      <c r="E21" s="105">
        <v>4880.58021475439</v>
      </c>
      <c r="F21" s="105">
        <v>558.23287997026603</v>
      </c>
      <c r="G21" s="105">
        <v>172.11213590487799</v>
      </c>
      <c r="H21" s="105">
        <v>583.60753206322295</v>
      </c>
      <c r="I21" s="105">
        <v>547.70086587766798</v>
      </c>
      <c r="J21" s="105">
        <v>1345.7391082142601</v>
      </c>
      <c r="K21" s="105">
        <v>168.315737991963</v>
      </c>
      <c r="L21" s="105">
        <v>37.632726323701696</v>
      </c>
      <c r="M21" s="105">
        <v>5428.5829423301402</v>
      </c>
      <c r="N21" s="105">
        <v>151.608023467202</v>
      </c>
      <c r="O21" s="105">
        <v>1627.4693872611599</v>
      </c>
      <c r="P21" s="105">
        <v>1941.52271973963</v>
      </c>
      <c r="Q21" s="105">
        <v>8593.5266181970201</v>
      </c>
      <c r="R21" s="105">
        <v>92.439727445021305</v>
      </c>
      <c r="S21" s="105">
        <v>3382.7664737875398</v>
      </c>
      <c r="T21" s="105">
        <v>3010.8886835923699</v>
      </c>
      <c r="U21" s="105">
        <v>67286.526614557893</v>
      </c>
      <c r="V21" s="105">
        <v>20617.917851445702</v>
      </c>
      <c r="W21" s="105">
        <v>4806.0230766431596</v>
      </c>
      <c r="X21" s="105">
        <v>1792.0417452772799</v>
      </c>
      <c r="Y21" s="105">
        <v>34577.0646244374</v>
      </c>
      <c r="Z21" s="105">
        <v>4685.3625537063399</v>
      </c>
      <c r="AA21" s="105">
        <v>2165.4674551983799</v>
      </c>
      <c r="AB21" s="105">
        <v>1730.5873875489599</v>
      </c>
      <c r="AC21" s="105">
        <v>2547.5085402438599</v>
      </c>
      <c r="AD21" s="105">
        <v>279.67347674212601</v>
      </c>
      <c r="AE21" s="105">
        <v>4201.9157862582297</v>
      </c>
      <c r="AF21" s="105">
        <v>379.77595010821</v>
      </c>
      <c r="AG21" s="105">
        <v>219.749841560199</v>
      </c>
      <c r="AH21" s="105">
        <v>1903.7777993368099</v>
      </c>
      <c r="AI21" s="105">
        <v>405.48436423398903</v>
      </c>
      <c r="AJ21" s="105">
        <v>3172.2525694385999</v>
      </c>
      <c r="AK21" s="105">
        <v>304.86351262880402</v>
      </c>
      <c r="AL21" s="105">
        <v>176.65282159554801</v>
      </c>
      <c r="AM21" s="105">
        <v>1242.9715768210301</v>
      </c>
      <c r="AN21" s="105">
        <v>514.11545993403399</v>
      </c>
      <c r="AO21" s="105">
        <v>1744.2281397756601</v>
      </c>
      <c r="AP21" s="105">
        <v>190.90262897977499</v>
      </c>
      <c r="AQ21" s="105">
        <v>5.6103272063521299</v>
      </c>
      <c r="AR21" s="105">
        <v>8.2768058252723193</v>
      </c>
      <c r="AS21" s="105">
        <v>80.777953204090906</v>
      </c>
      <c r="AT21" s="105">
        <v>24.477511680456701</v>
      </c>
      <c r="AU21" s="105">
        <v>150.624982947924</v>
      </c>
      <c r="AV21" s="105">
        <v>6.56247850284677</v>
      </c>
      <c r="AW21" s="105">
        <v>15.1580118027191</v>
      </c>
      <c r="AX21" s="105">
        <v>40.572114961457302</v>
      </c>
      <c r="AY21" s="105">
        <v>51.8646353166192</v>
      </c>
      <c r="AZ21" s="105">
        <v>88.349693153063797</v>
      </c>
      <c r="BA21" s="105">
        <v>67.497490165806695</v>
      </c>
      <c r="BB21" s="105">
        <v>100.61202533005201</v>
      </c>
      <c r="BC21" s="105">
        <v>68.853311735981507</v>
      </c>
      <c r="BD21" s="105">
        <v>46.763119687660797</v>
      </c>
      <c r="BE21" s="105">
        <v>32.325646144558299</v>
      </c>
      <c r="BF21" s="105">
        <v>244.53176360749401</v>
      </c>
      <c r="BG21" s="105">
        <v>6.7008042315811203</v>
      </c>
      <c r="BH21" s="105">
        <v>110.148920901008</v>
      </c>
      <c r="BI21" s="105">
        <v>94.531120699291506</v>
      </c>
      <c r="BJ21" s="105">
        <v>96.198209501355095</v>
      </c>
      <c r="BK21" s="105">
        <v>704.37697620670701</v>
      </c>
      <c r="BL21" s="105">
        <v>885.14540128407396</v>
      </c>
      <c r="BM21" s="105">
        <v>71.901584456026598</v>
      </c>
      <c r="BN21" s="105">
        <v>389.41908680053803</v>
      </c>
      <c r="BO21" s="105">
        <v>0</v>
      </c>
    </row>
    <row r="22" spans="1:67" x14ac:dyDescent="0.2">
      <c r="A22" s="105">
        <v>39880.399119594302</v>
      </c>
      <c r="B22" s="105">
        <v>4589.9816666686102</v>
      </c>
      <c r="C22" s="105">
        <v>122.950369800199</v>
      </c>
      <c r="D22" s="105">
        <v>2357.4315890947601</v>
      </c>
      <c r="E22" s="105">
        <v>538.37965987458404</v>
      </c>
      <c r="F22" s="105">
        <v>666.84383127146396</v>
      </c>
      <c r="G22" s="105">
        <v>171.970951044218</v>
      </c>
      <c r="H22" s="105">
        <v>1312.15757393576</v>
      </c>
      <c r="I22" s="105">
        <v>102.355465671171</v>
      </c>
      <c r="J22" s="105">
        <v>3221.76037115693</v>
      </c>
      <c r="K22" s="105">
        <v>186.01107669778901</v>
      </c>
      <c r="L22" s="105">
        <v>8.1283785296484208</v>
      </c>
      <c r="M22" s="105">
        <v>388.67860572588199</v>
      </c>
      <c r="N22" s="105">
        <v>60.856602206177698</v>
      </c>
      <c r="O22" s="105">
        <v>218.9458779087</v>
      </c>
      <c r="P22" s="105">
        <v>1507.85587973105</v>
      </c>
      <c r="Q22" s="105">
        <v>2682.8169049492699</v>
      </c>
      <c r="R22" s="105">
        <v>949.99781271889901</v>
      </c>
      <c r="S22" s="105">
        <v>808.35901992748097</v>
      </c>
      <c r="T22" s="105">
        <v>460.765444606541</v>
      </c>
      <c r="U22" s="105">
        <v>3545.3348316031502</v>
      </c>
      <c r="V22" s="105">
        <v>12782.716839076</v>
      </c>
      <c r="W22" s="105">
        <v>1975.2170845481101</v>
      </c>
      <c r="X22" s="105">
        <v>1074.69915992854</v>
      </c>
      <c r="Y22" s="105">
        <v>4366.4278039602696</v>
      </c>
      <c r="Z22" s="105">
        <v>1785.44649104276</v>
      </c>
      <c r="AA22" s="105">
        <v>570.36154565555205</v>
      </c>
      <c r="AB22" s="105">
        <v>122.00714460997</v>
      </c>
      <c r="AC22" s="105">
        <v>946.52613024073298</v>
      </c>
      <c r="AD22" s="105">
        <v>289.89069113511698</v>
      </c>
      <c r="AE22" s="105">
        <v>304.927174676866</v>
      </c>
      <c r="AF22" s="105">
        <v>267.54493955488198</v>
      </c>
      <c r="AG22" s="105">
        <v>666.96130262602003</v>
      </c>
      <c r="AH22" s="105">
        <v>328.29132411386502</v>
      </c>
      <c r="AI22" s="105">
        <v>134.25986930934999</v>
      </c>
      <c r="AJ22" s="105">
        <v>940.69506108665996</v>
      </c>
      <c r="AK22" s="105">
        <v>920.40366595978003</v>
      </c>
      <c r="AL22" s="105">
        <v>217.382413422578</v>
      </c>
      <c r="AM22" s="105">
        <v>706.16719721411096</v>
      </c>
      <c r="AN22" s="105">
        <v>11345.7386458377</v>
      </c>
      <c r="AO22" s="105">
        <v>3616.32527467523</v>
      </c>
      <c r="AP22" s="105">
        <v>337.088675615765</v>
      </c>
      <c r="AQ22" s="105">
        <v>2.6207848645054401</v>
      </c>
      <c r="AR22" s="105">
        <v>2.3387415829332001</v>
      </c>
      <c r="AS22" s="105">
        <v>84.318621796666804</v>
      </c>
      <c r="AT22" s="105">
        <v>44.008871914371099</v>
      </c>
      <c r="AU22" s="105">
        <v>79.510800778858496</v>
      </c>
      <c r="AV22" s="105">
        <v>96.540672436514996</v>
      </c>
      <c r="AW22" s="105">
        <v>241.42377124436399</v>
      </c>
      <c r="AX22" s="105">
        <v>22.809774565062401</v>
      </c>
      <c r="AY22" s="105">
        <v>29.3150401033059</v>
      </c>
      <c r="AZ22" s="105">
        <v>66.845063073373097</v>
      </c>
      <c r="BA22" s="105">
        <v>1592.59576104085</v>
      </c>
      <c r="BB22" s="105">
        <v>45.329199343386897</v>
      </c>
      <c r="BC22" s="105">
        <v>55.038373298544499</v>
      </c>
      <c r="BD22" s="105">
        <v>42.174767938556798</v>
      </c>
      <c r="BE22" s="105">
        <v>27.626353345717501</v>
      </c>
      <c r="BF22" s="105">
        <v>2317.8269917359598</v>
      </c>
      <c r="BG22" s="105">
        <v>3.7716342462136399</v>
      </c>
      <c r="BH22" s="105">
        <v>335.73773492342099</v>
      </c>
      <c r="BI22" s="105">
        <v>320.09501747165598</v>
      </c>
      <c r="BJ22" s="105">
        <v>45.485957879862902</v>
      </c>
      <c r="BK22" s="105">
        <v>1234.6368860269399</v>
      </c>
      <c r="BL22" s="105">
        <v>106.418695149184</v>
      </c>
      <c r="BM22" s="105">
        <v>39.438424069974701</v>
      </c>
      <c r="BN22" s="105">
        <v>165.88143664318301</v>
      </c>
      <c r="BO22" s="105">
        <v>0</v>
      </c>
    </row>
    <row r="23" spans="1:67" x14ac:dyDescent="0.2">
      <c r="A23" s="105">
        <v>949.35584536354804</v>
      </c>
      <c r="B23" s="105">
        <v>163.201561408488</v>
      </c>
      <c r="C23" s="105">
        <v>3.82344642387881</v>
      </c>
      <c r="D23" s="105">
        <v>64.827454341334402</v>
      </c>
      <c r="E23" s="105">
        <v>173.896155150445</v>
      </c>
      <c r="F23" s="105">
        <v>223.27246971538</v>
      </c>
      <c r="G23" s="105">
        <v>24.685861255116301</v>
      </c>
      <c r="H23" s="105">
        <v>180.47776963736101</v>
      </c>
      <c r="I23" s="105">
        <v>35.824863816969298</v>
      </c>
      <c r="J23" s="105">
        <v>341.10386703625397</v>
      </c>
      <c r="K23" s="105">
        <v>55.762086890998901</v>
      </c>
      <c r="L23" s="105">
        <v>6.6961274719462596</v>
      </c>
      <c r="M23" s="105">
        <v>114.245083395447</v>
      </c>
      <c r="N23" s="105">
        <v>51.779042966787202</v>
      </c>
      <c r="O23" s="105">
        <v>37.2588608175774</v>
      </c>
      <c r="P23" s="105">
        <v>97.104356882667801</v>
      </c>
      <c r="Q23" s="105">
        <v>261.09335385281997</v>
      </c>
      <c r="R23" s="105">
        <v>37.027304118501696</v>
      </c>
      <c r="S23" s="105">
        <v>358.91739874099397</v>
      </c>
      <c r="T23" s="105">
        <v>88.517744027727005</v>
      </c>
      <c r="U23" s="105">
        <v>1060.67749838788</v>
      </c>
      <c r="V23" s="105">
        <v>810.218464703123</v>
      </c>
      <c r="W23" s="105">
        <v>1419.9892374005501</v>
      </c>
      <c r="X23" s="105">
        <v>88.572169207220995</v>
      </c>
      <c r="Y23" s="105">
        <v>383.82242246955798</v>
      </c>
      <c r="Z23" s="105">
        <v>159.95723369748501</v>
      </c>
      <c r="AA23" s="105">
        <v>70.3718490387364</v>
      </c>
      <c r="AB23" s="105">
        <v>82.142947005697195</v>
      </c>
      <c r="AC23" s="105">
        <v>672.80527178164198</v>
      </c>
      <c r="AD23" s="105">
        <v>45.920165644419903</v>
      </c>
      <c r="AE23" s="105">
        <v>59.452579641434802</v>
      </c>
      <c r="AF23" s="105">
        <v>73.996662588436706</v>
      </c>
      <c r="AG23" s="105">
        <v>54.088447894571999</v>
      </c>
      <c r="AH23" s="105">
        <v>64.047029197614606</v>
      </c>
      <c r="AI23" s="105">
        <v>11.6554872400009</v>
      </c>
      <c r="AJ23" s="105">
        <v>71.331592607561305</v>
      </c>
      <c r="AK23" s="105">
        <v>30.531129576138799</v>
      </c>
      <c r="AL23" s="105">
        <v>25.443079912532198</v>
      </c>
      <c r="AM23" s="105">
        <v>98.881514160300796</v>
      </c>
      <c r="AN23" s="105">
        <v>346.07984877365402</v>
      </c>
      <c r="AO23" s="105">
        <v>2669.0428933059502</v>
      </c>
      <c r="AP23" s="105">
        <v>324.5059186542</v>
      </c>
      <c r="AQ23" s="105">
        <v>14.0433036227183</v>
      </c>
      <c r="AR23" s="105">
        <v>0.55315021123950003</v>
      </c>
      <c r="AS23" s="105">
        <v>176.833992628267</v>
      </c>
      <c r="AT23" s="105">
        <v>81.230472137201701</v>
      </c>
      <c r="AU23" s="105">
        <v>96.219676780862201</v>
      </c>
      <c r="AV23" s="105">
        <v>19.996286734409399</v>
      </c>
      <c r="AW23" s="105">
        <v>51.095936275969997</v>
      </c>
      <c r="AX23" s="105">
        <v>108.506478903299</v>
      </c>
      <c r="AY23" s="105">
        <v>26.9078727487802</v>
      </c>
      <c r="AZ23" s="105">
        <v>49.390686263830297</v>
      </c>
      <c r="BA23" s="105">
        <v>29.7646084603501</v>
      </c>
      <c r="BB23" s="105">
        <v>292.68881966577197</v>
      </c>
      <c r="BC23" s="105">
        <v>120.102110765468</v>
      </c>
      <c r="BD23" s="105">
        <v>273.49700915416798</v>
      </c>
      <c r="BE23" s="105">
        <v>120.62105266425399</v>
      </c>
      <c r="BF23" s="105">
        <v>2063.09123918562</v>
      </c>
      <c r="BG23" s="105">
        <v>2.4257134318534299</v>
      </c>
      <c r="BH23" s="105">
        <v>310.79795004557201</v>
      </c>
      <c r="BI23" s="105">
        <v>216.710029495068</v>
      </c>
      <c r="BJ23" s="105">
        <v>209.98652412817901</v>
      </c>
      <c r="BK23" s="105">
        <v>206.43749541152499</v>
      </c>
      <c r="BL23" s="105">
        <v>984.38305587155298</v>
      </c>
      <c r="BM23" s="105">
        <v>200.556362135076</v>
      </c>
      <c r="BN23" s="105">
        <v>1115.8729797291501</v>
      </c>
      <c r="BO23" s="105">
        <v>0</v>
      </c>
    </row>
    <row r="24" spans="1:67" x14ac:dyDescent="0.2">
      <c r="A24" s="105">
        <v>686.59220260417703</v>
      </c>
      <c r="B24" s="105">
        <v>3785.3404992249002</v>
      </c>
      <c r="C24" s="105">
        <v>28.1830325417125</v>
      </c>
      <c r="D24" s="105">
        <v>8.4978226675758606</v>
      </c>
      <c r="E24" s="105">
        <v>106.273685370691</v>
      </c>
      <c r="F24" s="105">
        <v>22.4440201937349</v>
      </c>
      <c r="G24" s="105">
        <v>2.2164918794816399</v>
      </c>
      <c r="H24" s="105">
        <v>153.67931886716099</v>
      </c>
      <c r="I24" s="105">
        <v>3.3118499389022</v>
      </c>
      <c r="J24" s="105">
        <v>441.82465355192198</v>
      </c>
      <c r="K24" s="105">
        <v>13.0962032398609</v>
      </c>
      <c r="L24" s="105">
        <v>1.4077640758668299</v>
      </c>
      <c r="M24" s="105">
        <v>11.9998919824921</v>
      </c>
      <c r="N24" s="105">
        <v>9.4490394247301897</v>
      </c>
      <c r="O24" s="105">
        <v>6.38109066947509</v>
      </c>
      <c r="P24" s="105">
        <v>7.5684772955293402</v>
      </c>
      <c r="Q24" s="105">
        <v>26.969861248084499</v>
      </c>
      <c r="R24" s="105">
        <v>2.4966066713992898</v>
      </c>
      <c r="S24" s="105">
        <v>5.5582431008489896</v>
      </c>
      <c r="T24" s="105">
        <v>20.913972321296999</v>
      </c>
      <c r="U24" s="105">
        <v>225.00937690900801</v>
      </c>
      <c r="V24" s="105">
        <v>228.68054300641299</v>
      </c>
      <c r="W24" s="105">
        <v>52.308607166708697</v>
      </c>
      <c r="X24" s="105">
        <v>1419.5690420169301</v>
      </c>
      <c r="Y24" s="105">
        <v>47.347644879755002</v>
      </c>
      <c r="Z24" s="105">
        <v>13.6934671750232</v>
      </c>
      <c r="AA24" s="105">
        <v>17.387719560885799</v>
      </c>
      <c r="AB24" s="105">
        <v>13.5982352423731</v>
      </c>
      <c r="AC24" s="105">
        <v>25.720468126808001</v>
      </c>
      <c r="AD24" s="105">
        <v>11.3746399608518</v>
      </c>
      <c r="AE24" s="105">
        <v>15.689824833290301</v>
      </c>
      <c r="AF24" s="105">
        <v>23.512258297482301</v>
      </c>
      <c r="AG24" s="105">
        <v>20.886480332067599</v>
      </c>
      <c r="AH24" s="105">
        <v>12.870146855661501</v>
      </c>
      <c r="AI24" s="105">
        <v>2.8705572488789302</v>
      </c>
      <c r="AJ24" s="105">
        <v>13.6680844688328</v>
      </c>
      <c r="AK24" s="105">
        <v>7.1119768577915803</v>
      </c>
      <c r="AL24" s="105">
        <v>6.1802235393057599</v>
      </c>
      <c r="AM24" s="105">
        <v>6.6759887249945997</v>
      </c>
      <c r="AN24" s="105">
        <v>32.368535405119502</v>
      </c>
      <c r="AO24" s="105">
        <v>275.08684634646102</v>
      </c>
      <c r="AP24" s="105">
        <v>24.867668008817201</v>
      </c>
      <c r="AQ24" s="105">
        <v>1.0527731620264</v>
      </c>
      <c r="AR24" s="105">
        <v>0.59577476662674</v>
      </c>
      <c r="AS24" s="105">
        <v>13.618275047980401</v>
      </c>
      <c r="AT24" s="105">
        <v>6.1207350912433798</v>
      </c>
      <c r="AU24" s="105">
        <v>58.1993315677257</v>
      </c>
      <c r="AV24" s="105">
        <v>1.21890781711957</v>
      </c>
      <c r="AW24" s="105">
        <v>2.56591034861925</v>
      </c>
      <c r="AX24" s="105">
        <v>9.8932988817280307</v>
      </c>
      <c r="AY24" s="105">
        <v>12.354543887217201</v>
      </c>
      <c r="AZ24" s="105">
        <v>13.443408668629999</v>
      </c>
      <c r="BA24" s="105">
        <v>5.0610450928679498</v>
      </c>
      <c r="BB24" s="105">
        <v>19.097412706181899</v>
      </c>
      <c r="BC24" s="105">
        <v>31.837361300061701</v>
      </c>
      <c r="BD24" s="105">
        <v>92.892580265953001</v>
      </c>
      <c r="BE24" s="105">
        <v>7.2858779544554997</v>
      </c>
      <c r="BF24" s="105">
        <v>56.854870629651302</v>
      </c>
      <c r="BG24" s="105">
        <v>1.0216805222152401</v>
      </c>
      <c r="BH24" s="105">
        <v>1021.34506359891</v>
      </c>
      <c r="BI24" s="105">
        <v>398.67346112591702</v>
      </c>
      <c r="BJ24" s="105">
        <v>235.16511664163801</v>
      </c>
      <c r="BK24" s="105">
        <v>9136.6022827838697</v>
      </c>
      <c r="BL24" s="105">
        <v>8480.0417166931293</v>
      </c>
      <c r="BM24" s="105">
        <v>18.001842537885899</v>
      </c>
      <c r="BN24" s="105">
        <v>748.33831215976397</v>
      </c>
      <c r="BO24" s="105">
        <v>0</v>
      </c>
    </row>
    <row r="25" spans="1:67" x14ac:dyDescent="0.2">
      <c r="A25" s="105">
        <v>1302.9117748096601</v>
      </c>
      <c r="B25" s="105">
        <v>377.45308994336398</v>
      </c>
      <c r="C25" s="105">
        <v>83.980886156158107</v>
      </c>
      <c r="D25" s="105">
        <v>239.17740931631201</v>
      </c>
      <c r="E25" s="105">
        <v>336.74642876092503</v>
      </c>
      <c r="F25" s="105">
        <v>1598.49599517874</v>
      </c>
      <c r="G25" s="105">
        <v>98.615696163224797</v>
      </c>
      <c r="H25" s="105">
        <v>5615.4466043149096</v>
      </c>
      <c r="I25" s="105">
        <v>476.17932327078898</v>
      </c>
      <c r="J25" s="105">
        <v>13753.1379860829</v>
      </c>
      <c r="K25" s="105">
        <v>5062.7780433738199</v>
      </c>
      <c r="L25" s="105">
        <v>16.019272916193302</v>
      </c>
      <c r="M25" s="105">
        <v>531.76365486938096</v>
      </c>
      <c r="N25" s="105">
        <v>259.57626342641902</v>
      </c>
      <c r="O25" s="105">
        <v>825.05768076688298</v>
      </c>
      <c r="P25" s="105">
        <v>732.376681914762</v>
      </c>
      <c r="Q25" s="105">
        <v>1618.33918372174</v>
      </c>
      <c r="R25" s="105">
        <v>1108.67609025569</v>
      </c>
      <c r="S25" s="105">
        <v>195.69640087963</v>
      </c>
      <c r="T25" s="105">
        <v>133.93006208489601</v>
      </c>
      <c r="U25" s="105">
        <v>3610.3798631094801</v>
      </c>
      <c r="V25" s="105">
        <v>1353.85690604567</v>
      </c>
      <c r="W25" s="105">
        <v>2643.8986049383202</v>
      </c>
      <c r="X25" s="105">
        <v>777.60343710696202</v>
      </c>
      <c r="Y25" s="105">
        <v>23381.810950954801</v>
      </c>
      <c r="Z25" s="105">
        <v>3725.20564634621</v>
      </c>
      <c r="AA25" s="105">
        <v>756.951417176532</v>
      </c>
      <c r="AB25" s="105">
        <v>120.21810730976</v>
      </c>
      <c r="AC25" s="105">
        <v>1527.08307587789</v>
      </c>
      <c r="AD25" s="105">
        <v>1522.5680169714799</v>
      </c>
      <c r="AE25" s="105">
        <v>3022.35857152983</v>
      </c>
      <c r="AF25" s="105">
        <v>3540.1269149386899</v>
      </c>
      <c r="AG25" s="105">
        <v>11552.9552017772</v>
      </c>
      <c r="AH25" s="105">
        <v>4799.1467618611096</v>
      </c>
      <c r="AI25" s="105">
        <v>1067.8605872038199</v>
      </c>
      <c r="AJ25" s="105">
        <v>3916.6286329170698</v>
      </c>
      <c r="AK25" s="105">
        <v>1881.19162786264</v>
      </c>
      <c r="AL25" s="105">
        <v>458.78526717361001</v>
      </c>
      <c r="AM25" s="105">
        <v>1232.8285586905399</v>
      </c>
      <c r="AN25" s="105">
        <v>22139.326981430298</v>
      </c>
      <c r="AO25" s="105">
        <v>12720.0163488707</v>
      </c>
      <c r="AP25" s="105">
        <v>9695.6578369527397</v>
      </c>
      <c r="AQ25" s="105">
        <v>6.5441739694240697</v>
      </c>
      <c r="AR25" s="105">
        <v>905.53228793205005</v>
      </c>
      <c r="AS25" s="105">
        <v>269.80544333988001</v>
      </c>
      <c r="AT25" s="105">
        <v>42.1324272933795</v>
      </c>
      <c r="AU25" s="105">
        <v>673.25965872791699</v>
      </c>
      <c r="AV25" s="105">
        <v>15.9394260434985</v>
      </c>
      <c r="AW25" s="105">
        <v>10.3179766053915</v>
      </c>
      <c r="AX25" s="105">
        <v>33.502602556586602</v>
      </c>
      <c r="AY25" s="105">
        <v>54.438918084516899</v>
      </c>
      <c r="AZ25" s="105">
        <v>135.19950641077199</v>
      </c>
      <c r="BA25" s="105">
        <v>239.47797378178799</v>
      </c>
      <c r="BB25" s="105">
        <v>635.52241991424501</v>
      </c>
      <c r="BC25" s="105">
        <v>45.353348688317098</v>
      </c>
      <c r="BD25" s="105">
        <v>54.403362212960097</v>
      </c>
      <c r="BE25" s="105">
        <v>514.165842934323</v>
      </c>
      <c r="BF25" s="105">
        <v>772.161635647308</v>
      </c>
      <c r="BG25" s="105">
        <v>5.60261522711418</v>
      </c>
      <c r="BH25" s="105">
        <v>256.59266207765302</v>
      </c>
      <c r="BI25" s="105">
        <v>254.619426169793</v>
      </c>
      <c r="BJ25" s="105">
        <v>72.232815545949094</v>
      </c>
      <c r="BK25" s="105">
        <v>1109.63951380354</v>
      </c>
      <c r="BL25" s="105">
        <v>621.48758529649001</v>
      </c>
      <c r="BM25" s="105">
        <v>50.898727280637203</v>
      </c>
      <c r="BN25" s="105">
        <v>218.031384579498</v>
      </c>
      <c r="BO25" s="105">
        <v>0</v>
      </c>
    </row>
    <row r="26" spans="1:67" x14ac:dyDescent="0.2">
      <c r="A26" s="105">
        <v>3948.7843365303502</v>
      </c>
      <c r="B26" s="105">
        <v>2487.5182039030101</v>
      </c>
      <c r="C26" s="105">
        <v>88.464608233032493</v>
      </c>
      <c r="D26" s="105">
        <v>121.379354797353</v>
      </c>
      <c r="E26" s="105">
        <v>133.11864342565201</v>
      </c>
      <c r="F26" s="105">
        <v>44.812630904349298</v>
      </c>
      <c r="G26" s="105">
        <v>17.500114872912501</v>
      </c>
      <c r="H26" s="105">
        <v>73.009274209171394</v>
      </c>
      <c r="I26" s="105">
        <v>230.57076885069799</v>
      </c>
      <c r="J26" s="105">
        <v>2601.3438053701302</v>
      </c>
      <c r="K26" s="105">
        <v>3211.5779371511799</v>
      </c>
      <c r="L26" s="105">
        <v>2.4410000685815501</v>
      </c>
      <c r="M26" s="105">
        <v>45.679042108696102</v>
      </c>
      <c r="N26" s="105">
        <v>111.575632535094</v>
      </c>
      <c r="O26" s="105">
        <v>28.8130165967703</v>
      </c>
      <c r="P26" s="105">
        <v>26.533640262724301</v>
      </c>
      <c r="Q26" s="105">
        <v>421.96857217122198</v>
      </c>
      <c r="R26" s="105">
        <v>19.104005545411699</v>
      </c>
      <c r="S26" s="105">
        <v>21.078280755728098</v>
      </c>
      <c r="T26" s="105">
        <v>35.074086111297703</v>
      </c>
      <c r="U26" s="105">
        <v>1257.69703340457</v>
      </c>
      <c r="V26" s="105">
        <v>359.15741611267202</v>
      </c>
      <c r="W26" s="105">
        <v>548.93237724272603</v>
      </c>
      <c r="X26" s="105">
        <v>107.50901285871799</v>
      </c>
      <c r="Y26" s="105">
        <v>719.54899044620095</v>
      </c>
      <c r="Z26" s="105">
        <v>14277.030566307199</v>
      </c>
      <c r="AA26" s="105">
        <v>472.37580202409202</v>
      </c>
      <c r="AB26" s="105">
        <v>50.070777032987401</v>
      </c>
      <c r="AC26" s="105">
        <v>262.26845800638398</v>
      </c>
      <c r="AD26" s="105">
        <v>25.082073456304101</v>
      </c>
      <c r="AE26" s="105">
        <v>555.08360194917702</v>
      </c>
      <c r="AF26" s="105">
        <v>399.43103619714702</v>
      </c>
      <c r="AG26" s="105">
        <v>2807.3799961444902</v>
      </c>
      <c r="AH26" s="105">
        <v>239.57704137560401</v>
      </c>
      <c r="AI26" s="105">
        <v>166.68410610472901</v>
      </c>
      <c r="AJ26" s="105">
        <v>808.35075017233601</v>
      </c>
      <c r="AK26" s="105">
        <v>299.019518907715</v>
      </c>
      <c r="AL26" s="105">
        <v>2021.254131013</v>
      </c>
      <c r="AM26" s="105">
        <v>1718.67857170568</v>
      </c>
      <c r="AN26" s="105">
        <v>67918.303251694495</v>
      </c>
      <c r="AO26" s="105">
        <v>788.86598414102502</v>
      </c>
      <c r="AP26" s="105">
        <v>67.333844511008806</v>
      </c>
      <c r="AQ26" s="105">
        <v>2.1521372981971498</v>
      </c>
      <c r="AR26" s="105">
        <v>0.93473754543220999</v>
      </c>
      <c r="AS26" s="105">
        <v>52.539920762722197</v>
      </c>
      <c r="AT26" s="105">
        <v>299.20396241255901</v>
      </c>
      <c r="AU26" s="105">
        <v>1010.88009627876</v>
      </c>
      <c r="AV26" s="105">
        <v>3.9277633359018802</v>
      </c>
      <c r="AW26" s="105">
        <v>7.6160439843969501</v>
      </c>
      <c r="AX26" s="105">
        <v>18.508433322201999</v>
      </c>
      <c r="AY26" s="105">
        <v>25.7034035104165</v>
      </c>
      <c r="AZ26" s="105">
        <v>39.510050435320402</v>
      </c>
      <c r="BA26" s="105">
        <v>2295.9412572006199</v>
      </c>
      <c r="BB26" s="105">
        <v>44.142176135291201</v>
      </c>
      <c r="BC26" s="105">
        <v>25.425821919217402</v>
      </c>
      <c r="BD26" s="105">
        <v>16.246602746333899</v>
      </c>
      <c r="BE26" s="105">
        <v>11.221013346467201</v>
      </c>
      <c r="BF26" s="105">
        <v>144.79401817096701</v>
      </c>
      <c r="BG26" s="105">
        <v>2.8920090301966699</v>
      </c>
      <c r="BH26" s="105">
        <v>547.36593322986198</v>
      </c>
      <c r="BI26" s="105">
        <v>186.64577961050401</v>
      </c>
      <c r="BJ26" s="105">
        <v>41.5871182698734</v>
      </c>
      <c r="BK26" s="105">
        <v>331.522170124696</v>
      </c>
      <c r="BL26" s="105">
        <v>192.14039150398099</v>
      </c>
      <c r="BM26" s="105">
        <v>30.628839973529399</v>
      </c>
      <c r="BN26" s="105">
        <v>364.04111922574401</v>
      </c>
      <c r="BO26" s="105">
        <v>0</v>
      </c>
    </row>
    <row r="27" spans="1:67" x14ac:dyDescent="0.2">
      <c r="A27" s="105">
        <v>452.97771966721501</v>
      </c>
      <c r="B27" s="105">
        <v>670.73266864569996</v>
      </c>
      <c r="C27" s="105">
        <v>45.274527640378402</v>
      </c>
      <c r="D27" s="105">
        <v>260.031224320224</v>
      </c>
      <c r="E27" s="105">
        <v>24888.964660205598</v>
      </c>
      <c r="F27" s="105">
        <v>265.05850908593101</v>
      </c>
      <c r="G27" s="105">
        <v>206.93591310901601</v>
      </c>
      <c r="H27" s="105">
        <v>932.74675173646801</v>
      </c>
      <c r="I27" s="105">
        <v>25.189410635881199</v>
      </c>
      <c r="J27" s="105">
        <v>583.12410349814797</v>
      </c>
      <c r="K27" s="105">
        <v>547.76556118744702</v>
      </c>
      <c r="L27" s="105">
        <v>3.3537108142388701</v>
      </c>
      <c r="M27" s="105">
        <v>45.109082181869297</v>
      </c>
      <c r="N27" s="105">
        <v>15.008595357690201</v>
      </c>
      <c r="O27" s="105">
        <v>18.453799540801</v>
      </c>
      <c r="P27" s="105">
        <v>76.091782152197297</v>
      </c>
      <c r="Q27" s="105">
        <v>623.54541788465099</v>
      </c>
      <c r="R27" s="105">
        <v>17.856661237685501</v>
      </c>
      <c r="S27" s="105">
        <v>125.73654405121</v>
      </c>
      <c r="T27" s="105">
        <v>26.554943027018801</v>
      </c>
      <c r="U27" s="105">
        <v>319.43323439744802</v>
      </c>
      <c r="V27" s="105">
        <v>225.66110326066101</v>
      </c>
      <c r="W27" s="105">
        <v>165.17828747159899</v>
      </c>
      <c r="X27" s="105">
        <v>45.640536958239601</v>
      </c>
      <c r="Y27" s="105">
        <v>2538.4752519684698</v>
      </c>
      <c r="Z27" s="105">
        <v>2106.0430152014701</v>
      </c>
      <c r="AA27" s="105">
        <v>29414.926898453599</v>
      </c>
      <c r="AB27" s="105">
        <v>2230.14733087273</v>
      </c>
      <c r="AC27" s="105">
        <v>48438.289876401403</v>
      </c>
      <c r="AD27" s="105">
        <v>231.64285635237701</v>
      </c>
      <c r="AE27" s="105">
        <v>7066.8038079191301</v>
      </c>
      <c r="AF27" s="105">
        <v>23290.9246462622</v>
      </c>
      <c r="AG27" s="105">
        <v>11492.1111488611</v>
      </c>
      <c r="AH27" s="105">
        <v>17859.5596399694</v>
      </c>
      <c r="AI27" s="105">
        <v>1529.2775444443801</v>
      </c>
      <c r="AJ27" s="105">
        <v>3105.84855495994</v>
      </c>
      <c r="AK27" s="105">
        <v>2652.4349404780601</v>
      </c>
      <c r="AL27" s="105">
        <v>521.73612416408605</v>
      </c>
      <c r="AM27" s="105">
        <v>319.09167796037599</v>
      </c>
      <c r="AN27" s="105">
        <v>24717.514530074899</v>
      </c>
      <c r="AO27" s="105">
        <v>4252.3259919772399</v>
      </c>
      <c r="AP27" s="105">
        <v>104.923985609588</v>
      </c>
      <c r="AQ27" s="105">
        <v>2.1551802359340799</v>
      </c>
      <c r="AR27" s="105">
        <v>1.5676032979180301</v>
      </c>
      <c r="AS27" s="105">
        <v>70.5219685886577</v>
      </c>
      <c r="AT27" s="105">
        <v>19.1790774269619</v>
      </c>
      <c r="AU27" s="105">
        <v>116.80205550218</v>
      </c>
      <c r="AV27" s="105">
        <v>2.4636660532932502</v>
      </c>
      <c r="AW27" s="105">
        <v>7.3111523164916496</v>
      </c>
      <c r="AX27" s="105">
        <v>31.2328560987964</v>
      </c>
      <c r="AY27" s="105">
        <v>111.686052180044</v>
      </c>
      <c r="AZ27" s="105">
        <v>67.887490610064802</v>
      </c>
      <c r="BA27" s="105">
        <v>47.112957015526703</v>
      </c>
      <c r="BB27" s="105">
        <v>78.029264312410604</v>
      </c>
      <c r="BC27" s="105">
        <v>48.8154596877892</v>
      </c>
      <c r="BD27" s="105">
        <v>21.983110504460001</v>
      </c>
      <c r="BE27" s="105">
        <v>461.67630810260903</v>
      </c>
      <c r="BF27" s="105">
        <v>77.922497798576103</v>
      </c>
      <c r="BG27" s="105">
        <v>13.815821528313499</v>
      </c>
      <c r="BH27" s="105">
        <v>296.170880058134</v>
      </c>
      <c r="BI27" s="105">
        <v>56.262659067712796</v>
      </c>
      <c r="BJ27" s="105">
        <v>74.098073827392497</v>
      </c>
      <c r="BK27" s="105">
        <v>55.6271465890607</v>
      </c>
      <c r="BL27" s="105">
        <v>45.713528878536401</v>
      </c>
      <c r="BM27" s="105">
        <v>53.424629703002402</v>
      </c>
      <c r="BN27" s="105">
        <v>58.324427681173198</v>
      </c>
      <c r="BO27" s="105">
        <v>0</v>
      </c>
    </row>
    <row r="28" spans="1:67" x14ac:dyDescent="0.2">
      <c r="A28" s="105">
        <v>329.87930908204902</v>
      </c>
      <c r="B28" s="105">
        <v>86.898763955797804</v>
      </c>
      <c r="C28" s="105">
        <v>5.80702455990704</v>
      </c>
      <c r="D28" s="105">
        <v>8.1593551402040791</v>
      </c>
      <c r="E28" s="105">
        <v>230.56634479575601</v>
      </c>
      <c r="F28" s="105">
        <v>88.278357905181494</v>
      </c>
      <c r="G28" s="105">
        <v>156.03989184661199</v>
      </c>
      <c r="H28" s="105">
        <v>531.161414948833</v>
      </c>
      <c r="I28" s="105">
        <v>18.887397466059902</v>
      </c>
      <c r="J28" s="105">
        <v>801.34026306758403</v>
      </c>
      <c r="K28" s="105">
        <v>154.00190993091999</v>
      </c>
      <c r="L28" s="105">
        <v>2.2843845557382898</v>
      </c>
      <c r="M28" s="105">
        <v>20.626912101088902</v>
      </c>
      <c r="N28" s="105">
        <v>13.261793640171501</v>
      </c>
      <c r="O28" s="105">
        <v>12.995920761320701</v>
      </c>
      <c r="P28" s="105">
        <v>18.9549959652892</v>
      </c>
      <c r="Q28" s="105">
        <v>621.72325122315999</v>
      </c>
      <c r="R28" s="105">
        <v>295.68802688668501</v>
      </c>
      <c r="S28" s="105">
        <v>21.406726474621902</v>
      </c>
      <c r="T28" s="105">
        <v>12.463226780252199</v>
      </c>
      <c r="U28" s="105">
        <v>1738.1756572747099</v>
      </c>
      <c r="V28" s="105">
        <v>470.77248100619403</v>
      </c>
      <c r="W28" s="105">
        <v>91.625645457069496</v>
      </c>
      <c r="X28" s="105">
        <v>40.656271446026302</v>
      </c>
      <c r="Y28" s="105">
        <v>196.474182065767</v>
      </c>
      <c r="Z28" s="105">
        <v>260.35850965833799</v>
      </c>
      <c r="AA28" s="105">
        <v>2628.0213080101198</v>
      </c>
      <c r="AB28" s="105">
        <v>16933.265530066001</v>
      </c>
      <c r="AC28" s="105">
        <v>3463.8851044575299</v>
      </c>
      <c r="AD28" s="105">
        <v>208.40890246180601</v>
      </c>
      <c r="AE28" s="105">
        <v>8712.3580868875106</v>
      </c>
      <c r="AF28" s="105">
        <v>3188.5595319734698</v>
      </c>
      <c r="AG28" s="105">
        <v>1063.31881665882</v>
      </c>
      <c r="AH28" s="105">
        <v>5513.7282253439398</v>
      </c>
      <c r="AI28" s="105">
        <v>950.98436987952198</v>
      </c>
      <c r="AJ28" s="105">
        <v>2722.81208873777</v>
      </c>
      <c r="AK28" s="105">
        <v>1749.11890926466</v>
      </c>
      <c r="AL28" s="105">
        <v>90.800836529057506</v>
      </c>
      <c r="AM28" s="105">
        <v>186.67737022537199</v>
      </c>
      <c r="AN28" s="105">
        <v>2490.6834781734101</v>
      </c>
      <c r="AO28" s="105">
        <v>1549.3196457444201</v>
      </c>
      <c r="AP28" s="105">
        <v>97.125251892387098</v>
      </c>
      <c r="AQ28" s="105">
        <v>2.7345974126281298</v>
      </c>
      <c r="AR28" s="105">
        <v>1.7019457686161801</v>
      </c>
      <c r="AS28" s="105">
        <v>63.755562859597198</v>
      </c>
      <c r="AT28" s="105">
        <v>19.1436351725234</v>
      </c>
      <c r="AU28" s="105">
        <v>95.0013236235433</v>
      </c>
      <c r="AV28" s="105">
        <v>3.6492250109200399</v>
      </c>
      <c r="AW28" s="105">
        <v>8.2883356565771695</v>
      </c>
      <c r="AX28" s="105">
        <v>36.083507307952701</v>
      </c>
      <c r="AY28" s="105">
        <v>46.135480708713501</v>
      </c>
      <c r="AZ28" s="105">
        <v>80.138413075592396</v>
      </c>
      <c r="BA28" s="105">
        <v>60.097127523757898</v>
      </c>
      <c r="BB28" s="105">
        <v>86.629532757586503</v>
      </c>
      <c r="BC28" s="105">
        <v>18.618425726011299</v>
      </c>
      <c r="BD28" s="105">
        <v>28.407283968616699</v>
      </c>
      <c r="BE28" s="105">
        <v>17.313173622456901</v>
      </c>
      <c r="BF28" s="105">
        <v>69.658807575764598</v>
      </c>
      <c r="BG28" s="105">
        <v>7.9311768485212104</v>
      </c>
      <c r="BH28" s="105">
        <v>77.721792089402598</v>
      </c>
      <c r="BI28" s="105">
        <v>18.1077946608541</v>
      </c>
      <c r="BJ28" s="105">
        <v>87.531360067905496</v>
      </c>
      <c r="BK28" s="105">
        <v>46.495279909514601</v>
      </c>
      <c r="BL28" s="105">
        <v>94.923537806294306</v>
      </c>
      <c r="BM28" s="105">
        <v>62.715866950378199</v>
      </c>
      <c r="BN28" s="105">
        <v>78.373741511397597</v>
      </c>
      <c r="BO28" s="105">
        <v>0</v>
      </c>
    </row>
    <row r="29" spans="1:67" x14ac:dyDescent="0.2">
      <c r="A29" s="105">
        <v>672.21372849941099</v>
      </c>
      <c r="B29" s="105">
        <v>862.327904521101</v>
      </c>
      <c r="C29" s="105">
        <v>84.499279906126802</v>
      </c>
      <c r="D29" s="105">
        <v>120.26045657795299</v>
      </c>
      <c r="E29" s="105">
        <v>3956.97975687089</v>
      </c>
      <c r="F29" s="105">
        <v>3386.8401242383702</v>
      </c>
      <c r="G29" s="105">
        <v>464.68560459596898</v>
      </c>
      <c r="H29" s="105">
        <v>6136.5379803223204</v>
      </c>
      <c r="I29" s="105">
        <v>263.80285602687502</v>
      </c>
      <c r="J29" s="105">
        <v>5207.4876991900501</v>
      </c>
      <c r="K29" s="105">
        <v>8278.5441100818298</v>
      </c>
      <c r="L29" s="105">
        <v>41.036512265249101</v>
      </c>
      <c r="M29" s="105">
        <v>146.56962238120499</v>
      </c>
      <c r="N29" s="105">
        <v>141.61248490322899</v>
      </c>
      <c r="O29" s="105">
        <v>87.247567601753005</v>
      </c>
      <c r="P29" s="105">
        <v>859.89422744325998</v>
      </c>
      <c r="Q29" s="105">
        <v>350.29228661612098</v>
      </c>
      <c r="R29" s="105">
        <v>43.829689060618499</v>
      </c>
      <c r="S29" s="105">
        <v>907.32647232388899</v>
      </c>
      <c r="T29" s="105">
        <v>211.127757049954</v>
      </c>
      <c r="U29" s="105">
        <v>1391.8093978556799</v>
      </c>
      <c r="V29" s="105">
        <v>2113.6869188461801</v>
      </c>
      <c r="W29" s="105">
        <v>1891.98931576164</v>
      </c>
      <c r="X29" s="105">
        <v>310.72426686507703</v>
      </c>
      <c r="Y29" s="105">
        <v>622.93152610434595</v>
      </c>
      <c r="Z29" s="105">
        <v>437.25729144546102</v>
      </c>
      <c r="AA29" s="105">
        <v>5191.9492225087997</v>
      </c>
      <c r="AB29" s="105">
        <v>563.53407178530495</v>
      </c>
      <c r="AC29" s="105">
        <v>16950.874370433001</v>
      </c>
      <c r="AD29" s="105">
        <v>1651.74227257093</v>
      </c>
      <c r="AE29" s="105">
        <v>5063.8627053871996</v>
      </c>
      <c r="AF29" s="105">
        <v>12407.408178809401</v>
      </c>
      <c r="AG29" s="105">
        <v>7173.0964397195003</v>
      </c>
      <c r="AH29" s="105">
        <v>4637.3826145674402</v>
      </c>
      <c r="AI29" s="105">
        <v>2464.6543878155599</v>
      </c>
      <c r="AJ29" s="105">
        <v>2286.6493266344901</v>
      </c>
      <c r="AK29" s="105">
        <v>4843.6422115774003</v>
      </c>
      <c r="AL29" s="105">
        <v>2888.2224185762798</v>
      </c>
      <c r="AM29" s="105">
        <v>991.19005488390599</v>
      </c>
      <c r="AN29" s="105">
        <v>29310.6362430548</v>
      </c>
      <c r="AO29" s="105">
        <v>3300.3130924766001</v>
      </c>
      <c r="AP29" s="105">
        <v>257.24972234530497</v>
      </c>
      <c r="AQ29" s="105">
        <v>8.6397220834511401</v>
      </c>
      <c r="AR29" s="105">
        <v>4.6719618982640698</v>
      </c>
      <c r="AS29" s="105">
        <v>75.079340858635405</v>
      </c>
      <c r="AT29" s="105">
        <v>80.276998312470099</v>
      </c>
      <c r="AU29" s="105">
        <v>872.54605442603497</v>
      </c>
      <c r="AV29" s="105">
        <v>3.4707636056382798</v>
      </c>
      <c r="AW29" s="105">
        <v>20.992849834918701</v>
      </c>
      <c r="AX29" s="105">
        <v>63.891672465418303</v>
      </c>
      <c r="AY29" s="105">
        <v>44.455921294453503</v>
      </c>
      <c r="AZ29" s="105">
        <v>58.575987923965499</v>
      </c>
      <c r="BA29" s="105">
        <v>348.02103889307699</v>
      </c>
      <c r="BB29" s="105">
        <v>73.447475044087994</v>
      </c>
      <c r="BC29" s="105">
        <v>50.788858482558197</v>
      </c>
      <c r="BD29" s="105">
        <v>23.3664013399335</v>
      </c>
      <c r="BE29" s="105">
        <v>30.746885600859201</v>
      </c>
      <c r="BF29" s="105">
        <v>401.22784775017499</v>
      </c>
      <c r="BG29" s="105">
        <v>163.99694816914101</v>
      </c>
      <c r="BH29" s="105">
        <v>1253.8931893643</v>
      </c>
      <c r="BI29" s="105">
        <v>90.525529358908202</v>
      </c>
      <c r="BJ29" s="105">
        <v>61.750349484873603</v>
      </c>
      <c r="BK29" s="105">
        <v>283.09801091352</v>
      </c>
      <c r="BL29" s="105">
        <v>112.633880729954</v>
      </c>
      <c r="BM29" s="105">
        <v>46.755689392339903</v>
      </c>
      <c r="BN29" s="105">
        <v>163.22959834625601</v>
      </c>
      <c r="BO29" s="105">
        <v>0</v>
      </c>
    </row>
    <row r="30" spans="1:67" x14ac:dyDescent="0.2">
      <c r="A30" s="105">
        <v>56.543918538170402</v>
      </c>
      <c r="B30" s="105">
        <v>32.789224155744499</v>
      </c>
      <c r="C30" s="105">
        <v>3.4370011718076299</v>
      </c>
      <c r="D30" s="105">
        <v>17.650694320696399</v>
      </c>
      <c r="E30" s="105">
        <v>556.50910304988702</v>
      </c>
      <c r="F30" s="105">
        <v>297.37445065499202</v>
      </c>
      <c r="G30" s="105">
        <v>31.876252507855298</v>
      </c>
      <c r="H30" s="105">
        <v>111.715502512206</v>
      </c>
      <c r="I30" s="105">
        <v>9.2491447184979894</v>
      </c>
      <c r="J30" s="105">
        <v>109.40794733860599</v>
      </c>
      <c r="K30" s="105">
        <v>29.716314101308502</v>
      </c>
      <c r="L30" s="105">
        <v>3.25512248293176</v>
      </c>
      <c r="M30" s="105">
        <v>18.9852851222299</v>
      </c>
      <c r="N30" s="105">
        <v>23.016424549532399</v>
      </c>
      <c r="O30" s="105">
        <v>12.0658904514575</v>
      </c>
      <c r="P30" s="105">
        <v>24.145950040831998</v>
      </c>
      <c r="Q30" s="105">
        <v>52.220137256712398</v>
      </c>
      <c r="R30" s="105">
        <v>353.58564413303998</v>
      </c>
      <c r="S30" s="105">
        <v>15.757033047021199</v>
      </c>
      <c r="T30" s="105">
        <v>11.0277954830227</v>
      </c>
      <c r="U30" s="105">
        <v>66.011890746753195</v>
      </c>
      <c r="V30" s="105">
        <v>41.725163564265998</v>
      </c>
      <c r="W30" s="105">
        <v>23.358737289985001</v>
      </c>
      <c r="X30" s="105">
        <v>23.330999856446599</v>
      </c>
      <c r="Y30" s="105">
        <v>99.915928021557704</v>
      </c>
      <c r="Z30" s="105">
        <v>44.4429293349041</v>
      </c>
      <c r="AA30" s="105">
        <v>71.289982096857202</v>
      </c>
      <c r="AB30" s="105">
        <v>38.419656289476798</v>
      </c>
      <c r="AC30" s="105">
        <v>50.939722287788101</v>
      </c>
      <c r="AD30" s="105">
        <v>14713.6235448098</v>
      </c>
      <c r="AE30" s="105">
        <v>887.72074838601395</v>
      </c>
      <c r="AF30" s="105">
        <v>1431.3416204389</v>
      </c>
      <c r="AG30" s="105">
        <v>286.50607755248802</v>
      </c>
      <c r="AH30" s="105">
        <v>329.05164342277402</v>
      </c>
      <c r="AI30" s="105">
        <v>64.624683159375607</v>
      </c>
      <c r="AJ30" s="105">
        <v>113.940878592617</v>
      </c>
      <c r="AK30" s="105">
        <v>1056.85173703752</v>
      </c>
      <c r="AL30" s="105">
        <v>325.58315586930001</v>
      </c>
      <c r="AM30" s="105">
        <v>41.046907247674199</v>
      </c>
      <c r="AN30" s="105">
        <v>833.19261211560502</v>
      </c>
      <c r="AO30" s="105">
        <v>647.95144097146101</v>
      </c>
      <c r="AP30" s="105">
        <v>127.028802927756</v>
      </c>
      <c r="AQ30" s="105">
        <v>12.9068498409451</v>
      </c>
      <c r="AR30" s="105">
        <v>1.74034306758198</v>
      </c>
      <c r="AS30" s="105">
        <v>305.25335864894902</v>
      </c>
      <c r="AT30" s="105">
        <v>5.9709575028931301</v>
      </c>
      <c r="AU30" s="105">
        <v>42.084862287661402</v>
      </c>
      <c r="AV30" s="105">
        <v>6.0526148648647</v>
      </c>
      <c r="AW30" s="105">
        <v>209.42236098652</v>
      </c>
      <c r="AX30" s="105">
        <v>177.075044085206</v>
      </c>
      <c r="AY30" s="105">
        <v>3248.2015422025102</v>
      </c>
      <c r="AZ30" s="105">
        <v>398.054967919896</v>
      </c>
      <c r="BA30" s="105">
        <v>26.076874701516701</v>
      </c>
      <c r="BB30" s="105">
        <v>318.22819811276997</v>
      </c>
      <c r="BC30" s="105">
        <v>839.10732010728998</v>
      </c>
      <c r="BD30" s="105">
        <v>211.51026062740101</v>
      </c>
      <c r="BE30" s="105">
        <v>59.285050916492601</v>
      </c>
      <c r="BF30" s="105">
        <v>1321.37521139656</v>
      </c>
      <c r="BG30" s="105">
        <v>78.390047039775993</v>
      </c>
      <c r="BH30" s="105">
        <v>647.70553636300201</v>
      </c>
      <c r="BI30" s="105">
        <v>460.42900955198098</v>
      </c>
      <c r="BJ30" s="105">
        <v>151.79316182641401</v>
      </c>
      <c r="BK30" s="105">
        <v>232.67733056048201</v>
      </c>
      <c r="BL30" s="105">
        <v>216.58653342399799</v>
      </c>
      <c r="BM30" s="105">
        <v>40.6452318875888</v>
      </c>
      <c r="BN30" s="105">
        <v>572.22544693086797</v>
      </c>
      <c r="BO30" s="105">
        <v>0</v>
      </c>
    </row>
    <row r="31" spans="1:67" x14ac:dyDescent="0.2">
      <c r="A31" s="105">
        <v>89.004241518995897</v>
      </c>
      <c r="B31" s="105">
        <v>145.48403503416301</v>
      </c>
      <c r="C31" s="105">
        <v>9.7764141395625401</v>
      </c>
      <c r="D31" s="105">
        <v>42.483323916276603</v>
      </c>
      <c r="E31" s="105">
        <v>685.95646634429295</v>
      </c>
      <c r="F31" s="105">
        <v>216.908491997368</v>
      </c>
      <c r="G31" s="105">
        <v>36.349190688838803</v>
      </c>
      <c r="H31" s="105">
        <v>176.15072147333399</v>
      </c>
      <c r="I31" s="105">
        <v>59.304793423234997</v>
      </c>
      <c r="J31" s="105">
        <v>220.67239875278199</v>
      </c>
      <c r="K31" s="105">
        <v>105.542506342197</v>
      </c>
      <c r="L31" s="105">
        <v>3.7902804836828801</v>
      </c>
      <c r="M31" s="105">
        <v>64.608715272307407</v>
      </c>
      <c r="N31" s="105">
        <v>11.932424265944</v>
      </c>
      <c r="O31" s="105">
        <v>14.9329533413707</v>
      </c>
      <c r="P31" s="105">
        <v>76.741975983919602</v>
      </c>
      <c r="Q31" s="105">
        <v>136.44031220332101</v>
      </c>
      <c r="R31" s="105">
        <v>22.327856106906999</v>
      </c>
      <c r="S31" s="105">
        <v>24.836257701692201</v>
      </c>
      <c r="T31" s="105">
        <v>34.424432883947503</v>
      </c>
      <c r="U31" s="105">
        <v>261.264460056426</v>
      </c>
      <c r="V31" s="105">
        <v>59.084528902893197</v>
      </c>
      <c r="W31" s="105">
        <v>46.757182401460803</v>
      </c>
      <c r="X31" s="105">
        <v>27.891019757358499</v>
      </c>
      <c r="Y31" s="105">
        <v>237.408313046111</v>
      </c>
      <c r="Z31" s="105">
        <v>287.88287751845797</v>
      </c>
      <c r="AA31" s="105">
        <v>214.25700535051399</v>
      </c>
      <c r="AB31" s="105">
        <v>276.96587052932398</v>
      </c>
      <c r="AC31" s="105">
        <v>413.65098092377701</v>
      </c>
      <c r="AD31" s="105">
        <v>2528.0346453449602</v>
      </c>
      <c r="AE31" s="105">
        <v>15242.654738659799</v>
      </c>
      <c r="AF31" s="105">
        <v>5460.4784658482004</v>
      </c>
      <c r="AG31" s="105">
        <v>1341.7408561986699</v>
      </c>
      <c r="AH31" s="105">
        <v>1994.8642462185901</v>
      </c>
      <c r="AI31" s="105">
        <v>405.61909674972702</v>
      </c>
      <c r="AJ31" s="105">
        <v>457.37098587821998</v>
      </c>
      <c r="AK31" s="105">
        <v>3578.81694446033</v>
      </c>
      <c r="AL31" s="105">
        <v>6821.1582151284501</v>
      </c>
      <c r="AM31" s="105">
        <v>426.01527218615399</v>
      </c>
      <c r="AN31" s="105">
        <v>12084.3053582791</v>
      </c>
      <c r="AO31" s="105">
        <v>2001.34420698077</v>
      </c>
      <c r="AP31" s="105">
        <v>1619.6938358336099</v>
      </c>
      <c r="AQ31" s="105">
        <v>35.105519024756497</v>
      </c>
      <c r="AR31" s="105">
        <v>1.6299755503919999</v>
      </c>
      <c r="AS31" s="105">
        <v>158.31190093936499</v>
      </c>
      <c r="AT31" s="105">
        <v>40.315801469586098</v>
      </c>
      <c r="AU31" s="105">
        <v>65.156467100775203</v>
      </c>
      <c r="AV31" s="105">
        <v>5.8820295330918198</v>
      </c>
      <c r="AW31" s="105">
        <v>90.232341871024204</v>
      </c>
      <c r="AX31" s="105">
        <v>1162.92425900833</v>
      </c>
      <c r="AY31" s="105">
        <v>63.332628161537897</v>
      </c>
      <c r="AZ31" s="105">
        <v>95.340059559847901</v>
      </c>
      <c r="BA31" s="105">
        <v>580.29061166531301</v>
      </c>
      <c r="BB31" s="105">
        <v>597.636486829349</v>
      </c>
      <c r="BC31" s="105">
        <v>79.033376664407896</v>
      </c>
      <c r="BD31" s="105">
        <v>61.658149317307</v>
      </c>
      <c r="BE31" s="105">
        <v>48.914896611559101</v>
      </c>
      <c r="BF31" s="105">
        <v>936.15237141209104</v>
      </c>
      <c r="BG31" s="105">
        <v>4.5451290067382697</v>
      </c>
      <c r="BH31" s="105">
        <v>199.84854321581699</v>
      </c>
      <c r="BI31" s="105">
        <v>70.611261568768896</v>
      </c>
      <c r="BJ31" s="105">
        <v>36.975921917364403</v>
      </c>
      <c r="BK31" s="105">
        <v>43.478329866650199</v>
      </c>
      <c r="BL31" s="105">
        <v>35.579146496617</v>
      </c>
      <c r="BM31" s="105">
        <v>73.901416795303902</v>
      </c>
      <c r="BN31" s="105">
        <v>947.90814759103796</v>
      </c>
      <c r="BO31" s="105">
        <v>0</v>
      </c>
    </row>
    <row r="32" spans="1:67" x14ac:dyDescent="0.2">
      <c r="A32" s="105">
        <v>97.824895293405802</v>
      </c>
      <c r="B32" s="105">
        <v>73.550784690680402</v>
      </c>
      <c r="C32" s="105">
        <v>10.951190522694199</v>
      </c>
      <c r="D32" s="105">
        <v>183.300584119728</v>
      </c>
      <c r="E32" s="105">
        <v>5994.8510788175399</v>
      </c>
      <c r="F32" s="105">
        <v>7656.1461179253201</v>
      </c>
      <c r="G32" s="105">
        <v>918.48999089183997</v>
      </c>
      <c r="H32" s="105">
        <v>226.754145932358</v>
      </c>
      <c r="I32" s="105">
        <v>37.629436683341702</v>
      </c>
      <c r="J32" s="105">
        <v>239.97625856266299</v>
      </c>
      <c r="K32" s="105">
        <v>215.881775813247</v>
      </c>
      <c r="L32" s="105">
        <v>3.7519609593318002</v>
      </c>
      <c r="M32" s="105">
        <v>47.620483608946003</v>
      </c>
      <c r="N32" s="105">
        <v>25.8951826257452</v>
      </c>
      <c r="O32" s="105">
        <v>21.9018309764737</v>
      </c>
      <c r="P32" s="105">
        <v>128.50344071044</v>
      </c>
      <c r="Q32" s="105">
        <v>129.66097880651699</v>
      </c>
      <c r="R32" s="105">
        <v>42.487681298206397</v>
      </c>
      <c r="S32" s="105">
        <v>56.833468468699898</v>
      </c>
      <c r="T32" s="105">
        <v>35.004017469484097</v>
      </c>
      <c r="U32" s="105">
        <v>130.53086839018599</v>
      </c>
      <c r="V32" s="105">
        <v>86.618787607114101</v>
      </c>
      <c r="W32" s="105">
        <v>65.191501860823493</v>
      </c>
      <c r="X32" s="105">
        <v>40.650364363126698</v>
      </c>
      <c r="Y32" s="105">
        <v>206.70521636524501</v>
      </c>
      <c r="Z32" s="105">
        <v>136.95110371927399</v>
      </c>
      <c r="AA32" s="105">
        <v>370.45517261915899</v>
      </c>
      <c r="AB32" s="105">
        <v>153.83177803103899</v>
      </c>
      <c r="AC32" s="105">
        <v>459.74198348047099</v>
      </c>
      <c r="AD32" s="105">
        <v>233.964682013302</v>
      </c>
      <c r="AE32" s="105">
        <v>1023.62979921718</v>
      </c>
      <c r="AF32" s="105">
        <v>22348.1950981017</v>
      </c>
      <c r="AG32" s="105">
        <v>2087.0392709697699</v>
      </c>
      <c r="AH32" s="105">
        <v>415.510225252216</v>
      </c>
      <c r="AI32" s="105">
        <v>316.49022447077101</v>
      </c>
      <c r="AJ32" s="105">
        <v>131.741547224904</v>
      </c>
      <c r="AK32" s="105">
        <v>8322.0572209466809</v>
      </c>
      <c r="AL32" s="105">
        <v>316.47272141915101</v>
      </c>
      <c r="AM32" s="105">
        <v>132.26236870929199</v>
      </c>
      <c r="AN32" s="105">
        <v>4662.13317718694</v>
      </c>
      <c r="AO32" s="105">
        <v>1255.9110701526599</v>
      </c>
      <c r="AP32" s="105">
        <v>353.279981586769</v>
      </c>
      <c r="AQ32" s="105">
        <v>163.809002604353</v>
      </c>
      <c r="AR32" s="105">
        <v>11.185509833486</v>
      </c>
      <c r="AS32" s="105">
        <v>244.61773582587901</v>
      </c>
      <c r="AT32" s="105">
        <v>12.041269691237799</v>
      </c>
      <c r="AU32" s="105">
        <v>57.741154955273203</v>
      </c>
      <c r="AV32" s="105">
        <v>12.039396480792901</v>
      </c>
      <c r="AW32" s="105">
        <v>9.5899151806330991</v>
      </c>
      <c r="AX32" s="105">
        <v>80.0810261182353</v>
      </c>
      <c r="AY32" s="105">
        <v>74.2226782223659</v>
      </c>
      <c r="AZ32" s="105">
        <v>23.883547589021202</v>
      </c>
      <c r="BA32" s="105">
        <v>35.481631304601898</v>
      </c>
      <c r="BB32" s="105">
        <v>52.519396910805497</v>
      </c>
      <c r="BC32" s="105">
        <v>58.378691476516103</v>
      </c>
      <c r="BD32" s="105">
        <v>21.024434013961201</v>
      </c>
      <c r="BE32" s="105">
        <v>42.850860191175101</v>
      </c>
      <c r="BF32" s="105">
        <v>1851.7442447527801</v>
      </c>
      <c r="BG32" s="105">
        <v>10.526799575103601</v>
      </c>
      <c r="BH32" s="105">
        <v>192.88093364205201</v>
      </c>
      <c r="BI32" s="105">
        <v>35.063261462814999</v>
      </c>
      <c r="BJ32" s="105">
        <v>8.6591104925027391</v>
      </c>
      <c r="BK32" s="105">
        <v>330.36942866555199</v>
      </c>
      <c r="BL32" s="105">
        <v>79.528469187048898</v>
      </c>
      <c r="BM32" s="105">
        <v>22.430606284662002</v>
      </c>
      <c r="BN32" s="105">
        <v>68.397129009109804</v>
      </c>
      <c r="BO32" s="105">
        <v>0</v>
      </c>
    </row>
    <row r="33" spans="1:67" x14ac:dyDescent="0.2">
      <c r="A33" s="105">
        <v>21.702602158234502</v>
      </c>
      <c r="B33" s="105">
        <v>12.848719401957601</v>
      </c>
      <c r="C33" s="105">
        <v>1.04126825187872</v>
      </c>
      <c r="D33" s="105">
        <v>2.2406968462852701</v>
      </c>
      <c r="E33" s="105">
        <v>59.326251111641398</v>
      </c>
      <c r="F33" s="105">
        <v>59.131702834368603</v>
      </c>
      <c r="G33" s="105">
        <v>5.5568791525689996</v>
      </c>
      <c r="H33" s="105">
        <v>33.902665552757703</v>
      </c>
      <c r="I33" s="105">
        <v>165.33569208779801</v>
      </c>
      <c r="J33" s="105">
        <v>39.463591616205399</v>
      </c>
      <c r="K33" s="105">
        <v>13.5946002808678</v>
      </c>
      <c r="L33" s="105">
        <v>1.5631747858357901</v>
      </c>
      <c r="M33" s="105">
        <v>14.2540572339225</v>
      </c>
      <c r="N33" s="105">
        <v>6.6454456798028598</v>
      </c>
      <c r="O33" s="105">
        <v>5.7607295524062803</v>
      </c>
      <c r="P33" s="105">
        <v>5.8250831422833302</v>
      </c>
      <c r="Q33" s="105">
        <v>13.620743282421</v>
      </c>
      <c r="R33" s="105">
        <v>2.1628963730394601</v>
      </c>
      <c r="S33" s="105">
        <v>3.7452525632795699</v>
      </c>
      <c r="T33" s="105">
        <v>2.7276458400605601</v>
      </c>
      <c r="U33" s="105">
        <v>21.194767753740201</v>
      </c>
      <c r="V33" s="105">
        <v>54.230650346077603</v>
      </c>
      <c r="W33" s="105">
        <v>7.9357430079077202</v>
      </c>
      <c r="X33" s="105">
        <v>11.556355705549899</v>
      </c>
      <c r="Y33" s="105">
        <v>30.687074825409301</v>
      </c>
      <c r="Z33" s="105">
        <v>14.9897339391574</v>
      </c>
      <c r="AA33" s="105">
        <v>19.706633562533099</v>
      </c>
      <c r="AB33" s="105">
        <v>13.7602994634764</v>
      </c>
      <c r="AC33" s="105">
        <v>26.884967453130901</v>
      </c>
      <c r="AD33" s="105">
        <v>51.793556467118698</v>
      </c>
      <c r="AE33" s="105">
        <v>277.53687810240899</v>
      </c>
      <c r="AF33" s="105">
        <v>246.10500016706999</v>
      </c>
      <c r="AG33" s="105">
        <v>9536.57610427078</v>
      </c>
      <c r="AH33" s="105">
        <v>384.45016824430201</v>
      </c>
      <c r="AI33" s="105">
        <v>108.929398796554</v>
      </c>
      <c r="AJ33" s="105">
        <v>18.705065998682301</v>
      </c>
      <c r="AK33" s="105">
        <v>129.306627990869</v>
      </c>
      <c r="AL33" s="105">
        <v>128.114243551237</v>
      </c>
      <c r="AM33" s="105">
        <v>11.344196606093</v>
      </c>
      <c r="AN33" s="105">
        <v>291.62419662051798</v>
      </c>
      <c r="AO33" s="105">
        <v>917.23303350282799</v>
      </c>
      <c r="AP33" s="105">
        <v>1113.7482059901699</v>
      </c>
      <c r="AQ33" s="105">
        <v>2.1711240397502301</v>
      </c>
      <c r="AR33" s="105">
        <v>0.32836661545956303</v>
      </c>
      <c r="AS33" s="105">
        <v>7.2975610947203498</v>
      </c>
      <c r="AT33" s="105">
        <v>2.4266605185704502</v>
      </c>
      <c r="AU33" s="105">
        <v>15.241480067325501</v>
      </c>
      <c r="AV33" s="105">
        <v>0.98242152069646205</v>
      </c>
      <c r="AW33" s="105">
        <v>2.4334738220597001</v>
      </c>
      <c r="AX33" s="105">
        <v>25.864898769402799</v>
      </c>
      <c r="AY33" s="105">
        <v>9.0999886674816395</v>
      </c>
      <c r="AZ33" s="105">
        <v>6.11308075514272</v>
      </c>
      <c r="BA33" s="105">
        <v>12.454664049795801</v>
      </c>
      <c r="BB33" s="105">
        <v>15.347544965065801</v>
      </c>
      <c r="BC33" s="105">
        <v>43.733823565261602</v>
      </c>
      <c r="BD33" s="105">
        <v>5.1200737828351102</v>
      </c>
      <c r="BE33" s="105">
        <v>8.2530183514805202</v>
      </c>
      <c r="BF33" s="105">
        <v>36.335216967427698</v>
      </c>
      <c r="BG33" s="105">
        <v>0.58293876648167797</v>
      </c>
      <c r="BH33" s="105">
        <v>89.703435059576904</v>
      </c>
      <c r="BI33" s="105">
        <v>9.8057243270943193</v>
      </c>
      <c r="BJ33" s="105">
        <v>4.5769076392321502</v>
      </c>
      <c r="BK33" s="105">
        <v>15.3353152791017</v>
      </c>
      <c r="BL33" s="105">
        <v>12.259682664990599</v>
      </c>
      <c r="BM33" s="105">
        <v>3.8285458716931098</v>
      </c>
      <c r="BN33" s="105">
        <v>17.266526854931001</v>
      </c>
      <c r="BO33" s="105">
        <v>0</v>
      </c>
    </row>
    <row r="34" spans="1:67" x14ac:dyDescent="0.2">
      <c r="A34" s="105">
        <v>49.567127084970203</v>
      </c>
      <c r="B34" s="105">
        <v>30.734918913620898</v>
      </c>
      <c r="C34" s="105">
        <v>2.3151199006615801</v>
      </c>
      <c r="D34" s="105">
        <v>13.4291367473944</v>
      </c>
      <c r="E34" s="105">
        <v>197.338709896692</v>
      </c>
      <c r="F34" s="105">
        <v>186.00967212944499</v>
      </c>
      <c r="G34" s="105">
        <v>24.133920015923099</v>
      </c>
      <c r="H34" s="105">
        <v>105.487240888945</v>
      </c>
      <c r="I34" s="105">
        <v>10.2406521649427</v>
      </c>
      <c r="J34" s="105">
        <v>142.76931083874001</v>
      </c>
      <c r="K34" s="105">
        <v>103.708983726152</v>
      </c>
      <c r="L34" s="105">
        <v>1.9221761796294301</v>
      </c>
      <c r="M34" s="105">
        <v>19.007974590686601</v>
      </c>
      <c r="N34" s="105">
        <v>10.2543106129694</v>
      </c>
      <c r="O34" s="105">
        <v>13.162670962194399</v>
      </c>
      <c r="P34" s="105">
        <v>18.182813123920599</v>
      </c>
      <c r="Q34" s="105">
        <v>28.4601186850979</v>
      </c>
      <c r="R34" s="105">
        <v>11.5784344608468</v>
      </c>
      <c r="S34" s="105">
        <v>23.819681011178702</v>
      </c>
      <c r="T34" s="105">
        <v>7.4155797643208397</v>
      </c>
      <c r="U34" s="105">
        <v>49.728196185194399</v>
      </c>
      <c r="V34" s="105">
        <v>42.4958849771049</v>
      </c>
      <c r="W34" s="105">
        <v>35.466869329437301</v>
      </c>
      <c r="X34" s="105">
        <v>19.017583742700001</v>
      </c>
      <c r="Y34" s="105">
        <v>115.4583843102</v>
      </c>
      <c r="Z34" s="105">
        <v>60.222248664959601</v>
      </c>
      <c r="AA34" s="105">
        <v>94.358417290864395</v>
      </c>
      <c r="AB34" s="105">
        <v>59.5075970595746</v>
      </c>
      <c r="AC34" s="105">
        <v>215.27779057413801</v>
      </c>
      <c r="AD34" s="105">
        <v>112.176401952389</v>
      </c>
      <c r="AE34" s="105">
        <v>232.165505925677</v>
      </c>
      <c r="AF34" s="105">
        <v>618.04311773738004</v>
      </c>
      <c r="AG34" s="105">
        <v>54327.021366219204</v>
      </c>
      <c r="AH34" s="105">
        <v>15525.7940219302</v>
      </c>
      <c r="AI34" s="105">
        <v>102.89913759957901</v>
      </c>
      <c r="AJ34" s="105">
        <v>56.703743385543198</v>
      </c>
      <c r="AK34" s="105">
        <v>264.64161498966598</v>
      </c>
      <c r="AL34" s="105">
        <v>81.543040686932102</v>
      </c>
      <c r="AM34" s="105">
        <v>22.593751770974901</v>
      </c>
      <c r="AN34" s="105">
        <v>683.41764100425303</v>
      </c>
      <c r="AO34" s="105">
        <v>23542.458315310902</v>
      </c>
      <c r="AP34" s="105">
        <v>15645.093495306601</v>
      </c>
      <c r="AQ34" s="105">
        <v>4.6886293708762299</v>
      </c>
      <c r="AR34" s="105">
        <v>4.1484868239867199</v>
      </c>
      <c r="AS34" s="105">
        <v>28.152261939332501</v>
      </c>
      <c r="AT34" s="105">
        <v>8.9374725369809394</v>
      </c>
      <c r="AU34" s="105">
        <v>48.055943591886397</v>
      </c>
      <c r="AV34" s="105">
        <v>1.96558566661081</v>
      </c>
      <c r="AW34" s="105">
        <v>4.2465058420145203</v>
      </c>
      <c r="AX34" s="105">
        <v>22.7145845480056</v>
      </c>
      <c r="AY34" s="105">
        <v>23.194201898746101</v>
      </c>
      <c r="AZ34" s="105">
        <v>27.425277028100901</v>
      </c>
      <c r="BA34" s="105">
        <v>22.100570519833401</v>
      </c>
      <c r="BB34" s="105">
        <v>34.253429558600899</v>
      </c>
      <c r="BC34" s="105">
        <v>62.765910884624397</v>
      </c>
      <c r="BD34" s="105">
        <v>12.0945650190235</v>
      </c>
      <c r="BE34" s="105">
        <v>256.82214103287401</v>
      </c>
      <c r="BF34" s="105">
        <v>74.557796835036896</v>
      </c>
      <c r="BG34" s="105">
        <v>3.2530371425547999</v>
      </c>
      <c r="BH34" s="105">
        <v>1644.10474874228</v>
      </c>
      <c r="BI34" s="105">
        <v>290.44776393602803</v>
      </c>
      <c r="BJ34" s="105">
        <v>28.3400271883492</v>
      </c>
      <c r="BK34" s="105">
        <v>275.61766471105699</v>
      </c>
      <c r="BL34" s="105">
        <v>27.318594484458099</v>
      </c>
      <c r="BM34" s="105">
        <v>20.614899587181501</v>
      </c>
      <c r="BN34" s="105">
        <v>30.325010859293901</v>
      </c>
      <c r="BO34" s="105">
        <v>0</v>
      </c>
    </row>
    <row r="35" spans="1:67" x14ac:dyDescent="0.2">
      <c r="A35" s="105">
        <v>6.7315279884272403</v>
      </c>
      <c r="B35" s="105">
        <v>3.9341543821319598</v>
      </c>
      <c r="C35" s="105">
        <v>1.2606509924826901</v>
      </c>
      <c r="D35" s="105">
        <v>8.4980919474817593</v>
      </c>
      <c r="E35" s="105">
        <v>62.468980067786703</v>
      </c>
      <c r="F35" s="105">
        <v>69.177721051844898</v>
      </c>
      <c r="G35" s="105">
        <v>10.076376364355999</v>
      </c>
      <c r="H35" s="105">
        <v>27.866785908729</v>
      </c>
      <c r="I35" s="105">
        <v>8.7286111188719904</v>
      </c>
      <c r="J35" s="105">
        <v>25.4708451920336</v>
      </c>
      <c r="K35" s="105">
        <v>18.404823410521701</v>
      </c>
      <c r="L35" s="105">
        <v>0.84449606490555595</v>
      </c>
      <c r="M35" s="105">
        <v>3.19754953988692</v>
      </c>
      <c r="N35" s="105">
        <v>12.299518545023901</v>
      </c>
      <c r="O35" s="105">
        <v>3.7328696076072201</v>
      </c>
      <c r="P35" s="105">
        <v>9.9538508838036908</v>
      </c>
      <c r="Q35" s="105">
        <v>31.0414714339407</v>
      </c>
      <c r="R35" s="105">
        <v>9.4276399783242493</v>
      </c>
      <c r="S35" s="105">
        <v>11.898656072927601</v>
      </c>
      <c r="T35" s="105">
        <v>8.7538989043045898</v>
      </c>
      <c r="U35" s="105">
        <v>25.9155936831032</v>
      </c>
      <c r="V35" s="105">
        <v>11.078521705189299</v>
      </c>
      <c r="W35" s="105">
        <v>7.3511234286943203</v>
      </c>
      <c r="X35" s="105">
        <v>11.672907356946199</v>
      </c>
      <c r="Y35" s="105">
        <v>20.169603769631401</v>
      </c>
      <c r="Z35" s="105">
        <v>25.3282835788253</v>
      </c>
      <c r="AA35" s="105">
        <v>78.323287504528096</v>
      </c>
      <c r="AB35" s="105">
        <v>22.354590237451799</v>
      </c>
      <c r="AC35" s="105">
        <v>33.151849096403197</v>
      </c>
      <c r="AD35" s="105">
        <v>6.7382397664243996</v>
      </c>
      <c r="AE35" s="105">
        <v>28.181439521927601</v>
      </c>
      <c r="AF35" s="105">
        <v>126.63819687484499</v>
      </c>
      <c r="AG35" s="105">
        <v>83.414948806905599</v>
      </c>
      <c r="AH35" s="105">
        <v>35.630078676561901</v>
      </c>
      <c r="AI35" s="105">
        <v>2857.9037699716</v>
      </c>
      <c r="AJ35" s="105">
        <v>17.710749332273501</v>
      </c>
      <c r="AK35" s="105">
        <v>381.537107041198</v>
      </c>
      <c r="AL35" s="105">
        <v>21.291695506869701</v>
      </c>
      <c r="AM35" s="105">
        <v>13.046376449903301</v>
      </c>
      <c r="AN35" s="105">
        <v>91.336238762511101</v>
      </c>
      <c r="AO35" s="105">
        <v>177.784355793911</v>
      </c>
      <c r="AP35" s="105">
        <v>530.16355876061698</v>
      </c>
      <c r="AQ35" s="105">
        <v>7.8925357960830897</v>
      </c>
      <c r="AR35" s="105">
        <v>1.5245448371966499</v>
      </c>
      <c r="AS35" s="105">
        <v>29.263731017849999</v>
      </c>
      <c r="AT35" s="105">
        <v>0.75117061360275605</v>
      </c>
      <c r="AU35" s="105">
        <v>8.0442016212205907</v>
      </c>
      <c r="AV35" s="105">
        <v>3.3055527000455398</v>
      </c>
      <c r="AW35" s="105">
        <v>1.5815958581385201</v>
      </c>
      <c r="AX35" s="105">
        <v>6.02561326676331</v>
      </c>
      <c r="AY35" s="105">
        <v>18.6979684943087</v>
      </c>
      <c r="AZ35" s="105">
        <v>6.1900485052640697</v>
      </c>
      <c r="BA35" s="105">
        <v>3.46618772490292</v>
      </c>
      <c r="BB35" s="105">
        <v>11.219265140886399</v>
      </c>
      <c r="BC35" s="105">
        <v>20.7955635673407</v>
      </c>
      <c r="BD35" s="105">
        <v>5.2226622853905402</v>
      </c>
      <c r="BE35" s="105">
        <v>12.728306641728199</v>
      </c>
      <c r="BF35" s="105">
        <v>22.520338605559999</v>
      </c>
      <c r="BG35" s="105">
        <v>2.3858424290840898</v>
      </c>
      <c r="BH35" s="105">
        <v>313.61222456209202</v>
      </c>
      <c r="BI35" s="105">
        <v>8.33389202125284</v>
      </c>
      <c r="BJ35" s="105">
        <v>2.64699444540397</v>
      </c>
      <c r="BK35" s="105">
        <v>32.352210080374398</v>
      </c>
      <c r="BL35" s="105">
        <v>63.793280096727898</v>
      </c>
      <c r="BM35" s="105">
        <v>6.0802364323935398</v>
      </c>
      <c r="BN35" s="105">
        <v>33.940557701645403</v>
      </c>
      <c r="BO35" s="105">
        <v>0</v>
      </c>
    </row>
    <row r="36" spans="1:67" x14ac:dyDescent="0.2">
      <c r="A36" s="105">
        <v>70.278936767963799</v>
      </c>
      <c r="B36" s="105">
        <v>55.119483870738598</v>
      </c>
      <c r="C36" s="105">
        <v>12.495372342599101</v>
      </c>
      <c r="D36" s="105">
        <v>9.8103682469867408</v>
      </c>
      <c r="E36" s="105">
        <v>142.72947212665099</v>
      </c>
      <c r="F36" s="105">
        <v>139.24267086038901</v>
      </c>
      <c r="G36" s="105">
        <v>16.2275957964127</v>
      </c>
      <c r="H36" s="105">
        <v>122.72670039585999</v>
      </c>
      <c r="I36" s="105">
        <v>21.103620498620899</v>
      </c>
      <c r="J36" s="105">
        <v>199.06089487963899</v>
      </c>
      <c r="K36" s="105">
        <v>122.596179881482</v>
      </c>
      <c r="L36" s="105">
        <v>2.3247843699425901</v>
      </c>
      <c r="M36" s="105">
        <v>118.43751713832501</v>
      </c>
      <c r="N36" s="105">
        <v>1234.92015955072</v>
      </c>
      <c r="O36" s="105">
        <v>186.17118880471301</v>
      </c>
      <c r="P36" s="105">
        <v>59.182536631427702</v>
      </c>
      <c r="Q36" s="105">
        <v>54.900875785004899</v>
      </c>
      <c r="R36" s="105">
        <v>20.4608869066778</v>
      </c>
      <c r="S36" s="105">
        <v>30.732786207530399</v>
      </c>
      <c r="T36" s="105">
        <v>8.8995727593034104</v>
      </c>
      <c r="U36" s="105">
        <v>232.04074722918</v>
      </c>
      <c r="V36" s="105">
        <v>103.302589922715</v>
      </c>
      <c r="W36" s="105">
        <v>49.812156575341596</v>
      </c>
      <c r="X36" s="105">
        <v>73.747259514350702</v>
      </c>
      <c r="Y36" s="105">
        <v>270.32862140395298</v>
      </c>
      <c r="Z36" s="105">
        <v>213.937442160731</v>
      </c>
      <c r="AA36" s="105">
        <v>64.941841705426498</v>
      </c>
      <c r="AB36" s="105">
        <v>32.717103591250797</v>
      </c>
      <c r="AC36" s="105">
        <v>148.860810885782</v>
      </c>
      <c r="AD36" s="105">
        <v>127.659965516246</v>
      </c>
      <c r="AE36" s="105">
        <v>124.147999778675</v>
      </c>
      <c r="AF36" s="105">
        <v>720.534273759141</v>
      </c>
      <c r="AG36" s="105">
        <v>358.58411625428101</v>
      </c>
      <c r="AH36" s="105">
        <v>714.837011154366</v>
      </c>
      <c r="AI36" s="105">
        <v>49.422291713250601</v>
      </c>
      <c r="AJ36" s="105">
        <v>1989.28904080284</v>
      </c>
      <c r="AK36" s="105">
        <v>215.41092191564701</v>
      </c>
      <c r="AL36" s="105">
        <v>78.424042202009701</v>
      </c>
      <c r="AM36" s="105">
        <v>66.219103274940807</v>
      </c>
      <c r="AN36" s="105">
        <v>1134.5708374321</v>
      </c>
      <c r="AO36" s="105">
        <v>716.17112085905205</v>
      </c>
      <c r="AP36" s="105">
        <v>139.90560188444201</v>
      </c>
      <c r="AQ36" s="105">
        <v>125.630408231736</v>
      </c>
      <c r="AR36" s="105">
        <v>2.5425855934897101</v>
      </c>
      <c r="AS36" s="105">
        <v>206.84849221612001</v>
      </c>
      <c r="AT36" s="105">
        <v>14.6085694572474</v>
      </c>
      <c r="AU36" s="105">
        <v>41.668586915403701</v>
      </c>
      <c r="AV36" s="105">
        <v>3.37801627927599</v>
      </c>
      <c r="AW36" s="105">
        <v>43.8268359824839</v>
      </c>
      <c r="AX36" s="105">
        <v>8.5482391385399303</v>
      </c>
      <c r="AY36" s="105">
        <v>105.88295317442601</v>
      </c>
      <c r="AZ36" s="105">
        <v>146.26357780979899</v>
      </c>
      <c r="BA36" s="105">
        <v>134.72671606701999</v>
      </c>
      <c r="BB36" s="105">
        <v>229.20805771104401</v>
      </c>
      <c r="BC36" s="105">
        <v>342.50731864120002</v>
      </c>
      <c r="BD36" s="105">
        <v>350.57738916505002</v>
      </c>
      <c r="BE36" s="105">
        <v>413.938360809274</v>
      </c>
      <c r="BF36" s="105">
        <v>182.55965069004199</v>
      </c>
      <c r="BG36" s="105">
        <v>18.7575943870157</v>
      </c>
      <c r="BH36" s="105">
        <v>1009.00951641964</v>
      </c>
      <c r="BI36" s="105">
        <v>858.69310405511499</v>
      </c>
      <c r="BJ36" s="105">
        <v>38.826035602299399</v>
      </c>
      <c r="BK36" s="105">
        <v>3641.2339023703298</v>
      </c>
      <c r="BL36" s="105">
        <v>11228.9806296886</v>
      </c>
      <c r="BM36" s="105">
        <v>123.3376105194</v>
      </c>
      <c r="BN36" s="105">
        <v>116.943583877124</v>
      </c>
      <c r="BO36" s="105">
        <v>0</v>
      </c>
    </row>
    <row r="37" spans="1:67" x14ac:dyDescent="0.2">
      <c r="A37" s="105">
        <v>172.58494201444901</v>
      </c>
      <c r="B37" s="105">
        <v>65.122775176806599</v>
      </c>
      <c r="C37" s="105">
        <v>134.32522685625901</v>
      </c>
      <c r="D37" s="105">
        <v>1116.84499385969</v>
      </c>
      <c r="E37" s="105">
        <v>3792.3320095403401</v>
      </c>
      <c r="F37" s="105">
        <v>3142.1738227953601</v>
      </c>
      <c r="G37" s="105">
        <v>760.86348034514697</v>
      </c>
      <c r="H37" s="105">
        <v>1571.1123609547999</v>
      </c>
      <c r="I37" s="105">
        <v>1130.7233709141501</v>
      </c>
      <c r="J37" s="105">
        <v>853.40645158360496</v>
      </c>
      <c r="K37" s="105">
        <v>554.07143501130804</v>
      </c>
      <c r="L37" s="105">
        <v>18.958229010158</v>
      </c>
      <c r="M37" s="105">
        <v>185.23625390018799</v>
      </c>
      <c r="N37" s="105">
        <v>281.840734136435</v>
      </c>
      <c r="O37" s="105">
        <v>161.48568051503801</v>
      </c>
      <c r="P37" s="105">
        <v>1106.9792208224201</v>
      </c>
      <c r="Q37" s="105">
        <v>4140.6800850202399</v>
      </c>
      <c r="R37" s="105">
        <v>1305.5808488236</v>
      </c>
      <c r="S37" s="105">
        <v>1541.3222213686099</v>
      </c>
      <c r="T37" s="105">
        <v>1208.91077929021</v>
      </c>
      <c r="U37" s="105">
        <v>2604.0208496534001</v>
      </c>
      <c r="V37" s="105">
        <v>895.54165549403604</v>
      </c>
      <c r="W37" s="105">
        <v>265.14816407098402</v>
      </c>
      <c r="X37" s="105">
        <v>776.23137671465497</v>
      </c>
      <c r="Y37" s="105">
        <v>731.03848399700803</v>
      </c>
      <c r="Z37" s="105">
        <v>3044.4904104096199</v>
      </c>
      <c r="AA37" s="105">
        <v>10292.7259980217</v>
      </c>
      <c r="AB37" s="105">
        <v>2698.7384156961998</v>
      </c>
      <c r="AC37" s="105">
        <v>922.527670664894</v>
      </c>
      <c r="AD37" s="105">
        <v>130.55793203026099</v>
      </c>
      <c r="AE37" s="105">
        <v>651.74228912158401</v>
      </c>
      <c r="AF37" s="105">
        <v>2467.4860538596899</v>
      </c>
      <c r="AG37" s="105">
        <v>232.12487932741999</v>
      </c>
      <c r="AH37" s="105">
        <v>762.12669956988805</v>
      </c>
      <c r="AI37" s="105">
        <v>208.72457054684801</v>
      </c>
      <c r="AJ37" s="105">
        <v>922.31002344406204</v>
      </c>
      <c r="AK37" s="105">
        <v>1148.37006214139</v>
      </c>
      <c r="AL37" s="105">
        <v>1982.14747210415</v>
      </c>
      <c r="AM37" s="105">
        <v>1516.38305122468</v>
      </c>
      <c r="AN37" s="105">
        <v>2281.8348066132198</v>
      </c>
      <c r="AO37" s="105">
        <v>6847.9793094811903</v>
      </c>
      <c r="AP37" s="105">
        <v>698.593337505009</v>
      </c>
      <c r="AQ37" s="105">
        <v>990.58143279108299</v>
      </c>
      <c r="AR37" s="105">
        <v>218.931532777462</v>
      </c>
      <c r="AS37" s="105">
        <v>3937.3169614477101</v>
      </c>
      <c r="AT37" s="105">
        <v>9.2837235705685703</v>
      </c>
      <c r="AU37" s="105">
        <v>387.705139006617</v>
      </c>
      <c r="AV37" s="105">
        <v>464.07071157843302</v>
      </c>
      <c r="AW37" s="105">
        <v>156.39285623667399</v>
      </c>
      <c r="AX37" s="105">
        <v>455.491685823713</v>
      </c>
      <c r="AY37" s="105">
        <v>2058.0547702491699</v>
      </c>
      <c r="AZ37" s="105">
        <v>457.174757678101</v>
      </c>
      <c r="BA37" s="105">
        <v>198.08397669070999</v>
      </c>
      <c r="BB37" s="105">
        <v>1096.9411214274601</v>
      </c>
      <c r="BC37" s="105">
        <v>251.335990817452</v>
      </c>
      <c r="BD37" s="105">
        <v>335.65676789811101</v>
      </c>
      <c r="BE37" s="105">
        <v>1385.22206215131</v>
      </c>
      <c r="BF37" s="105">
        <v>1464.63243386463</v>
      </c>
      <c r="BG37" s="105">
        <v>296.99212039013798</v>
      </c>
      <c r="BH37" s="105">
        <v>1457.60501386033</v>
      </c>
      <c r="BI37" s="105">
        <v>173.10410118625001</v>
      </c>
      <c r="BJ37" s="105">
        <v>1.8631540603308101</v>
      </c>
      <c r="BK37" s="105">
        <v>1691.84273572611</v>
      </c>
      <c r="BL37" s="105">
        <v>1014.2803004045099</v>
      </c>
      <c r="BM37" s="105">
        <v>581.23176858097997</v>
      </c>
      <c r="BN37" s="105">
        <v>824.05595409061903</v>
      </c>
      <c r="BO37" s="105">
        <v>0</v>
      </c>
    </row>
    <row r="38" spans="1:67" x14ac:dyDescent="0.2">
      <c r="A38" s="105">
        <v>11016.5837182122</v>
      </c>
      <c r="B38" s="105">
        <v>6322.3900008074097</v>
      </c>
      <c r="C38" s="105">
        <v>670.92862897368104</v>
      </c>
      <c r="D38" s="105">
        <v>1066.68570308161</v>
      </c>
      <c r="E38" s="105">
        <v>469.487137275029</v>
      </c>
      <c r="F38" s="105">
        <v>2690.7123753593601</v>
      </c>
      <c r="G38" s="105">
        <v>492.16458901972101</v>
      </c>
      <c r="H38" s="105">
        <v>2511.3450229253499</v>
      </c>
      <c r="I38" s="105">
        <v>133.126183659151</v>
      </c>
      <c r="J38" s="105">
        <v>4501.4309974895395</v>
      </c>
      <c r="K38" s="105">
        <v>966.99118109311701</v>
      </c>
      <c r="L38" s="105">
        <v>90.729752210810105</v>
      </c>
      <c r="M38" s="105">
        <v>1937.1202389303101</v>
      </c>
      <c r="N38" s="105">
        <v>264.07699099668901</v>
      </c>
      <c r="O38" s="105">
        <v>302.01274255976398</v>
      </c>
      <c r="P38" s="105">
        <v>1691.5546161319501</v>
      </c>
      <c r="Q38" s="105">
        <v>3593.0114065142302</v>
      </c>
      <c r="R38" s="105">
        <v>153.49986535745799</v>
      </c>
      <c r="S38" s="105">
        <v>76.819365020149604</v>
      </c>
      <c r="T38" s="105">
        <v>702.36807665224603</v>
      </c>
      <c r="U38" s="105">
        <v>8729.0502121537502</v>
      </c>
      <c r="V38" s="105">
        <v>1047.9703482595</v>
      </c>
      <c r="W38" s="105">
        <v>273.66763941836803</v>
      </c>
      <c r="X38" s="105">
        <v>431.06792980167802</v>
      </c>
      <c r="Y38" s="105">
        <v>3367.4719414821898</v>
      </c>
      <c r="Z38" s="105">
        <v>5369.7886023076098</v>
      </c>
      <c r="AA38" s="105">
        <v>4364.2899586436197</v>
      </c>
      <c r="AB38" s="105">
        <v>4331.1936742589096</v>
      </c>
      <c r="AC38" s="105">
        <v>1662.08428792731</v>
      </c>
      <c r="AD38" s="105">
        <v>219.554405934697</v>
      </c>
      <c r="AE38" s="105">
        <v>822.64879862380997</v>
      </c>
      <c r="AF38" s="105">
        <v>1027.0623865775899</v>
      </c>
      <c r="AG38" s="105">
        <v>694.33741196738401</v>
      </c>
      <c r="AH38" s="105">
        <v>1566.4205300849901</v>
      </c>
      <c r="AI38" s="105">
        <v>248.329888851688</v>
      </c>
      <c r="AJ38" s="105">
        <v>538.56574273379499</v>
      </c>
      <c r="AK38" s="105">
        <v>276.66038128260999</v>
      </c>
      <c r="AL38" s="105">
        <v>171982.564183048</v>
      </c>
      <c r="AM38" s="105">
        <v>4174.4187696294503</v>
      </c>
      <c r="AN38" s="105">
        <v>672.29474382762601</v>
      </c>
      <c r="AO38" s="105">
        <v>27942.6695650644</v>
      </c>
      <c r="AP38" s="105">
        <v>1889.25563113873</v>
      </c>
      <c r="AQ38" s="105">
        <v>73.488140218556097</v>
      </c>
      <c r="AR38" s="105">
        <v>38.737228183881797</v>
      </c>
      <c r="AS38" s="105">
        <v>1784.2444974744899</v>
      </c>
      <c r="AT38" s="105">
        <v>1912.4502980167999</v>
      </c>
      <c r="AU38" s="105">
        <v>1987.9461251590101</v>
      </c>
      <c r="AV38" s="105">
        <v>129.54631474186601</v>
      </c>
      <c r="AW38" s="105">
        <v>501.602830192471</v>
      </c>
      <c r="AX38" s="105">
        <v>2195.4136122118698</v>
      </c>
      <c r="AY38" s="105">
        <v>1240.59166516302</v>
      </c>
      <c r="AZ38" s="105">
        <v>2609.8884817539501</v>
      </c>
      <c r="BA38" s="105">
        <v>1079.0378188398599</v>
      </c>
      <c r="BB38" s="105">
        <v>1702.5872551852001</v>
      </c>
      <c r="BC38" s="105">
        <v>396.42757649546701</v>
      </c>
      <c r="BD38" s="105">
        <v>471.73879114836501</v>
      </c>
      <c r="BE38" s="105">
        <v>262.73148444657102</v>
      </c>
      <c r="BF38" s="105">
        <v>8286.6566299874394</v>
      </c>
      <c r="BG38" s="105">
        <v>129.544802888047</v>
      </c>
      <c r="BH38" s="105">
        <v>6882.7485471166601</v>
      </c>
      <c r="BI38" s="105">
        <v>2149.0632922241998</v>
      </c>
      <c r="BJ38" s="105">
        <v>3238.9319069711901</v>
      </c>
      <c r="BK38" s="105">
        <v>1857.07334523244</v>
      </c>
      <c r="BL38" s="105">
        <v>1955.7832042887101</v>
      </c>
      <c r="BM38" s="105">
        <v>1376.52126414399</v>
      </c>
      <c r="BN38" s="105">
        <v>3357.3762998062298</v>
      </c>
      <c r="BO38" s="105">
        <v>0</v>
      </c>
    </row>
    <row r="39" spans="1:67" x14ac:dyDescent="0.2">
      <c r="A39" s="105">
        <v>21.715540900382098</v>
      </c>
      <c r="B39" s="105">
        <v>5.3097768842308</v>
      </c>
      <c r="C39" s="105">
        <v>2.2308452529476899</v>
      </c>
      <c r="D39" s="105">
        <v>45.294733656722798</v>
      </c>
      <c r="E39" s="105">
        <v>116.44643121508901</v>
      </c>
      <c r="F39" s="105">
        <v>650.53007543627598</v>
      </c>
      <c r="G39" s="105">
        <v>81.145043412951907</v>
      </c>
      <c r="H39" s="105">
        <v>272.94323836182099</v>
      </c>
      <c r="I39" s="105">
        <v>99.444685548417894</v>
      </c>
      <c r="J39" s="105">
        <v>566.46409849482995</v>
      </c>
      <c r="K39" s="105">
        <v>703.30622643293998</v>
      </c>
      <c r="L39" s="105">
        <v>1.3263732127505199</v>
      </c>
      <c r="M39" s="105">
        <v>105.477002980694</v>
      </c>
      <c r="N39" s="105">
        <v>38.023714159930996</v>
      </c>
      <c r="O39" s="105">
        <v>38.203689097487299</v>
      </c>
      <c r="P39" s="105">
        <v>488.10314885778098</v>
      </c>
      <c r="Q39" s="105">
        <v>628.11259485157495</v>
      </c>
      <c r="R39" s="105">
        <v>8.0979983367829895</v>
      </c>
      <c r="S39" s="105">
        <v>664.38145067908704</v>
      </c>
      <c r="T39" s="105">
        <v>204.53452522755001</v>
      </c>
      <c r="U39" s="105">
        <v>1334.8740986324699</v>
      </c>
      <c r="V39" s="105">
        <v>656.76060253629703</v>
      </c>
      <c r="W39" s="105">
        <v>195.04613329245001</v>
      </c>
      <c r="X39" s="105">
        <v>113.57706458086901</v>
      </c>
      <c r="Y39" s="105">
        <v>656.60350777164297</v>
      </c>
      <c r="Z39" s="105">
        <v>1215.03957106997</v>
      </c>
      <c r="AA39" s="105">
        <v>5295.1572390759502</v>
      </c>
      <c r="AB39" s="105">
        <v>2418.9403440245501</v>
      </c>
      <c r="AC39" s="105">
        <v>261.47470000706198</v>
      </c>
      <c r="AD39" s="105">
        <v>30.391959531294901</v>
      </c>
      <c r="AE39" s="105">
        <v>81.072453561109199</v>
      </c>
      <c r="AF39" s="105">
        <v>145.43187998698599</v>
      </c>
      <c r="AG39" s="105">
        <v>146.27439103096299</v>
      </c>
      <c r="AH39" s="105">
        <v>409.82375745924003</v>
      </c>
      <c r="AI39" s="105">
        <v>91.986284959963299</v>
      </c>
      <c r="AJ39" s="105">
        <v>115.72627173010299</v>
      </c>
      <c r="AK39" s="105">
        <v>31.7467852274339</v>
      </c>
      <c r="AL39" s="105">
        <v>160.21799520157899</v>
      </c>
      <c r="AM39" s="105">
        <v>1516.2598062363199</v>
      </c>
      <c r="AN39" s="105">
        <v>374.41574456432801</v>
      </c>
      <c r="AO39" s="105">
        <v>6987.7596882608204</v>
      </c>
      <c r="AP39" s="105">
        <v>567.32389191272705</v>
      </c>
      <c r="AQ39" s="105">
        <v>17.604647454372401</v>
      </c>
      <c r="AR39" s="105">
        <v>8.9454272461606905</v>
      </c>
      <c r="AS39" s="105">
        <v>1266.2891682095801</v>
      </c>
      <c r="AT39" s="105">
        <v>733.85928501338503</v>
      </c>
      <c r="AU39" s="105">
        <v>1269.2468154472999</v>
      </c>
      <c r="AV39" s="105">
        <v>34.482645519960897</v>
      </c>
      <c r="AW39" s="105">
        <v>97.161375621576596</v>
      </c>
      <c r="AX39" s="105">
        <v>69.715433249573607</v>
      </c>
      <c r="AY39" s="105">
        <v>281.50074392376899</v>
      </c>
      <c r="AZ39" s="105">
        <v>798.39339597914204</v>
      </c>
      <c r="BA39" s="105">
        <v>545.006631369155</v>
      </c>
      <c r="BB39" s="105">
        <v>1054.46793084668</v>
      </c>
      <c r="BC39" s="105">
        <v>128.119433684597</v>
      </c>
      <c r="BD39" s="105">
        <v>94.332297978575994</v>
      </c>
      <c r="BE39" s="105">
        <v>95.551743131934103</v>
      </c>
      <c r="BF39" s="105">
        <v>7018.8197738583303</v>
      </c>
      <c r="BG39" s="105">
        <v>44.792983258402401</v>
      </c>
      <c r="BH39" s="105">
        <v>11785.5107678247</v>
      </c>
      <c r="BI39" s="105">
        <v>1610.1944619113301</v>
      </c>
      <c r="BJ39" s="105">
        <v>414.64759074174702</v>
      </c>
      <c r="BK39" s="105">
        <v>2269.1012399170299</v>
      </c>
      <c r="BL39" s="105">
        <v>2604.8436045384201</v>
      </c>
      <c r="BM39" s="105">
        <v>177.209159613883</v>
      </c>
      <c r="BN39" s="105">
        <v>2861.1541394682199</v>
      </c>
      <c r="BO39" s="105">
        <v>0</v>
      </c>
    </row>
    <row r="40" spans="1:67" x14ac:dyDescent="0.2">
      <c r="A40" s="105">
        <v>112.163951834694</v>
      </c>
      <c r="B40" s="105">
        <v>199.32394630688401</v>
      </c>
      <c r="C40" s="105">
        <v>14.0901145996034</v>
      </c>
      <c r="D40" s="105">
        <v>7.2805983500621201</v>
      </c>
      <c r="E40" s="105">
        <v>1774.7029195381201</v>
      </c>
      <c r="F40" s="105">
        <v>5035.1923472987701</v>
      </c>
      <c r="G40" s="105">
        <v>354.45083012510003</v>
      </c>
      <c r="H40" s="105">
        <v>18.697466662138901</v>
      </c>
      <c r="I40" s="105">
        <v>15.1041202952836</v>
      </c>
      <c r="J40" s="105">
        <v>28.0901151005481</v>
      </c>
      <c r="K40" s="105">
        <v>6.2981733429103599</v>
      </c>
      <c r="L40" s="105">
        <v>0.94738933735866204</v>
      </c>
      <c r="M40" s="105">
        <v>34.351773567125697</v>
      </c>
      <c r="N40" s="105">
        <v>7.0284704576059598</v>
      </c>
      <c r="O40" s="105">
        <v>1.7709455134054499</v>
      </c>
      <c r="P40" s="105">
        <v>3.4737252139899</v>
      </c>
      <c r="Q40" s="105">
        <v>51.953072076477802</v>
      </c>
      <c r="R40" s="105">
        <v>20.347237334626399</v>
      </c>
      <c r="S40" s="105">
        <v>51.905388222420399</v>
      </c>
      <c r="T40" s="105">
        <v>70.368654140533806</v>
      </c>
      <c r="U40" s="105">
        <v>101.334800744068</v>
      </c>
      <c r="V40" s="105">
        <v>8.7461123610900504</v>
      </c>
      <c r="W40" s="105">
        <v>3.7683634526863199</v>
      </c>
      <c r="X40" s="105">
        <v>6.8461972062508796</v>
      </c>
      <c r="Y40" s="105">
        <v>13.457222839451701</v>
      </c>
      <c r="Z40" s="105">
        <v>44.268089570944603</v>
      </c>
      <c r="AA40" s="105">
        <v>139.74171163938399</v>
      </c>
      <c r="AB40" s="105">
        <v>2802.0312757468701</v>
      </c>
      <c r="AC40" s="105">
        <v>86.830358700249306</v>
      </c>
      <c r="AD40" s="105">
        <v>73.276279221638902</v>
      </c>
      <c r="AE40" s="105">
        <v>13.0113979543973</v>
      </c>
      <c r="AF40" s="105">
        <v>100.194678468978</v>
      </c>
      <c r="AG40" s="105">
        <v>206.27671689053099</v>
      </c>
      <c r="AH40" s="105">
        <v>38.100391193162402</v>
      </c>
      <c r="AI40" s="105">
        <v>203.93941926330601</v>
      </c>
      <c r="AJ40" s="105">
        <v>22.081276333423901</v>
      </c>
      <c r="AK40" s="105">
        <v>5.8946712975097002</v>
      </c>
      <c r="AL40" s="105">
        <v>16.349047503649398</v>
      </c>
      <c r="AM40" s="105">
        <v>4225.7934796578302</v>
      </c>
      <c r="AN40" s="105">
        <v>56771.227208565098</v>
      </c>
      <c r="AO40" s="105">
        <v>2172.1755806502401</v>
      </c>
      <c r="AP40" s="105">
        <v>348.54517036793402</v>
      </c>
      <c r="AQ40" s="105">
        <v>26.4847464784315</v>
      </c>
      <c r="AR40" s="105">
        <v>30.060083704912699</v>
      </c>
      <c r="AS40" s="105">
        <v>1954.5173918114599</v>
      </c>
      <c r="AT40" s="105">
        <v>286.90754372618397</v>
      </c>
      <c r="AU40" s="105">
        <v>524.109085513286</v>
      </c>
      <c r="AV40" s="105">
        <v>9.5306715075771997</v>
      </c>
      <c r="AW40" s="105">
        <v>208.23871341968601</v>
      </c>
      <c r="AX40" s="105">
        <v>3719.8764117790702</v>
      </c>
      <c r="AY40" s="105">
        <v>1356.90920607525</v>
      </c>
      <c r="AZ40" s="105">
        <v>1057.72413862492</v>
      </c>
      <c r="BA40" s="105">
        <v>1623.98712148968</v>
      </c>
      <c r="BB40" s="105">
        <v>402.72880969195597</v>
      </c>
      <c r="BC40" s="105">
        <v>913.90587296596198</v>
      </c>
      <c r="BD40" s="105">
        <v>35.719498422007099</v>
      </c>
      <c r="BE40" s="105">
        <v>249.97531071014399</v>
      </c>
      <c r="BF40" s="105">
        <v>2780.07935172935</v>
      </c>
      <c r="BG40" s="105">
        <v>19.4297258619243</v>
      </c>
      <c r="BH40" s="105">
        <v>14667.5367010839</v>
      </c>
      <c r="BI40" s="105">
        <v>1706.4623791607701</v>
      </c>
      <c r="BJ40" s="105">
        <v>529.64524149863496</v>
      </c>
      <c r="BK40" s="105">
        <v>4809.6686543184496</v>
      </c>
      <c r="BL40" s="105">
        <v>51.6019448511272</v>
      </c>
      <c r="BM40" s="105">
        <v>178.15159630149</v>
      </c>
      <c r="BN40" s="105">
        <v>375.02317481597498</v>
      </c>
      <c r="BO40" s="105">
        <v>0</v>
      </c>
    </row>
    <row r="41" spans="1:67" x14ac:dyDescent="0.2">
      <c r="A41" s="105">
        <v>32879.480415974002</v>
      </c>
      <c r="B41" s="105">
        <v>17944.017088031502</v>
      </c>
      <c r="C41" s="105">
        <v>1346.5728889900599</v>
      </c>
      <c r="D41" s="105">
        <v>1209.62210680711</v>
      </c>
      <c r="E41" s="105">
        <v>10547.5387731217</v>
      </c>
      <c r="F41" s="105">
        <v>11775.747523411201</v>
      </c>
      <c r="G41" s="105">
        <v>1518.06392701144</v>
      </c>
      <c r="H41" s="105">
        <v>43439.156150682698</v>
      </c>
      <c r="I41" s="105">
        <v>2086.6170937458901</v>
      </c>
      <c r="J41" s="105">
        <v>44719.475673356501</v>
      </c>
      <c r="K41" s="105">
        <v>6703.1042486065699</v>
      </c>
      <c r="L41" s="105">
        <v>1293.40389590936</v>
      </c>
      <c r="M41" s="105">
        <v>6903.9535604562398</v>
      </c>
      <c r="N41" s="105">
        <v>7752.5221041302802</v>
      </c>
      <c r="O41" s="105">
        <v>4596.5507172375201</v>
      </c>
      <c r="P41" s="105">
        <v>4722.0107942395298</v>
      </c>
      <c r="Q41" s="105">
        <v>15149.0522111105</v>
      </c>
      <c r="R41" s="105">
        <v>1972.6455105514599</v>
      </c>
      <c r="S41" s="105">
        <v>9108.2643782026298</v>
      </c>
      <c r="T41" s="105">
        <v>4050.0746742777301</v>
      </c>
      <c r="U41" s="105">
        <v>18771.9531234186</v>
      </c>
      <c r="V41" s="105">
        <v>10425.292905624499</v>
      </c>
      <c r="W41" s="105">
        <v>5510.9674110775904</v>
      </c>
      <c r="X41" s="105">
        <v>5963.4675321827399</v>
      </c>
      <c r="Y41" s="105">
        <v>16110.858517374099</v>
      </c>
      <c r="Z41" s="105">
        <v>10529.864274391601</v>
      </c>
      <c r="AA41" s="105">
        <v>19996.235358139002</v>
      </c>
      <c r="AB41" s="105">
        <v>12309.439764603399</v>
      </c>
      <c r="AC41" s="105">
        <v>14106.22655401</v>
      </c>
      <c r="AD41" s="105">
        <v>11079.244217073199</v>
      </c>
      <c r="AE41" s="105">
        <v>15102.487305660101</v>
      </c>
      <c r="AF41" s="105">
        <v>27173.423606542499</v>
      </c>
      <c r="AG41" s="105">
        <v>21982.714711254899</v>
      </c>
      <c r="AH41" s="105">
        <v>12210.085501309301</v>
      </c>
      <c r="AI41" s="105">
        <v>2957.9021789746298</v>
      </c>
      <c r="AJ41" s="105">
        <v>10031.9366841553</v>
      </c>
      <c r="AK41" s="105">
        <v>8991.3533849350606</v>
      </c>
      <c r="AL41" s="105">
        <v>5005.7344584536704</v>
      </c>
      <c r="AM41" s="105">
        <v>3072.5216347219898</v>
      </c>
      <c r="AN41" s="105">
        <v>38803.5163338325</v>
      </c>
      <c r="AO41" s="105">
        <v>44616.190767648201</v>
      </c>
      <c r="AP41" s="105">
        <v>26770.235734580699</v>
      </c>
      <c r="AQ41" s="105">
        <v>745.26005817380099</v>
      </c>
      <c r="AR41" s="105">
        <v>651.32837111836795</v>
      </c>
      <c r="AS41" s="105">
        <v>2422.1295815644698</v>
      </c>
      <c r="AT41" s="105">
        <v>872.597417242446</v>
      </c>
      <c r="AU41" s="105">
        <v>21437.646925548001</v>
      </c>
      <c r="AV41" s="105">
        <v>1328.72529319266</v>
      </c>
      <c r="AW41" s="105">
        <v>1163.7846924854</v>
      </c>
      <c r="AX41" s="105">
        <v>4618.0462156111198</v>
      </c>
      <c r="AY41" s="105">
        <v>4516.9207861104896</v>
      </c>
      <c r="AZ41" s="105">
        <v>3517.4623480714199</v>
      </c>
      <c r="BA41" s="105">
        <v>1730.6081805608801</v>
      </c>
      <c r="BB41" s="105">
        <v>2889.5067240953099</v>
      </c>
      <c r="BC41" s="105">
        <v>2201.0812836995001</v>
      </c>
      <c r="BD41" s="105">
        <v>5806.2681425771998</v>
      </c>
      <c r="BE41" s="105">
        <v>2566.7233393556498</v>
      </c>
      <c r="BF41" s="105">
        <v>6048.7634593519997</v>
      </c>
      <c r="BG41" s="105">
        <v>592.290433446669</v>
      </c>
      <c r="BH41" s="105">
        <v>9418.8857256281408</v>
      </c>
      <c r="BI41" s="105">
        <v>5558.4481174994999</v>
      </c>
      <c r="BJ41" s="105">
        <v>2034.3434206091999</v>
      </c>
      <c r="BK41" s="105">
        <v>14686.871668293499</v>
      </c>
      <c r="BL41" s="105">
        <v>18452.5267529714</v>
      </c>
      <c r="BM41" s="105">
        <v>699.03255856105898</v>
      </c>
      <c r="BN41" s="105">
        <v>4947.5446725545899</v>
      </c>
      <c r="BO41" s="105">
        <v>0</v>
      </c>
    </row>
    <row r="42" spans="1:67" x14ac:dyDescent="0.2">
      <c r="A42" s="105">
        <v>11746.291422959899</v>
      </c>
      <c r="B42" s="105">
        <v>3883.3371879244901</v>
      </c>
      <c r="C42" s="105">
        <v>1173.9205223332499</v>
      </c>
      <c r="D42" s="105">
        <v>1312.62188391992</v>
      </c>
      <c r="E42" s="105">
        <v>12834.9512003746</v>
      </c>
      <c r="F42" s="105">
        <v>7199.4676744933804</v>
      </c>
      <c r="G42" s="105">
        <v>1186.14696873956</v>
      </c>
      <c r="H42" s="105">
        <v>24241.743297986701</v>
      </c>
      <c r="I42" s="105">
        <v>6690.6943146701196</v>
      </c>
      <c r="J42" s="105">
        <v>30322.8809706225</v>
      </c>
      <c r="K42" s="105">
        <v>6042.7498564453899</v>
      </c>
      <c r="L42" s="105">
        <v>299.161064131182</v>
      </c>
      <c r="M42" s="105">
        <v>1878.1437213193401</v>
      </c>
      <c r="N42" s="105">
        <v>1771.1873455146999</v>
      </c>
      <c r="O42" s="105">
        <v>1542.0183533235299</v>
      </c>
      <c r="P42" s="105">
        <v>3500.79739292263</v>
      </c>
      <c r="Q42" s="105">
        <v>9449.0121177100991</v>
      </c>
      <c r="R42" s="105">
        <v>450.407364094993</v>
      </c>
      <c r="S42" s="105">
        <v>7413.9467117109598</v>
      </c>
      <c r="T42" s="105">
        <v>4644.7171900631101</v>
      </c>
      <c r="U42" s="105">
        <v>12798.600145194299</v>
      </c>
      <c r="V42" s="105">
        <v>4015.0113640473201</v>
      </c>
      <c r="W42" s="105">
        <v>2651.46364207035</v>
      </c>
      <c r="X42" s="105">
        <v>4488.3508222702403</v>
      </c>
      <c r="Y42" s="105">
        <v>5430.1408241803802</v>
      </c>
      <c r="Z42" s="105">
        <v>5940.6878849704599</v>
      </c>
      <c r="AA42" s="105">
        <v>11775.9334659504</v>
      </c>
      <c r="AB42" s="105">
        <v>2792.6929102425102</v>
      </c>
      <c r="AC42" s="105">
        <v>5338.4431966149396</v>
      </c>
      <c r="AD42" s="105">
        <v>2671.8865563075801</v>
      </c>
      <c r="AE42" s="105">
        <v>2755.8513735238798</v>
      </c>
      <c r="AF42" s="105">
        <v>5209.9403207820496</v>
      </c>
      <c r="AG42" s="105">
        <v>5674.1745493163999</v>
      </c>
      <c r="AH42" s="105">
        <v>3321.68435705819</v>
      </c>
      <c r="AI42" s="105">
        <v>953.30344437514498</v>
      </c>
      <c r="AJ42" s="105">
        <v>2517.4798385365498</v>
      </c>
      <c r="AK42" s="105">
        <v>869.00036610150505</v>
      </c>
      <c r="AL42" s="105">
        <v>5331.1550670052502</v>
      </c>
      <c r="AM42" s="105">
        <v>817.11461057988402</v>
      </c>
      <c r="AN42" s="105">
        <v>6500.4552698949001</v>
      </c>
      <c r="AO42" s="105">
        <v>66454.391540266093</v>
      </c>
      <c r="AP42" s="105">
        <v>59293.792065895002</v>
      </c>
      <c r="AQ42" s="105">
        <v>2198.8934951281499</v>
      </c>
      <c r="AR42" s="105">
        <v>403.363976743379</v>
      </c>
      <c r="AS42" s="105">
        <v>8768.6058779718096</v>
      </c>
      <c r="AT42" s="105">
        <v>338.66707008104498</v>
      </c>
      <c r="AU42" s="105">
        <v>5171.8319816392304</v>
      </c>
      <c r="AV42" s="105">
        <v>411.72690830077897</v>
      </c>
      <c r="AW42" s="105">
        <v>550.415382003275</v>
      </c>
      <c r="AX42" s="105">
        <v>613.08694273988999</v>
      </c>
      <c r="AY42" s="105">
        <v>1270.68096379454</v>
      </c>
      <c r="AZ42" s="105">
        <v>2244.5366300379001</v>
      </c>
      <c r="BA42" s="105">
        <v>345.57161445365398</v>
      </c>
      <c r="BB42" s="105">
        <v>1450.6610477092099</v>
      </c>
      <c r="BC42" s="105">
        <v>1536.2442259725201</v>
      </c>
      <c r="BD42" s="105">
        <v>812.99357513781001</v>
      </c>
      <c r="BE42" s="105">
        <v>808.62702751642098</v>
      </c>
      <c r="BF42" s="105">
        <v>1337.9085691016701</v>
      </c>
      <c r="BG42" s="105">
        <v>231.47920106915001</v>
      </c>
      <c r="BH42" s="105">
        <v>4181.1366954486803</v>
      </c>
      <c r="BI42" s="105">
        <v>2149.1184590916</v>
      </c>
      <c r="BJ42" s="105">
        <v>1881.2038431396099</v>
      </c>
      <c r="BK42" s="105">
        <v>2933.1517558712499</v>
      </c>
      <c r="BL42" s="105">
        <v>1148.2227556860601</v>
      </c>
      <c r="BM42" s="105">
        <v>371.74218987301202</v>
      </c>
      <c r="BN42" s="105">
        <v>3351.4372068017801</v>
      </c>
      <c r="BO42" s="105">
        <v>0</v>
      </c>
    </row>
    <row r="43" spans="1:67" x14ac:dyDescent="0.2">
      <c r="A43" s="105">
        <v>987.29803010083401</v>
      </c>
      <c r="B43" s="105">
        <v>323.292995332288</v>
      </c>
      <c r="C43" s="105">
        <v>94.874896400429705</v>
      </c>
      <c r="D43" s="105">
        <v>109.393652996974</v>
      </c>
      <c r="E43" s="105">
        <v>1026.5229350203699</v>
      </c>
      <c r="F43" s="105">
        <v>494.88214440629201</v>
      </c>
      <c r="G43" s="105">
        <v>85.031583077216894</v>
      </c>
      <c r="H43" s="105">
        <v>2012.3968801221899</v>
      </c>
      <c r="I43" s="105">
        <v>551.88119428366701</v>
      </c>
      <c r="J43" s="105">
        <v>2514.4259481446602</v>
      </c>
      <c r="K43" s="105">
        <v>450.86279401795002</v>
      </c>
      <c r="L43" s="105">
        <v>22.2655080894253</v>
      </c>
      <c r="M43" s="105">
        <v>159.11110012495399</v>
      </c>
      <c r="N43" s="105">
        <v>133.42631424743101</v>
      </c>
      <c r="O43" s="105">
        <v>123.674759577532</v>
      </c>
      <c r="P43" s="105">
        <v>162.09781560628099</v>
      </c>
      <c r="Q43" s="105">
        <v>788.68284541369201</v>
      </c>
      <c r="R43" s="105">
        <v>37.465450221525998</v>
      </c>
      <c r="S43" s="105">
        <v>618.96072977113101</v>
      </c>
      <c r="T43" s="105">
        <v>376.63972472773298</v>
      </c>
      <c r="U43" s="105">
        <v>1055.9462178178501</v>
      </c>
      <c r="V43" s="105">
        <v>317.83402915843402</v>
      </c>
      <c r="W43" s="105">
        <v>209.383825471835</v>
      </c>
      <c r="X43" s="105">
        <v>346.195593841152</v>
      </c>
      <c r="Y43" s="105">
        <v>429.07169009542798</v>
      </c>
      <c r="Z43" s="105">
        <v>457.35070866362997</v>
      </c>
      <c r="AA43" s="105">
        <v>975.32393486712897</v>
      </c>
      <c r="AB43" s="105">
        <v>235.252833543615</v>
      </c>
      <c r="AC43" s="105">
        <v>409.08287567845298</v>
      </c>
      <c r="AD43" s="105">
        <v>212.36336874171801</v>
      </c>
      <c r="AE43" s="105">
        <v>219.17789301021699</v>
      </c>
      <c r="AF43" s="105">
        <v>386.13827619139499</v>
      </c>
      <c r="AG43" s="105">
        <v>440.85993271895398</v>
      </c>
      <c r="AH43" s="105">
        <v>250.309851802662</v>
      </c>
      <c r="AI43" s="105">
        <v>78.266766718426496</v>
      </c>
      <c r="AJ43" s="105">
        <v>207.91112827946401</v>
      </c>
      <c r="AK43" s="105">
        <v>65.037121110448496</v>
      </c>
      <c r="AL43" s="105">
        <v>432.98970955841997</v>
      </c>
      <c r="AM43" s="105">
        <v>67.381565710616002</v>
      </c>
      <c r="AN43" s="105">
        <v>531.23193706335496</v>
      </c>
      <c r="AO43" s="105">
        <v>5506.5496612655797</v>
      </c>
      <c r="AP43" s="105">
        <v>4998.1640628980604</v>
      </c>
      <c r="AQ43" s="105">
        <v>177.54254135441099</v>
      </c>
      <c r="AR43" s="105">
        <v>23.344890921923302</v>
      </c>
      <c r="AS43" s="105">
        <v>723.858900947547</v>
      </c>
      <c r="AT43" s="105">
        <v>27.288617117241198</v>
      </c>
      <c r="AU43" s="105">
        <v>439.42520396464897</v>
      </c>
      <c r="AV43" s="105">
        <v>29.132687840240099</v>
      </c>
      <c r="AW43" s="105">
        <v>20.6251716908113</v>
      </c>
      <c r="AX43" s="105">
        <v>30.882380249461601</v>
      </c>
      <c r="AY43" s="105">
        <v>56.517749846147602</v>
      </c>
      <c r="AZ43" s="105">
        <v>82.612040473650197</v>
      </c>
      <c r="BA43" s="105">
        <v>22.189262238579801</v>
      </c>
      <c r="BB43" s="105">
        <v>91.649255687952504</v>
      </c>
      <c r="BC43" s="105">
        <v>50.882497368152599</v>
      </c>
      <c r="BD43" s="105">
        <v>34.4454757553872</v>
      </c>
      <c r="BE43" s="105">
        <v>55.773859519866697</v>
      </c>
      <c r="BF43" s="105">
        <v>85.319523956572795</v>
      </c>
      <c r="BG43" s="105">
        <v>14.775533092783601</v>
      </c>
      <c r="BH43" s="105">
        <v>168.823142528174</v>
      </c>
      <c r="BI43" s="105">
        <v>57.566470968442601</v>
      </c>
      <c r="BJ43" s="105">
        <v>30.0105649522215</v>
      </c>
      <c r="BK43" s="105">
        <v>137.57881005261299</v>
      </c>
      <c r="BL43" s="105">
        <v>105.044920338789</v>
      </c>
      <c r="BM43" s="105">
        <v>27.534275431126702</v>
      </c>
      <c r="BN43" s="105">
        <v>92.541869012095006</v>
      </c>
      <c r="BO43" s="105">
        <v>0</v>
      </c>
    </row>
    <row r="44" spans="1:67" x14ac:dyDescent="0.2">
      <c r="A44" s="105">
        <v>3.3415414006134898</v>
      </c>
      <c r="B44" s="105">
        <v>0.72778364460743294</v>
      </c>
      <c r="C44" s="105">
        <v>3.2931346394007899</v>
      </c>
      <c r="D44" s="105">
        <v>1.7098367239626699</v>
      </c>
      <c r="E44" s="105">
        <v>2108.7363696022298</v>
      </c>
      <c r="F44" s="105">
        <v>20.972074777357399</v>
      </c>
      <c r="G44" s="105">
        <v>27.7839306654319</v>
      </c>
      <c r="H44" s="105">
        <v>299.910699956624</v>
      </c>
      <c r="I44" s="105">
        <v>5.8092458321359199</v>
      </c>
      <c r="J44" s="105">
        <v>233.418062311477</v>
      </c>
      <c r="K44" s="105">
        <v>41.836841705647402</v>
      </c>
      <c r="L44" s="105">
        <v>23.8267047998287</v>
      </c>
      <c r="M44" s="105">
        <v>24.775193244858801</v>
      </c>
      <c r="N44" s="105">
        <v>24.325877668061501</v>
      </c>
      <c r="O44" s="105">
        <v>27.122736095043798</v>
      </c>
      <c r="P44" s="105">
        <v>61.582686849994097</v>
      </c>
      <c r="Q44" s="105">
        <v>103.926673573673</v>
      </c>
      <c r="R44" s="105">
        <v>10.2103415010851</v>
      </c>
      <c r="S44" s="105">
        <v>50.114723028761603</v>
      </c>
      <c r="T44" s="105">
        <v>12.913383652856</v>
      </c>
      <c r="U44" s="105">
        <v>340.90701494830398</v>
      </c>
      <c r="V44" s="105">
        <v>260.71283997199498</v>
      </c>
      <c r="W44" s="105">
        <v>10.8976230098879</v>
      </c>
      <c r="X44" s="105">
        <v>118.274051401406</v>
      </c>
      <c r="Y44" s="105">
        <v>43.499662274473899</v>
      </c>
      <c r="Z44" s="105">
        <v>101.773636001024</v>
      </c>
      <c r="AA44" s="105">
        <v>81.595677177912705</v>
      </c>
      <c r="AB44" s="105">
        <v>12.877578462128501</v>
      </c>
      <c r="AC44" s="105">
        <v>45.548252838171003</v>
      </c>
      <c r="AD44" s="105">
        <v>151.18997941820501</v>
      </c>
      <c r="AE44" s="105">
        <v>136.98149346496601</v>
      </c>
      <c r="AF44" s="105">
        <v>169.86794686583801</v>
      </c>
      <c r="AG44" s="105">
        <v>127.57803960966601</v>
      </c>
      <c r="AH44" s="105">
        <v>73.250322372412796</v>
      </c>
      <c r="AI44" s="105">
        <v>17.478505017568999</v>
      </c>
      <c r="AJ44" s="105">
        <v>33.974066900775199</v>
      </c>
      <c r="AK44" s="105">
        <v>51.528113750741397</v>
      </c>
      <c r="AL44" s="105">
        <v>337.16518018316498</v>
      </c>
      <c r="AM44" s="105">
        <v>44.675081458451402</v>
      </c>
      <c r="AN44" s="105">
        <v>735.23616097026695</v>
      </c>
      <c r="AO44" s="105">
        <v>3093.76402820153</v>
      </c>
      <c r="AP44" s="105">
        <v>172.781589836091</v>
      </c>
      <c r="AQ44" s="105">
        <v>108.866953315026</v>
      </c>
      <c r="AR44" s="105">
        <v>7.9431417431124398</v>
      </c>
      <c r="AS44" s="105">
        <v>591.33801230644895</v>
      </c>
      <c r="AT44" s="105">
        <v>44.264506095318602</v>
      </c>
      <c r="AU44" s="105">
        <v>46.092665043282899</v>
      </c>
      <c r="AV44" s="105">
        <v>10.5063936333234</v>
      </c>
      <c r="AW44" s="105">
        <v>91.879706635633895</v>
      </c>
      <c r="AX44" s="105">
        <v>113.72733527344499</v>
      </c>
      <c r="AY44" s="105">
        <v>719.49859019956705</v>
      </c>
      <c r="AZ44" s="105">
        <v>1367.89985453742</v>
      </c>
      <c r="BA44" s="105">
        <v>44.559674344762499</v>
      </c>
      <c r="BB44" s="105">
        <v>612.83085054714502</v>
      </c>
      <c r="BC44" s="105">
        <v>235.15351458951599</v>
      </c>
      <c r="BD44" s="105">
        <v>486.35501991066297</v>
      </c>
      <c r="BE44" s="105">
        <v>83.451989044522705</v>
      </c>
      <c r="BF44" s="105">
        <v>261.80177527079098</v>
      </c>
      <c r="BG44" s="105">
        <v>20.090361804125099</v>
      </c>
      <c r="BH44" s="105">
        <v>875.95010740721102</v>
      </c>
      <c r="BI44" s="105">
        <v>171.36758368141</v>
      </c>
      <c r="BJ44" s="105">
        <v>1493.65718214612</v>
      </c>
      <c r="BK44" s="105">
        <v>448.10974608755799</v>
      </c>
      <c r="BL44" s="105">
        <v>5.74811628207258</v>
      </c>
      <c r="BM44" s="105">
        <v>73.9832732102943</v>
      </c>
      <c r="BN44" s="105">
        <v>4481.7923973300904</v>
      </c>
      <c r="BO44" s="105">
        <v>0</v>
      </c>
    </row>
    <row r="45" spans="1:67" x14ac:dyDescent="0.2">
      <c r="A45" s="105">
        <v>4154.0142031938303</v>
      </c>
      <c r="B45" s="105">
        <v>108.43895544841</v>
      </c>
      <c r="C45" s="105">
        <v>319.97060229899802</v>
      </c>
      <c r="D45" s="105">
        <v>68.684843634142098</v>
      </c>
      <c r="E45" s="105">
        <v>4170.5545491246703</v>
      </c>
      <c r="F45" s="105">
        <v>5196.0661204670596</v>
      </c>
      <c r="G45" s="105">
        <v>555.95782855500499</v>
      </c>
      <c r="H45" s="105">
        <v>4907.8290690062004</v>
      </c>
      <c r="I45" s="105">
        <v>4144.8375114580904</v>
      </c>
      <c r="J45" s="105">
        <v>5172.9928622939897</v>
      </c>
      <c r="K45" s="105">
        <v>2994.33582543485</v>
      </c>
      <c r="L45" s="105">
        <v>53.143093182537697</v>
      </c>
      <c r="M45" s="105">
        <v>257.68287849426002</v>
      </c>
      <c r="N45" s="105">
        <v>163.15423578939399</v>
      </c>
      <c r="O45" s="105">
        <v>193.93978565809101</v>
      </c>
      <c r="P45" s="105">
        <v>516.72486308546195</v>
      </c>
      <c r="Q45" s="105">
        <v>2638.0600421324698</v>
      </c>
      <c r="R45" s="105">
        <v>209.36965318081101</v>
      </c>
      <c r="S45" s="105">
        <v>1353.96988683362</v>
      </c>
      <c r="T45" s="105">
        <v>2506.8401010243701</v>
      </c>
      <c r="U45" s="105">
        <v>2000.6551559453001</v>
      </c>
      <c r="V45" s="105">
        <v>1263.2719736260101</v>
      </c>
      <c r="W45" s="105">
        <v>531.13512957682303</v>
      </c>
      <c r="X45" s="105">
        <v>938.14047172440701</v>
      </c>
      <c r="Y45" s="105">
        <v>413.09324076474098</v>
      </c>
      <c r="Z45" s="105">
        <v>571.77545859572103</v>
      </c>
      <c r="AA45" s="105">
        <v>4370.4031249282698</v>
      </c>
      <c r="AB45" s="105">
        <v>249.626685730849</v>
      </c>
      <c r="AC45" s="105">
        <v>1444.5420097272699</v>
      </c>
      <c r="AD45" s="105">
        <v>840.384690910774</v>
      </c>
      <c r="AE45" s="105">
        <v>1264.8973085565499</v>
      </c>
      <c r="AF45" s="105">
        <v>533.77952311363299</v>
      </c>
      <c r="AG45" s="105">
        <v>3449.98988847996</v>
      </c>
      <c r="AH45" s="105">
        <v>854.58385768985397</v>
      </c>
      <c r="AI45" s="105">
        <v>310.871210810158</v>
      </c>
      <c r="AJ45" s="105">
        <v>562.62787907439099</v>
      </c>
      <c r="AK45" s="105">
        <v>268.23414506549898</v>
      </c>
      <c r="AL45" s="105">
        <v>574.85249431093598</v>
      </c>
      <c r="AM45" s="105">
        <v>41.041373340670397</v>
      </c>
      <c r="AN45" s="105">
        <v>784.01139123711198</v>
      </c>
      <c r="AO45" s="105">
        <v>26064.663376510201</v>
      </c>
      <c r="AP45" s="105">
        <v>12279.391246315899</v>
      </c>
      <c r="AQ45" s="105">
        <v>4025.7882903043001</v>
      </c>
      <c r="AR45" s="105">
        <v>4200.3474700360603</v>
      </c>
      <c r="AS45" s="105">
        <v>7519.4284707360403</v>
      </c>
      <c r="AT45" s="105">
        <v>82.673483156465693</v>
      </c>
      <c r="AU45" s="105">
        <v>369.39938216841801</v>
      </c>
      <c r="AV45" s="105">
        <v>65.118654445237894</v>
      </c>
      <c r="AW45" s="105">
        <v>98.226249811520304</v>
      </c>
      <c r="AX45" s="105">
        <v>606.92865108632998</v>
      </c>
      <c r="AY45" s="105">
        <v>334.52803678039498</v>
      </c>
      <c r="AZ45" s="105">
        <v>4112.66616329725</v>
      </c>
      <c r="BA45" s="105">
        <v>222.57338611841001</v>
      </c>
      <c r="BB45" s="105">
        <v>883.99989432629502</v>
      </c>
      <c r="BC45" s="105">
        <v>314.168457814406</v>
      </c>
      <c r="BD45" s="105">
        <v>458.15607734874197</v>
      </c>
      <c r="BE45" s="105">
        <v>344.31926094437898</v>
      </c>
      <c r="BF45" s="105">
        <v>1160.21494161447</v>
      </c>
      <c r="BG45" s="105">
        <v>113.658422999151</v>
      </c>
      <c r="BH45" s="105">
        <v>4039.3122550304602</v>
      </c>
      <c r="BI45" s="105">
        <v>388.55443093236801</v>
      </c>
      <c r="BJ45" s="105">
        <v>680.19920112795398</v>
      </c>
      <c r="BK45" s="105">
        <v>612.60473089002699</v>
      </c>
      <c r="BL45" s="105">
        <v>384.77046310522098</v>
      </c>
      <c r="BM45" s="105">
        <v>105.374966737663</v>
      </c>
      <c r="BN45" s="105">
        <v>1854.4705013744001</v>
      </c>
      <c r="BO45" s="105">
        <v>0</v>
      </c>
    </row>
    <row r="46" spans="1:67" x14ac:dyDescent="0.2">
      <c r="A46" s="105">
        <v>5.8599661091072202</v>
      </c>
      <c r="B46" s="105">
        <v>1.6533981019778601</v>
      </c>
      <c r="C46" s="105">
        <v>3.8811990656154101</v>
      </c>
      <c r="D46" s="105">
        <v>15.513990381605501</v>
      </c>
      <c r="E46" s="105">
        <v>307.92353397191999</v>
      </c>
      <c r="F46" s="105">
        <v>165.84201302596901</v>
      </c>
      <c r="G46" s="105">
        <v>19.8157649921787</v>
      </c>
      <c r="H46" s="105">
        <v>402.610063944263</v>
      </c>
      <c r="I46" s="105">
        <v>52.927114336646902</v>
      </c>
      <c r="J46" s="105">
        <v>353.91515701375198</v>
      </c>
      <c r="K46" s="105">
        <v>64.970854496784398</v>
      </c>
      <c r="L46" s="105">
        <v>41.1852659468585</v>
      </c>
      <c r="M46" s="105">
        <v>30.978829558604801</v>
      </c>
      <c r="N46" s="105">
        <v>23.826490672003999</v>
      </c>
      <c r="O46" s="105">
        <v>25.8112855597027</v>
      </c>
      <c r="P46" s="105">
        <v>16.373457951868001</v>
      </c>
      <c r="Q46" s="105">
        <v>114.420166675359</v>
      </c>
      <c r="R46" s="105">
        <v>8.9748622695158193</v>
      </c>
      <c r="S46" s="105">
        <v>38.6465889291363</v>
      </c>
      <c r="T46" s="105">
        <v>36.966349529894003</v>
      </c>
      <c r="U46" s="105">
        <v>188.979503729556</v>
      </c>
      <c r="V46" s="105">
        <v>174.06472742380399</v>
      </c>
      <c r="W46" s="105">
        <v>43.521434652750401</v>
      </c>
      <c r="X46" s="105">
        <v>236.92380858285401</v>
      </c>
      <c r="Y46" s="105">
        <v>128.39426263359701</v>
      </c>
      <c r="Z46" s="105">
        <v>103.024542063097</v>
      </c>
      <c r="AA46" s="105">
        <v>222.80154093115499</v>
      </c>
      <c r="AB46" s="105">
        <v>52.477823419562696</v>
      </c>
      <c r="AC46" s="105">
        <v>194.49615998503501</v>
      </c>
      <c r="AD46" s="105">
        <v>132.23189605503001</v>
      </c>
      <c r="AE46" s="105">
        <v>132.969440100947</v>
      </c>
      <c r="AF46" s="105">
        <v>364.88088333145703</v>
      </c>
      <c r="AG46" s="105">
        <v>130.63482824020301</v>
      </c>
      <c r="AH46" s="105">
        <v>89.798749617272804</v>
      </c>
      <c r="AI46" s="105">
        <v>39.081831042638903</v>
      </c>
      <c r="AJ46" s="105">
        <v>137.59820881979999</v>
      </c>
      <c r="AK46" s="105">
        <v>64.047971611204105</v>
      </c>
      <c r="AL46" s="105">
        <v>193.148446638015</v>
      </c>
      <c r="AM46" s="105">
        <v>21.081338781473601</v>
      </c>
      <c r="AN46" s="105">
        <v>1050.4468694874299</v>
      </c>
      <c r="AO46" s="105">
        <v>3895.4871443747902</v>
      </c>
      <c r="AP46" s="105">
        <v>225.66615564074399</v>
      </c>
      <c r="AQ46" s="105">
        <v>6.5221250149649199</v>
      </c>
      <c r="AR46" s="105">
        <v>49.858392821667501</v>
      </c>
      <c r="AS46" s="105">
        <v>257.07295389960501</v>
      </c>
      <c r="AT46" s="105">
        <v>0.65442753761076999</v>
      </c>
      <c r="AU46" s="105">
        <v>33.692883345967203</v>
      </c>
      <c r="AV46" s="105">
        <v>56.678296699386102</v>
      </c>
      <c r="AW46" s="105">
        <v>136.782852738413</v>
      </c>
      <c r="AX46" s="105">
        <v>88.659200321828095</v>
      </c>
      <c r="AY46" s="105">
        <v>796.46833601871401</v>
      </c>
      <c r="AZ46" s="105">
        <v>864.87361950694799</v>
      </c>
      <c r="BA46" s="105">
        <v>69.433063432378603</v>
      </c>
      <c r="BB46" s="105">
        <v>351.01864512228298</v>
      </c>
      <c r="BC46" s="105">
        <v>322.59058480606302</v>
      </c>
      <c r="BD46" s="105">
        <v>231.247298249251</v>
      </c>
      <c r="BE46" s="105">
        <v>186.20242952529</v>
      </c>
      <c r="BF46" s="105">
        <v>209.51497327336301</v>
      </c>
      <c r="BG46" s="105">
        <v>49.849471497925599</v>
      </c>
      <c r="BH46" s="105">
        <v>2268.5397229940099</v>
      </c>
      <c r="BI46" s="105">
        <v>223.571876483631</v>
      </c>
      <c r="BJ46" s="105">
        <v>380.51439560043002</v>
      </c>
      <c r="BK46" s="105">
        <v>519.75911707025796</v>
      </c>
      <c r="BL46" s="105">
        <v>2.2396835970279301</v>
      </c>
      <c r="BM46" s="105">
        <v>137.496631473836</v>
      </c>
      <c r="BN46" s="105">
        <v>5674.4810747572101</v>
      </c>
      <c r="BO46" s="105">
        <v>0</v>
      </c>
    </row>
    <row r="47" spans="1:67" x14ac:dyDescent="0.2">
      <c r="A47" s="105">
        <v>-1.4919391040802801</v>
      </c>
      <c r="B47" s="105">
        <v>-2.4124408411538201</v>
      </c>
      <c r="C47" s="105">
        <v>2.7333358230040101</v>
      </c>
      <c r="D47" s="105">
        <v>2.8540787940659</v>
      </c>
      <c r="E47" s="105">
        <v>400.18989803081303</v>
      </c>
      <c r="F47" s="105">
        <v>27.775186181112701</v>
      </c>
      <c r="G47" s="105">
        <v>14.207201873475499</v>
      </c>
      <c r="H47" s="105">
        <v>3.5507029360120601</v>
      </c>
      <c r="I47" s="105">
        <v>6.7441590184101896</v>
      </c>
      <c r="J47" s="105">
        <v>218.273251614331</v>
      </c>
      <c r="K47" s="105">
        <v>3.70306177036211</v>
      </c>
      <c r="L47" s="105">
        <v>0.26237566167197801</v>
      </c>
      <c r="M47" s="105">
        <v>14.9557570912757</v>
      </c>
      <c r="N47" s="105">
        <v>3.6122267935963599</v>
      </c>
      <c r="O47" s="105">
        <v>-2.17354118078621E-2</v>
      </c>
      <c r="P47" s="105">
        <v>1.1934933242638599</v>
      </c>
      <c r="Q47" s="105">
        <v>10.097194677604101</v>
      </c>
      <c r="R47" s="105">
        <v>22.557663647452301</v>
      </c>
      <c r="S47" s="105">
        <v>5.3418822470400098</v>
      </c>
      <c r="T47" s="105">
        <v>6.8120008121985496</v>
      </c>
      <c r="U47" s="105">
        <v>193.66627317125199</v>
      </c>
      <c r="V47" s="105">
        <v>174.386622373904</v>
      </c>
      <c r="W47" s="105">
        <v>1.7549744665286</v>
      </c>
      <c r="X47" s="105">
        <v>375.99148323969001</v>
      </c>
      <c r="Y47" s="105">
        <v>20.098908282219998</v>
      </c>
      <c r="Z47" s="105">
        <v>2.96239267549148</v>
      </c>
      <c r="AA47" s="105">
        <v>42.442722995477098</v>
      </c>
      <c r="AB47" s="105">
        <v>85.699258552899195</v>
      </c>
      <c r="AC47" s="105">
        <v>50.265491477971601</v>
      </c>
      <c r="AD47" s="105">
        <v>1.9134055257482701</v>
      </c>
      <c r="AE47" s="105">
        <v>-0.56359397835181402</v>
      </c>
      <c r="AF47" s="105">
        <v>162.51900534782399</v>
      </c>
      <c r="AG47" s="105">
        <v>404.40891535531301</v>
      </c>
      <c r="AH47" s="105">
        <v>18.485333252469001</v>
      </c>
      <c r="AI47" s="105">
        <v>1.81643705269753</v>
      </c>
      <c r="AJ47" s="105">
        <v>1.6155121485119199</v>
      </c>
      <c r="AK47" s="105">
        <v>100.98640461527501</v>
      </c>
      <c r="AL47" s="105">
        <v>335.29825501833</v>
      </c>
      <c r="AM47" s="105">
        <v>18.235672487590602</v>
      </c>
      <c r="AN47" s="105">
        <v>13.149441879825901</v>
      </c>
      <c r="AO47" s="105">
        <v>1455.3960491496</v>
      </c>
      <c r="AP47" s="105">
        <v>51.847015214374302</v>
      </c>
      <c r="AQ47" s="105">
        <v>13.760818251031001</v>
      </c>
      <c r="AR47" s="105">
        <v>709.87324107433096</v>
      </c>
      <c r="AS47" s="105">
        <v>94.506642097468003</v>
      </c>
      <c r="AT47" s="105">
        <v>367.81100887729599</v>
      </c>
      <c r="AU47" s="105">
        <v>30.6085606219123</v>
      </c>
      <c r="AV47" s="105">
        <v>2.8489661350739399</v>
      </c>
      <c r="AW47" s="105">
        <v>849.33350005232001</v>
      </c>
      <c r="AX47" s="105">
        <v>88.310992858079501</v>
      </c>
      <c r="AY47" s="105">
        <v>68.6713249089199</v>
      </c>
      <c r="AZ47" s="105">
        <v>3054.4046465916099</v>
      </c>
      <c r="BA47" s="105">
        <v>91.197071400508094</v>
      </c>
      <c r="BB47" s="105">
        <v>1763.0946780317599</v>
      </c>
      <c r="BC47" s="105">
        <v>13.3355718293174</v>
      </c>
      <c r="BD47" s="105">
        <v>340.76084652160898</v>
      </c>
      <c r="BE47" s="105">
        <v>19.432149756708402</v>
      </c>
      <c r="BF47" s="105">
        <v>1699.21399348354</v>
      </c>
      <c r="BG47" s="105">
        <v>7.7477523177839496</v>
      </c>
      <c r="BH47" s="105">
        <v>11107.693164353899</v>
      </c>
      <c r="BI47" s="105">
        <v>2042.3088746118699</v>
      </c>
      <c r="BJ47" s="105">
        <v>351.32745977459399</v>
      </c>
      <c r="BK47" s="105">
        <v>6633.5706089251298</v>
      </c>
      <c r="BL47" s="105">
        <v>4380.8979316816003</v>
      </c>
      <c r="BM47" s="105">
        <v>79.620005002767698</v>
      </c>
      <c r="BN47" s="105">
        <v>11336.768026821201</v>
      </c>
      <c r="BO47" s="105">
        <v>0</v>
      </c>
    </row>
    <row r="48" spans="1:67" x14ac:dyDescent="0.2">
      <c r="A48" s="105">
        <v>0.68790902459247005</v>
      </c>
      <c r="B48" s="105">
        <v>0.264422577059231</v>
      </c>
      <c r="C48" s="105">
        <v>6.6172940220274507E-2</v>
      </c>
      <c r="D48" s="105">
        <v>3.5489442425934402E-2</v>
      </c>
      <c r="E48" s="105">
        <v>0.69627215939826004</v>
      </c>
      <c r="F48" s="105">
        <v>0.92344414734979696</v>
      </c>
      <c r="G48" s="105">
        <v>0.14042670014574801</v>
      </c>
      <c r="H48" s="105">
        <v>2.3291965560800101</v>
      </c>
      <c r="I48" s="105">
        <v>0.63728994628695002</v>
      </c>
      <c r="J48" s="105">
        <v>2.3418048054349998</v>
      </c>
      <c r="K48" s="105">
        <v>4.8673234224749002</v>
      </c>
      <c r="L48" s="105">
        <v>4.9149231075459598E-2</v>
      </c>
      <c r="M48" s="105">
        <v>0.509089401745346</v>
      </c>
      <c r="N48" s="105">
        <v>0.53407885546683898</v>
      </c>
      <c r="O48" s="105">
        <v>0.20718039876830399</v>
      </c>
      <c r="P48" s="105">
        <v>0.69149947986097904</v>
      </c>
      <c r="Q48" s="105">
        <v>3.5722613784200301</v>
      </c>
      <c r="R48" s="105">
        <v>17.359017931999901</v>
      </c>
      <c r="S48" s="105">
        <v>0.308277996548801</v>
      </c>
      <c r="T48" s="105">
        <v>0.56483212020429796</v>
      </c>
      <c r="U48" s="105">
        <v>201.84199543009501</v>
      </c>
      <c r="V48" s="105">
        <v>0.65326717353874098</v>
      </c>
      <c r="W48" s="105">
        <v>0.22462054850722701</v>
      </c>
      <c r="X48" s="105">
        <v>0.56685518922469402</v>
      </c>
      <c r="Y48" s="105">
        <v>1.04589427755409</v>
      </c>
      <c r="Z48" s="105">
        <v>0.48367871549663899</v>
      </c>
      <c r="AA48" s="105">
        <v>0.86425118002394696</v>
      </c>
      <c r="AB48" s="105">
        <v>0.274997549098282</v>
      </c>
      <c r="AC48" s="105">
        <v>0.80468892968738504</v>
      </c>
      <c r="AD48" s="105">
        <v>3.1417673857740001</v>
      </c>
      <c r="AE48" s="105">
        <v>0.53623920030956296</v>
      </c>
      <c r="AF48" s="105">
        <v>1.0424346438816601</v>
      </c>
      <c r="AG48" s="105">
        <v>0.87572451038600796</v>
      </c>
      <c r="AH48" s="105">
        <v>4.2222049637037697</v>
      </c>
      <c r="AI48" s="105">
        <v>0.15945250166963301</v>
      </c>
      <c r="AJ48" s="105">
        <v>0.73815478216428398</v>
      </c>
      <c r="AK48" s="105">
        <v>15.2636021650156</v>
      </c>
      <c r="AL48" s="105">
        <v>61.2925134633741</v>
      </c>
      <c r="AM48" s="105">
        <v>5.5535903622518799</v>
      </c>
      <c r="AN48" s="105">
        <v>1.5671127278213</v>
      </c>
      <c r="AO48" s="105">
        <v>389.376034885455</v>
      </c>
      <c r="AP48" s="105">
        <v>1.84118937122943</v>
      </c>
      <c r="AQ48" s="105">
        <v>9.9433926045650101E-2</v>
      </c>
      <c r="AR48" s="105">
        <v>0.42202820457288998</v>
      </c>
      <c r="AS48" s="105">
        <v>3.3783208712742101</v>
      </c>
      <c r="AT48" s="105">
        <v>46.198508592780598</v>
      </c>
      <c r="AU48" s="105">
        <v>3.86625090750919</v>
      </c>
      <c r="AV48" s="105">
        <v>28.2828979168068</v>
      </c>
      <c r="AW48" s="105">
        <v>5.3132078453186402</v>
      </c>
      <c r="AX48" s="105">
        <v>90.909849797821906</v>
      </c>
      <c r="AY48" s="105">
        <v>14.5449060974438</v>
      </c>
      <c r="AZ48" s="105">
        <v>968.55438280669603</v>
      </c>
      <c r="BA48" s="105">
        <v>44.5883827310846</v>
      </c>
      <c r="BB48" s="105">
        <v>259.73947285288301</v>
      </c>
      <c r="BC48" s="105">
        <v>123.73990365295499</v>
      </c>
      <c r="BD48" s="105">
        <v>2976.34953196366</v>
      </c>
      <c r="BE48" s="105">
        <v>24.510151184275401</v>
      </c>
      <c r="BF48" s="105">
        <v>28.752040505609902</v>
      </c>
      <c r="BG48" s="105">
        <v>0.221258759198871</v>
      </c>
      <c r="BH48" s="105">
        <v>1038.38957346961</v>
      </c>
      <c r="BI48" s="105">
        <v>2378.3032127842698</v>
      </c>
      <c r="BJ48" s="105">
        <v>1417.28741046138</v>
      </c>
      <c r="BK48" s="105">
        <v>57.896268937248898</v>
      </c>
      <c r="BL48" s="105">
        <v>107.804138842613</v>
      </c>
      <c r="BM48" s="105">
        <v>6.78620704514623</v>
      </c>
      <c r="BN48" s="105">
        <v>128.68848563245399</v>
      </c>
      <c r="BO48" s="105">
        <v>0</v>
      </c>
    </row>
    <row r="49" spans="1:67" x14ac:dyDescent="0.2">
      <c r="A49" s="105">
        <v>0.52417007283538997</v>
      </c>
      <c r="B49" s="105">
        <v>0.28315317673815299</v>
      </c>
      <c r="C49" s="105">
        <v>2.3213924922517101E-2</v>
      </c>
      <c r="D49" s="105">
        <v>2.3782003044135899E-2</v>
      </c>
      <c r="E49" s="105">
        <v>0.24535091469647199</v>
      </c>
      <c r="F49" s="105">
        <v>0.20574551307657099</v>
      </c>
      <c r="G49" s="105">
        <v>2.95589585519122E-2</v>
      </c>
      <c r="H49" s="105">
        <v>0.81106132801141095</v>
      </c>
      <c r="I49" s="105">
        <v>8.2084475352203895E-2</v>
      </c>
      <c r="J49" s="105">
        <v>0.77187648908474704</v>
      </c>
      <c r="K49" s="105">
        <v>0.11461945397328301</v>
      </c>
      <c r="L49" s="105">
        <v>2.7168888789665599E-2</v>
      </c>
      <c r="M49" s="105">
        <v>0.18069111012879899</v>
      </c>
      <c r="N49" s="105">
        <v>0.20599572133708099</v>
      </c>
      <c r="O49" s="105">
        <v>9.2675461927340594E-2</v>
      </c>
      <c r="P49" s="105">
        <v>8.8764705092212806E-2</v>
      </c>
      <c r="Q49" s="105">
        <v>0.29164918560451503</v>
      </c>
      <c r="R49" s="105">
        <v>4.1192744002410402E-2</v>
      </c>
      <c r="S49" s="105">
        <v>0.12968726964030899</v>
      </c>
      <c r="T49" s="105">
        <v>0.123477653043864</v>
      </c>
      <c r="U49" s="105">
        <v>0.36585717606225798</v>
      </c>
      <c r="V49" s="105">
        <v>0.19583040573188501</v>
      </c>
      <c r="W49" s="105">
        <v>0.12302544019714</v>
      </c>
      <c r="X49" s="105">
        <v>0.15162155325019999</v>
      </c>
      <c r="Y49" s="105">
        <v>0.36522992374888802</v>
      </c>
      <c r="Z49" s="105">
        <v>0.21852060987260299</v>
      </c>
      <c r="AA49" s="105">
        <v>0.39234859850523901</v>
      </c>
      <c r="AB49" s="105">
        <v>0.20788637680255301</v>
      </c>
      <c r="AC49" s="105">
        <v>0.29155738330686798</v>
      </c>
      <c r="AD49" s="105">
        <v>0.21789272288971001</v>
      </c>
      <c r="AE49" s="105">
        <v>0.27883254864735701</v>
      </c>
      <c r="AF49" s="105">
        <v>0.51059005076060904</v>
      </c>
      <c r="AG49" s="105">
        <v>0.38097074000814601</v>
      </c>
      <c r="AH49" s="105">
        <v>0.24473132097189601</v>
      </c>
      <c r="AI49" s="105">
        <v>5.7245344202748898E-2</v>
      </c>
      <c r="AJ49" s="105">
        <v>0.217231568241114</v>
      </c>
      <c r="AK49" s="105">
        <v>0.15939758566421799</v>
      </c>
      <c r="AL49" s="105">
        <v>0.21099114518017401</v>
      </c>
      <c r="AM49" s="105">
        <v>0.119363724166174</v>
      </c>
      <c r="AN49" s="105">
        <v>0.80029817279120796</v>
      </c>
      <c r="AO49" s="105">
        <v>9.9503081623246601</v>
      </c>
      <c r="AP49" s="105">
        <v>1.6851607421418699</v>
      </c>
      <c r="AQ49" s="105">
        <v>3.0625026584451698E-2</v>
      </c>
      <c r="AR49" s="105">
        <v>2.4770705505138799E-2</v>
      </c>
      <c r="AS49" s="105">
        <v>0.76650952433366004</v>
      </c>
      <c r="AT49" s="105">
        <v>3.0287620092830698</v>
      </c>
      <c r="AU49" s="105">
        <v>1.1583000315187899</v>
      </c>
      <c r="AV49" s="105">
        <v>8.5277204640223605</v>
      </c>
      <c r="AW49" s="105">
        <v>6172.0977402952503</v>
      </c>
      <c r="AX49" s="105">
        <v>4570.2100346031702</v>
      </c>
      <c r="AY49" s="105">
        <v>1.57460307514721</v>
      </c>
      <c r="AZ49" s="105">
        <v>2.9794029498332799</v>
      </c>
      <c r="BA49" s="105">
        <v>0.35471243581224099</v>
      </c>
      <c r="BB49" s="105">
        <v>1.0453389721878401</v>
      </c>
      <c r="BC49" s="105">
        <v>0.19269139156041201</v>
      </c>
      <c r="BD49" s="105">
        <v>32472.2369783498</v>
      </c>
      <c r="BE49" s="105">
        <v>0.20683740512558599</v>
      </c>
      <c r="BF49" s="105">
        <v>40.655641996011397</v>
      </c>
      <c r="BG49" s="105">
        <v>2.7872914955659298</v>
      </c>
      <c r="BH49" s="105">
        <v>0.58219509889588295</v>
      </c>
      <c r="BI49" s="105">
        <v>0.193843653850997</v>
      </c>
      <c r="BJ49" s="105">
        <v>1.0633714654051301</v>
      </c>
      <c r="BK49" s="105">
        <v>0.299815768197844</v>
      </c>
      <c r="BL49" s="105">
        <v>0.80483568659843496</v>
      </c>
      <c r="BM49" s="105">
        <v>103.188336440293</v>
      </c>
      <c r="BN49" s="105">
        <v>0.76010167409680895</v>
      </c>
      <c r="BO49" s="105">
        <v>0</v>
      </c>
    </row>
    <row r="50" spans="1:67" x14ac:dyDescent="0.2">
      <c r="A50" s="105">
        <v>39.260380186638102</v>
      </c>
      <c r="B50" s="105">
        <v>20.8680302681055</v>
      </c>
      <c r="C50" s="105">
        <v>10.324521021260001</v>
      </c>
      <c r="D50" s="105">
        <v>34.426950253476697</v>
      </c>
      <c r="E50" s="105">
        <v>877.63203477876903</v>
      </c>
      <c r="F50" s="105">
        <v>258.34215758896897</v>
      </c>
      <c r="G50" s="105">
        <v>35.670391590036402</v>
      </c>
      <c r="H50" s="105">
        <v>951.16223787869501</v>
      </c>
      <c r="I50" s="105">
        <v>318.403352991492</v>
      </c>
      <c r="J50" s="105">
        <v>1608.0051396649901</v>
      </c>
      <c r="K50" s="105">
        <v>430.74919558218301</v>
      </c>
      <c r="L50" s="105">
        <v>26.6172131377994</v>
      </c>
      <c r="M50" s="105">
        <v>242.29841568871299</v>
      </c>
      <c r="N50" s="105">
        <v>587.045651228304</v>
      </c>
      <c r="O50" s="105">
        <v>147.75797869423801</v>
      </c>
      <c r="P50" s="105">
        <v>177.21883572522</v>
      </c>
      <c r="Q50" s="105">
        <v>559.01335498622598</v>
      </c>
      <c r="R50" s="105">
        <v>313.462952760836</v>
      </c>
      <c r="S50" s="105">
        <v>281.88423563344497</v>
      </c>
      <c r="T50" s="105">
        <v>286.287051638707</v>
      </c>
      <c r="U50" s="105">
        <v>456.213816216743</v>
      </c>
      <c r="V50" s="105">
        <v>321.99596095762502</v>
      </c>
      <c r="W50" s="105">
        <v>40.596705656824099</v>
      </c>
      <c r="X50" s="105">
        <v>285.40347827383903</v>
      </c>
      <c r="Y50" s="105">
        <v>431.16007652669703</v>
      </c>
      <c r="Z50" s="105">
        <v>559.39950928264102</v>
      </c>
      <c r="AA50" s="105">
        <v>249.20608923050301</v>
      </c>
      <c r="AB50" s="105">
        <v>97.555020038067696</v>
      </c>
      <c r="AC50" s="105">
        <v>480.37953984617701</v>
      </c>
      <c r="AD50" s="105">
        <v>816.12793193448795</v>
      </c>
      <c r="AE50" s="105">
        <v>494.67063697827803</v>
      </c>
      <c r="AF50" s="105">
        <v>607.46147832848601</v>
      </c>
      <c r="AG50" s="105">
        <v>1209.79022283975</v>
      </c>
      <c r="AH50" s="105">
        <v>1257.38526736122</v>
      </c>
      <c r="AI50" s="105">
        <v>144.21385770197099</v>
      </c>
      <c r="AJ50" s="105">
        <v>549.47126024905799</v>
      </c>
      <c r="AK50" s="105">
        <v>118.412659620708</v>
      </c>
      <c r="AL50" s="105">
        <v>285.08714466829002</v>
      </c>
      <c r="AM50" s="105">
        <v>209.90007624559101</v>
      </c>
      <c r="AN50" s="105">
        <v>838.34252440033003</v>
      </c>
      <c r="AO50" s="105">
        <v>8826.5599940809407</v>
      </c>
      <c r="AP50" s="105">
        <v>959.435079474139</v>
      </c>
      <c r="AQ50" s="105">
        <v>48.229609389474099</v>
      </c>
      <c r="AR50" s="105">
        <v>39.686283776567699</v>
      </c>
      <c r="AS50" s="105">
        <v>1080.7834870317499</v>
      </c>
      <c r="AT50" s="105">
        <v>235.81576974721199</v>
      </c>
      <c r="AU50" s="105">
        <v>665.02118399142705</v>
      </c>
      <c r="AV50" s="105">
        <v>70.913648913412104</v>
      </c>
      <c r="AW50" s="105">
        <v>288.63054818504099</v>
      </c>
      <c r="AX50" s="105">
        <v>18713.191480029502</v>
      </c>
      <c r="AY50" s="105">
        <v>2089.5443619515099</v>
      </c>
      <c r="AZ50" s="105">
        <v>5441.4976665355498</v>
      </c>
      <c r="BA50" s="105">
        <v>451.41004067892698</v>
      </c>
      <c r="BB50" s="105">
        <v>2201.6816160357098</v>
      </c>
      <c r="BC50" s="105">
        <v>349.555898346699</v>
      </c>
      <c r="BD50" s="105">
        <v>3107.13530800952</v>
      </c>
      <c r="BE50" s="105">
        <v>124.078060497853</v>
      </c>
      <c r="BF50" s="105">
        <v>1688.20744866271</v>
      </c>
      <c r="BG50" s="105">
        <v>245.38311979833199</v>
      </c>
      <c r="BH50" s="105">
        <v>4925.9539796517502</v>
      </c>
      <c r="BI50" s="105">
        <v>1108.7736961027599</v>
      </c>
      <c r="BJ50" s="105">
        <v>1150.0777440925799</v>
      </c>
      <c r="BK50" s="105">
        <v>574.922758300856</v>
      </c>
      <c r="BL50" s="105">
        <v>844.91201682134897</v>
      </c>
      <c r="BM50" s="105">
        <v>194.51776519579701</v>
      </c>
      <c r="BN50" s="105">
        <v>1359.93160822098</v>
      </c>
      <c r="BO50" s="105">
        <v>0</v>
      </c>
    </row>
    <row r="51" spans="1:67" x14ac:dyDescent="0.2">
      <c r="A51" s="105">
        <v>78.561227359999606</v>
      </c>
      <c r="B51" s="105">
        <v>38.227806103890103</v>
      </c>
      <c r="C51" s="105">
        <v>2.9701407230091599</v>
      </c>
      <c r="D51" s="105">
        <v>2.8522020873482101</v>
      </c>
      <c r="E51" s="105">
        <v>154.36833633713101</v>
      </c>
      <c r="F51" s="105">
        <v>829.88397236399305</v>
      </c>
      <c r="G51" s="105">
        <v>54.412863215883498</v>
      </c>
      <c r="H51" s="105">
        <v>816.31661385443999</v>
      </c>
      <c r="I51" s="105">
        <v>54.577617206431903</v>
      </c>
      <c r="J51" s="105">
        <v>1492.5982565480799</v>
      </c>
      <c r="K51" s="105">
        <v>119.06061962987199</v>
      </c>
      <c r="L51" s="105">
        <v>69.961652565140895</v>
      </c>
      <c r="M51" s="105">
        <v>68.978799371081095</v>
      </c>
      <c r="N51" s="105">
        <v>73.132647019452193</v>
      </c>
      <c r="O51" s="105">
        <v>23.2074516315352</v>
      </c>
      <c r="P51" s="105">
        <v>41.655951392122297</v>
      </c>
      <c r="Q51" s="105">
        <v>430.752918843011</v>
      </c>
      <c r="R51" s="105">
        <v>4.95620800102418</v>
      </c>
      <c r="S51" s="105">
        <v>80.1555575795512</v>
      </c>
      <c r="T51" s="105">
        <v>9.5352605563795692</v>
      </c>
      <c r="U51" s="105">
        <v>818.14452546878294</v>
      </c>
      <c r="V51" s="105">
        <v>414.52338853375198</v>
      </c>
      <c r="W51" s="105">
        <v>44.7120190627789</v>
      </c>
      <c r="X51" s="105">
        <v>651.91735892016197</v>
      </c>
      <c r="Y51" s="105">
        <v>273.19352710051902</v>
      </c>
      <c r="Z51" s="105">
        <v>168.21814245919199</v>
      </c>
      <c r="AA51" s="105">
        <v>341.32997033114799</v>
      </c>
      <c r="AB51" s="105">
        <v>70.638690362033799</v>
      </c>
      <c r="AC51" s="105">
        <v>216.004526978005</v>
      </c>
      <c r="AD51" s="105">
        <v>279.00932653567799</v>
      </c>
      <c r="AE51" s="105">
        <v>520.24169840928403</v>
      </c>
      <c r="AF51" s="105">
        <v>388.52115059943799</v>
      </c>
      <c r="AG51" s="105">
        <v>1087.2187952358399</v>
      </c>
      <c r="AH51" s="105">
        <v>224.53535363929601</v>
      </c>
      <c r="AI51" s="105">
        <v>82.4281365366828</v>
      </c>
      <c r="AJ51" s="105">
        <v>240.459050704014</v>
      </c>
      <c r="AK51" s="105">
        <v>175.67543080910201</v>
      </c>
      <c r="AL51" s="105">
        <v>1324.7494341629599</v>
      </c>
      <c r="AM51" s="105">
        <v>576.17732294856603</v>
      </c>
      <c r="AN51" s="105">
        <v>638.05601486080297</v>
      </c>
      <c r="AO51" s="105">
        <v>14546.8103122664</v>
      </c>
      <c r="AP51" s="105">
        <v>1470.8389049914399</v>
      </c>
      <c r="AQ51" s="105">
        <v>2.1342424545918699</v>
      </c>
      <c r="AR51" s="105">
        <v>874.20821431967295</v>
      </c>
      <c r="AS51" s="105">
        <v>2307.3410494986601</v>
      </c>
      <c r="AT51" s="105">
        <v>91.286452571011296</v>
      </c>
      <c r="AU51" s="105">
        <v>172.26854176540201</v>
      </c>
      <c r="AV51" s="105">
        <v>564.94226183399599</v>
      </c>
      <c r="AW51" s="105">
        <v>1384.4598383145999</v>
      </c>
      <c r="AX51" s="105">
        <v>3418.2875625501001</v>
      </c>
      <c r="AY51" s="105">
        <v>22296.693190979699</v>
      </c>
      <c r="AZ51" s="105">
        <v>18766.422790832901</v>
      </c>
      <c r="BA51" s="105">
        <v>477.99401862926101</v>
      </c>
      <c r="BB51" s="105">
        <v>4061.7751861953102</v>
      </c>
      <c r="BC51" s="105">
        <v>102.04459949620799</v>
      </c>
      <c r="BD51" s="105">
        <v>14709.252533098999</v>
      </c>
      <c r="BE51" s="105">
        <v>636.01271217783403</v>
      </c>
      <c r="BF51" s="105">
        <v>1655.9138682810001</v>
      </c>
      <c r="BG51" s="105">
        <v>299.82627797848301</v>
      </c>
      <c r="BH51" s="105">
        <v>17514.6871968993</v>
      </c>
      <c r="BI51" s="105">
        <v>1749.32983851739</v>
      </c>
      <c r="BJ51" s="105">
        <v>617.52976864466405</v>
      </c>
      <c r="BK51" s="105">
        <v>2644.30415191781</v>
      </c>
      <c r="BL51" s="105">
        <v>33.125127273602601</v>
      </c>
      <c r="BM51" s="105">
        <v>219.13201691487799</v>
      </c>
      <c r="BN51" s="105">
        <v>2090.71574201048</v>
      </c>
      <c r="BO51" s="105">
        <v>0</v>
      </c>
    </row>
    <row r="52" spans="1:67" x14ac:dyDescent="0.2">
      <c r="A52" s="105">
        <v>6774.4536373556102</v>
      </c>
      <c r="B52" s="105">
        <v>2164.35916929926</v>
      </c>
      <c r="C52" s="105">
        <v>554.54332748140803</v>
      </c>
      <c r="D52" s="105">
        <v>885.11557922310499</v>
      </c>
      <c r="E52" s="105">
        <v>4057.2099594850201</v>
      </c>
      <c r="F52" s="105">
        <v>1336.0665895658601</v>
      </c>
      <c r="G52" s="105">
        <v>516.12890919322501</v>
      </c>
      <c r="H52" s="105">
        <v>5410.7058571376001</v>
      </c>
      <c r="I52" s="105">
        <v>1980.8579770362401</v>
      </c>
      <c r="J52" s="105">
        <v>5781.3499842522097</v>
      </c>
      <c r="K52" s="105">
        <v>1477.5625163801701</v>
      </c>
      <c r="L52" s="105">
        <v>279.29394676671399</v>
      </c>
      <c r="M52" s="105">
        <v>812.61099983346605</v>
      </c>
      <c r="N52" s="105">
        <v>822.19299300380499</v>
      </c>
      <c r="O52" s="105">
        <v>610.92876440344696</v>
      </c>
      <c r="P52" s="105">
        <v>597.47797472558295</v>
      </c>
      <c r="Q52" s="105">
        <v>2297.44759548514</v>
      </c>
      <c r="R52" s="105">
        <v>287.33389851831498</v>
      </c>
      <c r="S52" s="105">
        <v>3533.2884674963998</v>
      </c>
      <c r="T52" s="105">
        <v>1286.5627927609401</v>
      </c>
      <c r="U52" s="105">
        <v>4301.6743921889702</v>
      </c>
      <c r="V52" s="105">
        <v>1608.02711382693</v>
      </c>
      <c r="W52" s="105">
        <v>834.50683932311802</v>
      </c>
      <c r="X52" s="105">
        <v>1141.9473577009201</v>
      </c>
      <c r="Y52" s="105">
        <v>1853.8804956466299</v>
      </c>
      <c r="Z52" s="105">
        <v>2297.7032613371798</v>
      </c>
      <c r="AA52" s="105">
        <v>3669.9430384063598</v>
      </c>
      <c r="AB52" s="105">
        <v>1318.8452725157999</v>
      </c>
      <c r="AC52" s="105">
        <v>1604.4855156457099</v>
      </c>
      <c r="AD52" s="105">
        <v>2116.0048579806198</v>
      </c>
      <c r="AE52" s="105">
        <v>1381.85511753792</v>
      </c>
      <c r="AF52" s="105">
        <v>2523.1654117440598</v>
      </c>
      <c r="AG52" s="105">
        <v>2684.57473320914</v>
      </c>
      <c r="AH52" s="105">
        <v>1016.99911185973</v>
      </c>
      <c r="AI52" s="105">
        <v>612.56180593990098</v>
      </c>
      <c r="AJ52" s="105">
        <v>987.95991127246702</v>
      </c>
      <c r="AK52" s="105">
        <v>578.62795683476804</v>
      </c>
      <c r="AL52" s="105">
        <v>7330.6239138667297</v>
      </c>
      <c r="AM52" s="105">
        <v>1169.53465660079</v>
      </c>
      <c r="AN52" s="105">
        <v>7153.9090602661399</v>
      </c>
      <c r="AO52" s="105">
        <v>29588.063235461999</v>
      </c>
      <c r="AP52" s="105">
        <v>7991.5494775174602</v>
      </c>
      <c r="AQ52" s="105">
        <v>677.00767349860405</v>
      </c>
      <c r="AR52" s="105">
        <v>971.60803528405995</v>
      </c>
      <c r="AS52" s="105">
        <v>3129.1907758959701</v>
      </c>
      <c r="AT52" s="105">
        <v>573.17760984596703</v>
      </c>
      <c r="AU52" s="105">
        <v>2306.65961883914</v>
      </c>
      <c r="AV52" s="105">
        <v>360.814705939269</v>
      </c>
      <c r="AW52" s="105">
        <v>903.06692375009004</v>
      </c>
      <c r="AX52" s="105">
        <v>8192.2349343874394</v>
      </c>
      <c r="AY52" s="105">
        <v>2955.3307619575698</v>
      </c>
      <c r="AZ52" s="105">
        <v>110270.527883802</v>
      </c>
      <c r="BA52" s="105">
        <v>22913.2611652618</v>
      </c>
      <c r="BB52" s="105">
        <v>4008.5857136685599</v>
      </c>
      <c r="BC52" s="105">
        <v>1228.6309193817599</v>
      </c>
      <c r="BD52" s="105">
        <v>904.95665476446197</v>
      </c>
      <c r="BE52" s="105">
        <v>1435.7404467574599</v>
      </c>
      <c r="BF52" s="105">
        <v>4515.2941956616596</v>
      </c>
      <c r="BG52" s="105">
        <v>701.15556521815597</v>
      </c>
      <c r="BH52" s="105">
        <v>52055.993249689804</v>
      </c>
      <c r="BI52" s="105">
        <v>847.06767226918896</v>
      </c>
      <c r="BJ52" s="105">
        <v>1360.9766860841901</v>
      </c>
      <c r="BK52" s="105">
        <v>613.80221083337801</v>
      </c>
      <c r="BL52" s="105">
        <v>4612.8382152551803</v>
      </c>
      <c r="BM52" s="105">
        <v>821.75643665210805</v>
      </c>
      <c r="BN52" s="105">
        <v>2400.6180400518401</v>
      </c>
      <c r="BO52" s="105">
        <v>0</v>
      </c>
    </row>
    <row r="53" spans="1:67" x14ac:dyDescent="0.2">
      <c r="A53" s="105">
        <v>8.0111359518729799</v>
      </c>
      <c r="B53" s="105">
        <v>6.5546130654148298</v>
      </c>
      <c r="C53" s="105">
        <v>7.2827990409611703</v>
      </c>
      <c r="D53" s="105">
        <v>27.184412347267401</v>
      </c>
      <c r="E53" s="105">
        <v>444.486156722663</v>
      </c>
      <c r="F53" s="105">
        <v>86.526848971920401</v>
      </c>
      <c r="G53" s="105">
        <v>27.881559036869401</v>
      </c>
      <c r="H53" s="105">
        <v>917.48527334113305</v>
      </c>
      <c r="I53" s="105">
        <v>260.33995319457603</v>
      </c>
      <c r="J53" s="105">
        <v>546.60889197155097</v>
      </c>
      <c r="K53" s="105">
        <v>75.618832647834594</v>
      </c>
      <c r="L53" s="105">
        <v>27.938520072105501</v>
      </c>
      <c r="M53" s="105">
        <v>328.27512751481402</v>
      </c>
      <c r="N53" s="105">
        <v>389.60795799070303</v>
      </c>
      <c r="O53" s="105">
        <v>79.665778448018798</v>
      </c>
      <c r="P53" s="105">
        <v>58.894345908018998</v>
      </c>
      <c r="Q53" s="105">
        <v>228.49617826226799</v>
      </c>
      <c r="R53" s="105">
        <v>52.160816020130397</v>
      </c>
      <c r="S53" s="105">
        <v>242.58779842583499</v>
      </c>
      <c r="T53" s="105">
        <v>370.42511382834198</v>
      </c>
      <c r="U53" s="105">
        <v>282.416735174937</v>
      </c>
      <c r="V53" s="105">
        <v>118.924663715893</v>
      </c>
      <c r="W53" s="105">
        <v>177.69252313182099</v>
      </c>
      <c r="X53" s="105">
        <v>290.830257893218</v>
      </c>
      <c r="Y53" s="105">
        <v>499.82910792388401</v>
      </c>
      <c r="Z53" s="105">
        <v>244.67332419553901</v>
      </c>
      <c r="AA53" s="105">
        <v>359.49554757976398</v>
      </c>
      <c r="AB53" s="105">
        <v>14.565611692573301</v>
      </c>
      <c r="AC53" s="105">
        <v>296.39858768701703</v>
      </c>
      <c r="AD53" s="105">
        <v>181.60890591282899</v>
      </c>
      <c r="AE53" s="105">
        <v>131.82282423882401</v>
      </c>
      <c r="AF53" s="105">
        <v>300.81929672836498</v>
      </c>
      <c r="AG53" s="105">
        <v>104.383961717712</v>
      </c>
      <c r="AH53" s="105">
        <v>221.352374031073</v>
      </c>
      <c r="AI53" s="105">
        <v>41.971653181615999</v>
      </c>
      <c r="AJ53" s="105">
        <v>262.44928698325901</v>
      </c>
      <c r="AK53" s="105">
        <v>55.779536323835202</v>
      </c>
      <c r="AL53" s="105">
        <v>686.09837460281597</v>
      </c>
      <c r="AM53" s="105">
        <v>373.50406698485199</v>
      </c>
      <c r="AN53" s="105">
        <v>891.125608424088</v>
      </c>
      <c r="AO53" s="105">
        <v>47704.937668888102</v>
      </c>
      <c r="AP53" s="105">
        <v>1273.3453659212801</v>
      </c>
      <c r="AQ53" s="105">
        <v>113.54884713106</v>
      </c>
      <c r="AR53" s="105">
        <v>90.543424900786405</v>
      </c>
      <c r="AS53" s="105">
        <v>3796.4171250416898</v>
      </c>
      <c r="AT53" s="105">
        <v>1079.73396160213</v>
      </c>
      <c r="AU53" s="105">
        <v>4343.03290216391</v>
      </c>
      <c r="AV53" s="105">
        <v>168.22725375385599</v>
      </c>
      <c r="AW53" s="105">
        <v>455.13449855698798</v>
      </c>
      <c r="AX53" s="105">
        <v>1994.9539431211999</v>
      </c>
      <c r="AY53" s="105">
        <v>2677.9002114599198</v>
      </c>
      <c r="AZ53" s="105">
        <v>4817.7794973911596</v>
      </c>
      <c r="BA53" s="105">
        <v>1686.1927483777399</v>
      </c>
      <c r="BB53" s="105">
        <v>5173.7763469636002</v>
      </c>
      <c r="BC53" s="105">
        <v>816.78070053239196</v>
      </c>
      <c r="BD53" s="105">
        <v>1536.22743512947</v>
      </c>
      <c r="BE53" s="105">
        <v>865.52658734481702</v>
      </c>
      <c r="BF53" s="105">
        <v>3286.9587399632201</v>
      </c>
      <c r="BG53" s="105">
        <v>303.17692561106799</v>
      </c>
      <c r="BH53" s="105">
        <v>2335.66500981849</v>
      </c>
      <c r="BI53" s="105">
        <v>567.93504103888097</v>
      </c>
      <c r="BJ53" s="105">
        <v>5333.8389600211103</v>
      </c>
      <c r="BK53" s="105">
        <v>484.31116929241398</v>
      </c>
      <c r="BL53" s="105">
        <v>2695.2731435774199</v>
      </c>
      <c r="BM53" s="105">
        <v>3841.8421227679301</v>
      </c>
      <c r="BN53" s="105">
        <v>3531.7316237024102</v>
      </c>
      <c r="BO53" s="105">
        <v>0</v>
      </c>
    </row>
    <row r="54" spans="1:67" x14ac:dyDescent="0.2">
      <c r="A54" s="105">
        <v>38.594613364730698</v>
      </c>
      <c r="B54" s="105">
        <v>13.537923616564299</v>
      </c>
      <c r="C54" s="105">
        <v>40.565478807961497</v>
      </c>
      <c r="D54" s="105">
        <v>595.12441497172097</v>
      </c>
      <c r="E54" s="105">
        <v>9210.7343776957405</v>
      </c>
      <c r="F54" s="105">
        <v>2806.3169607893101</v>
      </c>
      <c r="G54" s="105">
        <v>241.71248776521</v>
      </c>
      <c r="H54" s="105">
        <v>7313.9414381032702</v>
      </c>
      <c r="I54" s="105">
        <v>1358.4989173312399</v>
      </c>
      <c r="J54" s="105">
        <v>11327.8691485324</v>
      </c>
      <c r="K54" s="105">
        <v>3746.5345315136401</v>
      </c>
      <c r="L54" s="105">
        <v>808.72697227551396</v>
      </c>
      <c r="M54" s="105">
        <v>466.76570158271801</v>
      </c>
      <c r="N54" s="105">
        <v>391.74844363484698</v>
      </c>
      <c r="O54" s="105">
        <v>246.877581200262</v>
      </c>
      <c r="P54" s="105">
        <v>488.44463161134098</v>
      </c>
      <c r="Q54" s="105">
        <v>3272.7927684879501</v>
      </c>
      <c r="R54" s="105">
        <v>218.649631589519</v>
      </c>
      <c r="S54" s="105">
        <v>7010.8120749646996</v>
      </c>
      <c r="T54" s="105">
        <v>1438.1817326083101</v>
      </c>
      <c r="U54" s="105">
        <v>6543.8451155938001</v>
      </c>
      <c r="V54" s="105">
        <v>4850.38137074719</v>
      </c>
      <c r="W54" s="105">
        <v>2231.16872614257</v>
      </c>
      <c r="X54" s="105">
        <v>4281.0617474562096</v>
      </c>
      <c r="Y54" s="105">
        <v>2633.9981387414</v>
      </c>
      <c r="Z54" s="105">
        <v>3165.2283784216502</v>
      </c>
      <c r="AA54" s="105">
        <v>2119.3552109851598</v>
      </c>
      <c r="AB54" s="105">
        <v>852.06862238890199</v>
      </c>
      <c r="AC54" s="105">
        <v>1022.15717206302</v>
      </c>
      <c r="AD54" s="105">
        <v>3267.8479565739699</v>
      </c>
      <c r="AE54" s="105">
        <v>1720.5573986362399</v>
      </c>
      <c r="AF54" s="105">
        <v>2598.8135985419999</v>
      </c>
      <c r="AG54" s="105">
        <v>3297.2022319518701</v>
      </c>
      <c r="AH54" s="105">
        <v>1367.6625327971001</v>
      </c>
      <c r="AI54" s="105">
        <v>542.30657778207797</v>
      </c>
      <c r="AJ54" s="105">
        <v>691.58174487992596</v>
      </c>
      <c r="AK54" s="105">
        <v>1010.98994234784</v>
      </c>
      <c r="AL54" s="105">
        <v>910.18858473654495</v>
      </c>
      <c r="AM54" s="105">
        <v>2097.9393991400202</v>
      </c>
      <c r="AN54" s="105">
        <v>4792.8584002928601</v>
      </c>
      <c r="AO54" s="105">
        <v>44910.551722754702</v>
      </c>
      <c r="AP54" s="105">
        <v>3180.8094979665102</v>
      </c>
      <c r="AQ54" s="105">
        <v>266.69423092391298</v>
      </c>
      <c r="AR54" s="105">
        <v>515.44303772925696</v>
      </c>
      <c r="AS54" s="105">
        <v>3329.4626276292202</v>
      </c>
      <c r="AT54" s="105">
        <v>288.11355710099298</v>
      </c>
      <c r="AU54" s="105">
        <v>1296.6765080340899</v>
      </c>
      <c r="AV54" s="105">
        <v>436.44098282639402</v>
      </c>
      <c r="AW54" s="105">
        <v>3029.97715790755</v>
      </c>
      <c r="AX54" s="105">
        <v>3331.00171112925</v>
      </c>
      <c r="AY54" s="105">
        <v>5687.3504307214698</v>
      </c>
      <c r="AZ54" s="105">
        <v>16615.896472085999</v>
      </c>
      <c r="BA54" s="105">
        <v>3068.5861218424998</v>
      </c>
      <c r="BB54" s="105">
        <v>19466.090531048601</v>
      </c>
      <c r="BC54" s="105">
        <v>6331.5153327074104</v>
      </c>
      <c r="BD54" s="105">
        <v>797.12533525434503</v>
      </c>
      <c r="BE54" s="105">
        <v>1312.72606711959</v>
      </c>
      <c r="BF54" s="105">
        <v>5763.9379328084597</v>
      </c>
      <c r="BG54" s="105">
        <v>2045.39383749542</v>
      </c>
      <c r="BH54" s="105">
        <v>5214.4930290042703</v>
      </c>
      <c r="BI54" s="105">
        <v>149.76359102140901</v>
      </c>
      <c r="BJ54" s="105">
        <v>3143.7573054387699</v>
      </c>
      <c r="BK54" s="105">
        <v>367.71231555752598</v>
      </c>
      <c r="BL54" s="105">
        <v>4605.5769407574699</v>
      </c>
      <c r="BM54" s="105">
        <v>1339.13400819916</v>
      </c>
      <c r="BN54" s="105">
        <v>4134.7338859019101</v>
      </c>
      <c r="BO54" s="105">
        <v>0</v>
      </c>
    </row>
    <row r="55" spans="1:67" x14ac:dyDescent="0.2">
      <c r="A55" s="105">
        <v>952.52610326885303</v>
      </c>
      <c r="B55" s="105">
        <v>34.768684002356103</v>
      </c>
      <c r="C55" s="105">
        <v>0.36903764579160298</v>
      </c>
      <c r="D55" s="105">
        <v>60.290321640784498</v>
      </c>
      <c r="E55" s="105">
        <v>1888.89955079369</v>
      </c>
      <c r="F55" s="105">
        <v>1102.2142177723299</v>
      </c>
      <c r="G55" s="105">
        <v>166.28873065002699</v>
      </c>
      <c r="H55" s="105">
        <v>1406.4344156473201</v>
      </c>
      <c r="I55" s="105">
        <v>617.16527968136904</v>
      </c>
      <c r="J55" s="105">
        <v>1250.4852143725</v>
      </c>
      <c r="K55" s="105">
        <v>247.92860407644201</v>
      </c>
      <c r="L55" s="105">
        <v>141.996272195019</v>
      </c>
      <c r="M55" s="105">
        <v>72.411467987138295</v>
      </c>
      <c r="N55" s="105">
        <v>162.05231077225201</v>
      </c>
      <c r="O55" s="105">
        <v>93.798377088571797</v>
      </c>
      <c r="P55" s="105">
        <v>107.585912901757</v>
      </c>
      <c r="Q55" s="105">
        <v>721.81691353763097</v>
      </c>
      <c r="R55" s="105">
        <v>39.129693133563499</v>
      </c>
      <c r="S55" s="105">
        <v>242.079638922572</v>
      </c>
      <c r="T55" s="105">
        <v>517.68023178157296</v>
      </c>
      <c r="U55" s="105">
        <v>1245.6021196269501</v>
      </c>
      <c r="V55" s="105">
        <v>713.65615392118502</v>
      </c>
      <c r="W55" s="105">
        <v>406.86756800865197</v>
      </c>
      <c r="X55" s="105">
        <v>998.32451771835599</v>
      </c>
      <c r="Y55" s="105">
        <v>1016.68854091786</v>
      </c>
      <c r="Z55" s="105">
        <v>651.92889218527705</v>
      </c>
      <c r="AA55" s="105">
        <v>487.94971011062</v>
      </c>
      <c r="AB55" s="105">
        <v>341.21520237580199</v>
      </c>
      <c r="AC55" s="105">
        <v>533.21646099203099</v>
      </c>
      <c r="AD55" s="105">
        <v>550.37700853719605</v>
      </c>
      <c r="AE55" s="105">
        <v>391.03156898782902</v>
      </c>
      <c r="AF55" s="105">
        <v>2267.6166873788802</v>
      </c>
      <c r="AG55" s="105">
        <v>1423.7164586674201</v>
      </c>
      <c r="AH55" s="105">
        <v>720.28855982370703</v>
      </c>
      <c r="AI55" s="105">
        <v>114.15845812150199</v>
      </c>
      <c r="AJ55" s="105">
        <v>283.617422653831</v>
      </c>
      <c r="AK55" s="105">
        <v>224.36432314843699</v>
      </c>
      <c r="AL55" s="105">
        <v>1905.2580984700701</v>
      </c>
      <c r="AM55" s="105">
        <v>555.04643023229903</v>
      </c>
      <c r="AN55" s="105">
        <v>2755.14818023506</v>
      </c>
      <c r="AO55" s="105">
        <v>2030.67180486295</v>
      </c>
      <c r="AP55" s="105">
        <v>427.34468364781202</v>
      </c>
      <c r="AQ55" s="105">
        <v>27.878474952678999</v>
      </c>
      <c r="AR55" s="105">
        <v>0.54318442498151398</v>
      </c>
      <c r="AS55" s="105">
        <v>5082.11175753521</v>
      </c>
      <c r="AT55" s="105">
        <v>10.1670525210702</v>
      </c>
      <c r="AU55" s="105">
        <v>27.2715877483407</v>
      </c>
      <c r="AV55" s="105">
        <v>1.2794940067501299</v>
      </c>
      <c r="AW55" s="105">
        <v>2.6046704968907601</v>
      </c>
      <c r="AX55" s="105">
        <v>19.626950542500701</v>
      </c>
      <c r="AY55" s="105">
        <v>515.97697379377905</v>
      </c>
      <c r="AZ55" s="105">
        <v>476.095161280681</v>
      </c>
      <c r="BA55" s="105">
        <v>24.070599766841699</v>
      </c>
      <c r="BB55" s="105">
        <v>28.6050487907955</v>
      </c>
      <c r="BC55" s="105">
        <v>2913.3618708069098</v>
      </c>
      <c r="BD55" s="105">
        <v>8.9754727324857004</v>
      </c>
      <c r="BE55" s="105">
        <v>86.942029027446495</v>
      </c>
      <c r="BF55" s="105">
        <v>45.7601106509263</v>
      </c>
      <c r="BG55" s="105">
        <v>1.95187079721388</v>
      </c>
      <c r="BH55" s="105">
        <v>5326.6474813577697</v>
      </c>
      <c r="BI55" s="105">
        <v>1344.6880350966001</v>
      </c>
      <c r="BJ55" s="105">
        <v>139.464057600177</v>
      </c>
      <c r="BK55" s="105">
        <v>2091.5722700534402</v>
      </c>
      <c r="BL55" s="105">
        <v>17.760433672424298</v>
      </c>
      <c r="BM55" s="105">
        <v>20.891049678399</v>
      </c>
      <c r="BN55" s="105">
        <v>19.867088250476101</v>
      </c>
      <c r="BO55" s="105">
        <v>0</v>
      </c>
    </row>
    <row r="56" spans="1:67" x14ac:dyDescent="0.2">
      <c r="A56" s="105">
        <v>24.727617974700799</v>
      </c>
      <c r="B56" s="105">
        <v>528.85498771702203</v>
      </c>
      <c r="C56" s="105">
        <v>122.9326804933</v>
      </c>
      <c r="D56" s="105">
        <v>59.548482019923298</v>
      </c>
      <c r="E56" s="105">
        <v>927.87962399240098</v>
      </c>
      <c r="F56" s="105">
        <v>39.851600301816703</v>
      </c>
      <c r="G56" s="105">
        <v>0.89946914398297095</v>
      </c>
      <c r="H56" s="105">
        <v>3883.3596788797699</v>
      </c>
      <c r="I56" s="105">
        <v>512.816840631128</v>
      </c>
      <c r="J56" s="105">
        <v>5227.3181983587801</v>
      </c>
      <c r="K56" s="105">
        <v>7173.8409231122496</v>
      </c>
      <c r="L56" s="105">
        <v>406.66375805389202</v>
      </c>
      <c r="M56" s="105">
        <v>129.81860807285801</v>
      </c>
      <c r="N56" s="105">
        <v>523.40191296551995</v>
      </c>
      <c r="O56" s="105">
        <v>895.78572158543204</v>
      </c>
      <c r="P56" s="105">
        <v>87.796025688007802</v>
      </c>
      <c r="Q56" s="105">
        <v>952.65703632259601</v>
      </c>
      <c r="R56" s="105">
        <v>75.093228273708405</v>
      </c>
      <c r="S56" s="105">
        <v>375.54910295441903</v>
      </c>
      <c r="T56" s="105">
        <v>321.27107454077299</v>
      </c>
      <c r="U56" s="105">
        <v>237.11944211798601</v>
      </c>
      <c r="V56" s="105">
        <v>803.88429798989398</v>
      </c>
      <c r="W56" s="105">
        <v>1720.21532068382</v>
      </c>
      <c r="X56" s="105">
        <v>2850.0316272750601</v>
      </c>
      <c r="Y56" s="105">
        <v>873.59966720452496</v>
      </c>
      <c r="Z56" s="105">
        <v>477.50544847062298</v>
      </c>
      <c r="AA56" s="105">
        <v>390.88509423241402</v>
      </c>
      <c r="AB56" s="105">
        <v>29.339127788092998</v>
      </c>
      <c r="AC56" s="105">
        <v>793.37733769089903</v>
      </c>
      <c r="AD56" s="105">
        <v>1756.84344511313</v>
      </c>
      <c r="AE56" s="105">
        <v>884.56748149452596</v>
      </c>
      <c r="AF56" s="105">
        <v>828.26275861297404</v>
      </c>
      <c r="AG56" s="105">
        <v>4383.0895612685699</v>
      </c>
      <c r="AH56" s="105">
        <v>216.89389973976299</v>
      </c>
      <c r="AI56" s="105">
        <v>301.59879998034</v>
      </c>
      <c r="AJ56" s="105">
        <v>644.18474689377001</v>
      </c>
      <c r="AK56" s="105">
        <v>203.09039232257101</v>
      </c>
      <c r="AL56" s="105">
        <v>2944.8282515995302</v>
      </c>
      <c r="AM56" s="105">
        <v>324.78058147438401</v>
      </c>
      <c r="AN56" s="105">
        <v>2027.7844555311599</v>
      </c>
      <c r="AO56" s="105">
        <v>32624.977264737201</v>
      </c>
      <c r="AP56" s="105">
        <v>1195.1621006350899</v>
      </c>
      <c r="AQ56" s="105">
        <v>94.785514069991294</v>
      </c>
      <c r="AR56" s="105">
        <v>196.49038544572599</v>
      </c>
      <c r="AS56" s="105">
        <v>2379.1123144806102</v>
      </c>
      <c r="AT56" s="105">
        <v>405.919184598382</v>
      </c>
      <c r="AU56" s="105">
        <v>1004.93079299711</v>
      </c>
      <c r="AV56" s="105">
        <v>825.00001274429997</v>
      </c>
      <c r="AW56" s="105">
        <v>2377.1797387731499</v>
      </c>
      <c r="AX56" s="105">
        <v>3370.7348211275098</v>
      </c>
      <c r="AY56" s="105">
        <v>4383.2443912451499</v>
      </c>
      <c r="AZ56" s="105">
        <v>12260.7534963705</v>
      </c>
      <c r="BA56" s="105">
        <v>1140.5937966435899</v>
      </c>
      <c r="BB56" s="105">
        <v>6128.2939492256701</v>
      </c>
      <c r="BC56" s="105">
        <v>737.37335265330705</v>
      </c>
      <c r="BD56" s="105">
        <v>4268.1828930482998</v>
      </c>
      <c r="BE56" s="105">
        <v>1680.80467326894</v>
      </c>
      <c r="BF56" s="105">
        <v>2534.5790837980398</v>
      </c>
      <c r="BG56" s="105">
        <v>306.96014166832998</v>
      </c>
      <c r="BH56" s="105">
        <v>4163.16600860783</v>
      </c>
      <c r="BI56" s="105">
        <v>757.56398910980499</v>
      </c>
      <c r="BJ56" s="105">
        <v>3847.4324363450301</v>
      </c>
      <c r="BK56" s="105">
        <v>1503.74321809307</v>
      </c>
      <c r="BL56" s="105">
        <v>46.2525294298161</v>
      </c>
      <c r="BM56" s="105">
        <v>1975.4813422071099</v>
      </c>
      <c r="BN56" s="105">
        <v>2355.8258178914798</v>
      </c>
      <c r="BO56" s="105">
        <v>0</v>
      </c>
    </row>
    <row r="57" spans="1:67" x14ac:dyDescent="0.2">
      <c r="A57" s="105">
        <v>329.02947909728698</v>
      </c>
      <c r="B57" s="105">
        <v>78.641265884801996</v>
      </c>
      <c r="C57" s="105">
        <v>90.863271774105499</v>
      </c>
      <c r="D57" s="105">
        <v>209.409035501701</v>
      </c>
      <c r="E57" s="105">
        <v>7487.0060504514204</v>
      </c>
      <c r="F57" s="105">
        <v>2705.2869067469701</v>
      </c>
      <c r="G57" s="105">
        <v>206.42738945147099</v>
      </c>
      <c r="H57" s="105">
        <v>328.00349516184502</v>
      </c>
      <c r="I57" s="105">
        <v>519.98175565694999</v>
      </c>
      <c r="J57" s="105">
        <v>910.80468537757804</v>
      </c>
      <c r="K57" s="105">
        <v>319.95162984421802</v>
      </c>
      <c r="L57" s="105">
        <v>30.3844105421188</v>
      </c>
      <c r="M57" s="105">
        <v>63.298593516876601</v>
      </c>
      <c r="N57" s="105">
        <v>69.470336265865697</v>
      </c>
      <c r="O57" s="105">
        <v>42.554945548455699</v>
      </c>
      <c r="P57" s="105">
        <v>191.72886273680399</v>
      </c>
      <c r="Q57" s="105">
        <v>854.17648269172798</v>
      </c>
      <c r="R57" s="105">
        <v>130.47202244527401</v>
      </c>
      <c r="S57" s="105">
        <v>473.243795891285</v>
      </c>
      <c r="T57" s="105">
        <v>138.46987300785599</v>
      </c>
      <c r="U57" s="105">
        <v>501.74525692563202</v>
      </c>
      <c r="V57" s="105">
        <v>329.74863162724</v>
      </c>
      <c r="W57" s="105">
        <v>67.613516465546994</v>
      </c>
      <c r="X57" s="105">
        <v>155.91489048666</v>
      </c>
      <c r="Y57" s="105">
        <v>366.01560414005201</v>
      </c>
      <c r="Z57" s="105">
        <v>408.18054136661999</v>
      </c>
      <c r="AA57" s="105">
        <v>726.58881968084904</v>
      </c>
      <c r="AB57" s="105">
        <v>262.44819926269003</v>
      </c>
      <c r="AC57" s="105">
        <v>539.61473658259797</v>
      </c>
      <c r="AD57" s="105">
        <v>170.29808666765101</v>
      </c>
      <c r="AE57" s="105">
        <v>155.104169602007</v>
      </c>
      <c r="AF57" s="105">
        <v>537.64607136717302</v>
      </c>
      <c r="AG57" s="105">
        <v>564.64873052058397</v>
      </c>
      <c r="AH57" s="105">
        <v>323.26084520679001</v>
      </c>
      <c r="AI57" s="105">
        <v>194.263462618744</v>
      </c>
      <c r="AJ57" s="105">
        <v>199.53456033461401</v>
      </c>
      <c r="AK57" s="105">
        <v>264.054205191714</v>
      </c>
      <c r="AL57" s="105">
        <v>395.15519855569897</v>
      </c>
      <c r="AM57" s="105">
        <v>1408.8096386459299</v>
      </c>
      <c r="AN57" s="105">
        <v>1374.3770084376199</v>
      </c>
      <c r="AO57" s="105">
        <v>7175.8759567931202</v>
      </c>
      <c r="AP57" s="105">
        <v>2991.4413077992499</v>
      </c>
      <c r="AQ57" s="105">
        <v>1191.92313241644</v>
      </c>
      <c r="AR57" s="105">
        <v>1627.6543379294601</v>
      </c>
      <c r="AS57" s="105">
        <v>2133.04956238656</v>
      </c>
      <c r="AT57" s="105">
        <v>94.194264746688901</v>
      </c>
      <c r="AU57" s="105">
        <v>546.86652970174998</v>
      </c>
      <c r="AV57" s="105">
        <v>193.45790495129901</v>
      </c>
      <c r="AW57" s="105">
        <v>499.50850449382898</v>
      </c>
      <c r="AX57" s="105">
        <v>2048.7820287468599</v>
      </c>
      <c r="AY57" s="105">
        <v>2149.2817409058598</v>
      </c>
      <c r="AZ57" s="105">
        <v>777.73755515234598</v>
      </c>
      <c r="BA57" s="105">
        <v>239.273972937103</v>
      </c>
      <c r="BB57" s="105">
        <v>590.81273745843396</v>
      </c>
      <c r="BC57" s="105">
        <v>665.02217379539798</v>
      </c>
      <c r="BD57" s="105">
        <v>298.75080083887298</v>
      </c>
      <c r="BE57" s="105">
        <v>1305.8937966685901</v>
      </c>
      <c r="BF57" s="105">
        <v>907.84535153987599</v>
      </c>
      <c r="BG57" s="105">
        <v>310.554649124555</v>
      </c>
      <c r="BH57" s="105">
        <v>4196.4982733134402</v>
      </c>
      <c r="BI57" s="105">
        <v>1463.0060103379001</v>
      </c>
      <c r="BJ57" s="105">
        <v>1299.7291210621399</v>
      </c>
      <c r="BK57" s="105">
        <v>2143.9773130547001</v>
      </c>
      <c r="BL57" s="105">
        <v>582.71443764152798</v>
      </c>
      <c r="BM57" s="105">
        <v>348.71742535743999</v>
      </c>
      <c r="BN57" s="105">
        <v>230.54141498342301</v>
      </c>
      <c r="BO57" s="105">
        <v>0</v>
      </c>
    </row>
    <row r="58" spans="1:67" x14ac:dyDescent="0.2">
      <c r="A58" s="105">
        <v>49.154630548087603</v>
      </c>
      <c r="B58" s="105">
        <v>24.1029911848381</v>
      </c>
      <c r="C58" s="105">
        <v>34.908687502097798</v>
      </c>
      <c r="D58" s="105">
        <v>976.93019287965797</v>
      </c>
      <c r="E58" s="105">
        <v>1162.4217111077</v>
      </c>
      <c r="F58" s="105">
        <v>2152.9248082443901</v>
      </c>
      <c r="G58" s="105">
        <v>355.69419258874098</v>
      </c>
      <c r="H58" s="105">
        <v>1312.2717306388399</v>
      </c>
      <c r="I58" s="105">
        <v>1130.5124864361701</v>
      </c>
      <c r="J58" s="105">
        <v>1891.6903279104799</v>
      </c>
      <c r="K58" s="105">
        <v>1597.3340725623</v>
      </c>
      <c r="L58" s="105">
        <v>306.11250765735701</v>
      </c>
      <c r="M58" s="105">
        <v>249.92130602069699</v>
      </c>
      <c r="N58" s="105">
        <v>317.60765214129299</v>
      </c>
      <c r="O58" s="105">
        <v>341.61849906731402</v>
      </c>
      <c r="P58" s="105">
        <v>107.65850214140499</v>
      </c>
      <c r="Q58" s="105">
        <v>1080.3878895990499</v>
      </c>
      <c r="R58" s="105">
        <v>39.198620212790303</v>
      </c>
      <c r="S58" s="105">
        <v>423.70679965149702</v>
      </c>
      <c r="T58" s="105">
        <v>1115.9107075463801</v>
      </c>
      <c r="U58" s="105">
        <v>820.92775490018903</v>
      </c>
      <c r="V58" s="105">
        <v>1110.6115741860599</v>
      </c>
      <c r="W58" s="105">
        <v>450.51309711129397</v>
      </c>
      <c r="X58" s="105">
        <v>1243.90788328997</v>
      </c>
      <c r="Y58" s="105">
        <v>977.02175261085404</v>
      </c>
      <c r="Z58" s="105">
        <v>1525.44946613764</v>
      </c>
      <c r="AA58" s="105">
        <v>819.917984464185</v>
      </c>
      <c r="AB58" s="105">
        <v>995.69640768735803</v>
      </c>
      <c r="AC58" s="105">
        <v>1234.67770578922</v>
      </c>
      <c r="AD58" s="105">
        <v>1174.96669349986</v>
      </c>
      <c r="AE58" s="105">
        <v>942.79926290160802</v>
      </c>
      <c r="AF58" s="105">
        <v>3273.39061037386</v>
      </c>
      <c r="AG58" s="105">
        <v>1498.1391621128901</v>
      </c>
      <c r="AH58" s="105">
        <v>484.81568720361599</v>
      </c>
      <c r="AI58" s="105">
        <v>135.312907611734</v>
      </c>
      <c r="AJ58" s="105">
        <v>406.67365732822202</v>
      </c>
      <c r="AK58" s="105">
        <v>461.44406895385703</v>
      </c>
      <c r="AL58" s="105">
        <v>2810.11679006943</v>
      </c>
      <c r="AM58" s="105">
        <v>619.53817233496</v>
      </c>
      <c r="AN58" s="105">
        <v>2437.8906682741499</v>
      </c>
      <c r="AO58" s="105">
        <v>52185.586765765103</v>
      </c>
      <c r="AP58" s="105">
        <v>3170.8406089906698</v>
      </c>
      <c r="AQ58" s="105">
        <v>172.45684809153201</v>
      </c>
      <c r="AR58" s="105">
        <v>1064.45550500786</v>
      </c>
      <c r="AS58" s="105">
        <v>4754.0061258566902</v>
      </c>
      <c r="AT58" s="105">
        <v>1081.85886932322</v>
      </c>
      <c r="AU58" s="105">
        <v>2557.3707329563899</v>
      </c>
      <c r="AV58" s="105">
        <v>251.24847274659999</v>
      </c>
      <c r="AW58" s="105">
        <v>1080.521539778</v>
      </c>
      <c r="AX58" s="105">
        <v>23061.259072791301</v>
      </c>
      <c r="AY58" s="105">
        <v>13312.0575239058</v>
      </c>
      <c r="AZ58" s="105">
        <v>24163.959622417398</v>
      </c>
      <c r="BA58" s="105">
        <v>1736.81038801406</v>
      </c>
      <c r="BB58" s="105">
        <v>6116.8988889580896</v>
      </c>
      <c r="BC58" s="105">
        <v>853.53610085343405</v>
      </c>
      <c r="BD58" s="105">
        <v>1400.0039446190799</v>
      </c>
      <c r="BE58" s="105">
        <v>1014.75448011297</v>
      </c>
      <c r="BF58" s="105">
        <v>8428.3557692555405</v>
      </c>
      <c r="BG58" s="105">
        <v>666.43541564537304</v>
      </c>
      <c r="BH58" s="105">
        <v>26556.5946937013</v>
      </c>
      <c r="BI58" s="105">
        <v>13100.750894983101</v>
      </c>
      <c r="BJ58" s="105">
        <v>6011.8092087410996</v>
      </c>
      <c r="BK58" s="105">
        <v>14569.6315483946</v>
      </c>
      <c r="BL58" s="105">
        <v>4399.2074526223996</v>
      </c>
      <c r="BM58" s="105">
        <v>1395.2094009586999</v>
      </c>
      <c r="BN58" s="105">
        <v>7261.9270281442496</v>
      </c>
      <c r="BO58" s="105">
        <v>0</v>
      </c>
    </row>
    <row r="59" spans="1:67" x14ac:dyDescent="0.2">
      <c r="A59" s="105">
        <v>3.977417370915</v>
      </c>
      <c r="B59" s="105">
        <v>1.6066241241506101</v>
      </c>
      <c r="C59" s="105">
        <v>2.1263953790748098</v>
      </c>
      <c r="D59" s="105">
        <v>10.1139285855543</v>
      </c>
      <c r="E59" s="105">
        <v>145.426521129055</v>
      </c>
      <c r="F59" s="105">
        <v>190.970800822765</v>
      </c>
      <c r="G59" s="105">
        <v>25.146262899129699</v>
      </c>
      <c r="H59" s="105">
        <v>524.284905631539</v>
      </c>
      <c r="I59" s="105">
        <v>240.284155070276</v>
      </c>
      <c r="J59" s="105">
        <v>404.12565793240202</v>
      </c>
      <c r="K59" s="105">
        <v>146.25385220627001</v>
      </c>
      <c r="L59" s="105">
        <v>175.62283766096101</v>
      </c>
      <c r="M59" s="105">
        <v>36.651633101191202</v>
      </c>
      <c r="N59" s="105">
        <v>35.0899745092023</v>
      </c>
      <c r="O59" s="105">
        <v>37.009912444964399</v>
      </c>
      <c r="P59" s="105">
        <v>100.877779532616</v>
      </c>
      <c r="Q59" s="105">
        <v>726.02193822368895</v>
      </c>
      <c r="R59" s="105">
        <v>16.193331890137301</v>
      </c>
      <c r="S59" s="105">
        <v>172.852745831204</v>
      </c>
      <c r="T59" s="105">
        <v>4.4106430158098897</v>
      </c>
      <c r="U59" s="105">
        <v>457.06994026803</v>
      </c>
      <c r="V59" s="105">
        <v>223.72322085584199</v>
      </c>
      <c r="W59" s="105">
        <v>38.642846807325597</v>
      </c>
      <c r="X59" s="105">
        <v>282.709732000825</v>
      </c>
      <c r="Y59" s="105">
        <v>264.83883587060001</v>
      </c>
      <c r="Z59" s="105">
        <v>553.57949725634796</v>
      </c>
      <c r="AA59" s="105">
        <v>102.525012546383</v>
      </c>
      <c r="AB59" s="105">
        <v>91.5922808346957</v>
      </c>
      <c r="AC59" s="105">
        <v>241.16654861117601</v>
      </c>
      <c r="AD59" s="105">
        <v>137.01459659511801</v>
      </c>
      <c r="AE59" s="105">
        <v>110.592273391124</v>
      </c>
      <c r="AF59" s="105">
        <v>344.621245914094</v>
      </c>
      <c r="AG59" s="105">
        <v>479.03203453461703</v>
      </c>
      <c r="AH59" s="105">
        <v>323.03139705670799</v>
      </c>
      <c r="AI59" s="105">
        <v>78.192848434745201</v>
      </c>
      <c r="AJ59" s="105">
        <v>59.457613725196097</v>
      </c>
      <c r="AK59" s="105">
        <v>199.66147816317499</v>
      </c>
      <c r="AL59" s="105">
        <v>259.66872682801699</v>
      </c>
      <c r="AM59" s="105">
        <v>645.72744875722799</v>
      </c>
      <c r="AN59" s="105">
        <v>598.527455526008</v>
      </c>
      <c r="AO59" s="105">
        <v>6940.68273470658</v>
      </c>
      <c r="AP59" s="105">
        <v>1900.8694760916501</v>
      </c>
      <c r="AQ59" s="105">
        <v>43.084747929345497</v>
      </c>
      <c r="AR59" s="105">
        <v>168.94947500505199</v>
      </c>
      <c r="AS59" s="105">
        <v>3881.0233856938098</v>
      </c>
      <c r="AT59" s="105">
        <v>94.17095268416</v>
      </c>
      <c r="AU59" s="105">
        <v>619.04017474662601</v>
      </c>
      <c r="AV59" s="105">
        <v>28.038987301874599</v>
      </c>
      <c r="AW59" s="105">
        <v>264.07083013121701</v>
      </c>
      <c r="AX59" s="105">
        <v>512.48502641169205</v>
      </c>
      <c r="AY59" s="105">
        <v>886.62945227249702</v>
      </c>
      <c r="AZ59" s="105">
        <v>4098.47351745169</v>
      </c>
      <c r="BA59" s="105">
        <v>194.58933278036699</v>
      </c>
      <c r="BB59" s="105">
        <v>890.96956866993696</v>
      </c>
      <c r="BC59" s="105">
        <v>17.452497341577502</v>
      </c>
      <c r="BD59" s="105">
        <v>318.93061595369898</v>
      </c>
      <c r="BE59" s="105">
        <v>149.082586095669</v>
      </c>
      <c r="BF59" s="105">
        <v>869.24942832208103</v>
      </c>
      <c r="BG59" s="105">
        <v>56.0645916755971</v>
      </c>
      <c r="BH59" s="105">
        <v>8279.2767732843204</v>
      </c>
      <c r="BI59" s="105">
        <v>3918.28856676847</v>
      </c>
      <c r="BJ59" s="105">
        <v>1596.41676109226</v>
      </c>
      <c r="BK59" s="105">
        <v>1865.4681438995699</v>
      </c>
      <c r="BL59" s="105">
        <v>2.4550602433727402</v>
      </c>
      <c r="BM59" s="105">
        <v>161.01449954604601</v>
      </c>
      <c r="BN59" s="105">
        <v>3.5405354052479399</v>
      </c>
      <c r="BO59" s="105">
        <v>0</v>
      </c>
    </row>
    <row r="60" spans="1:67" x14ac:dyDescent="0.2">
      <c r="A60" s="105">
        <v>297.53919794157599</v>
      </c>
      <c r="B60" s="105">
        <v>105.14245850382</v>
      </c>
      <c r="C60" s="105">
        <v>18.018803477330401</v>
      </c>
      <c r="D60" s="105">
        <v>37.834173296660403</v>
      </c>
      <c r="E60" s="105">
        <v>509.32220649164799</v>
      </c>
      <c r="F60" s="105">
        <v>402.06632192465298</v>
      </c>
      <c r="G60" s="105">
        <v>42.1786237040454</v>
      </c>
      <c r="H60" s="105">
        <v>645.14721354498204</v>
      </c>
      <c r="I60" s="105">
        <v>176.27087244524901</v>
      </c>
      <c r="J60" s="105">
        <v>900.28139582648805</v>
      </c>
      <c r="K60" s="105">
        <v>637.41722963019197</v>
      </c>
      <c r="L60" s="105">
        <v>79.223893806636397</v>
      </c>
      <c r="M60" s="105">
        <v>46.078013546448801</v>
      </c>
      <c r="N60" s="105">
        <v>65.466558310886498</v>
      </c>
      <c r="O60" s="105">
        <v>75.4415712927307</v>
      </c>
      <c r="P60" s="105">
        <v>126.362766498385</v>
      </c>
      <c r="Q60" s="105">
        <v>384.37610017563998</v>
      </c>
      <c r="R60" s="105">
        <v>16.250524588667499</v>
      </c>
      <c r="S60" s="105">
        <v>270.70289859395899</v>
      </c>
      <c r="T60" s="105">
        <v>144.820155022638</v>
      </c>
      <c r="U60" s="105">
        <v>1146.6713735356</v>
      </c>
      <c r="V60" s="105">
        <v>364.22326031693802</v>
      </c>
      <c r="W60" s="105">
        <v>229.18647855897299</v>
      </c>
      <c r="X60" s="105">
        <v>395.92582013123803</v>
      </c>
      <c r="Y60" s="105">
        <v>253.921260299149</v>
      </c>
      <c r="Z60" s="105">
        <v>319.62860334487698</v>
      </c>
      <c r="AA60" s="105">
        <v>637.60637049119305</v>
      </c>
      <c r="AB60" s="105">
        <v>287.096247078619</v>
      </c>
      <c r="AC60" s="105">
        <v>204.497774283734</v>
      </c>
      <c r="AD60" s="105">
        <v>230.364446395762</v>
      </c>
      <c r="AE60" s="105">
        <v>188.72182439294301</v>
      </c>
      <c r="AF60" s="105">
        <v>343.55736705292497</v>
      </c>
      <c r="AG60" s="105">
        <v>517.19233223147205</v>
      </c>
      <c r="AH60" s="105">
        <v>167.11482897597</v>
      </c>
      <c r="AI60" s="105">
        <v>58.606567874079502</v>
      </c>
      <c r="AJ60" s="105">
        <v>102.04907138764401</v>
      </c>
      <c r="AK60" s="105">
        <v>86.449392515302506</v>
      </c>
      <c r="AL60" s="105">
        <v>576.71064893532298</v>
      </c>
      <c r="AM60" s="105">
        <v>248.69242072461699</v>
      </c>
      <c r="AN60" s="105">
        <v>478.700306816661</v>
      </c>
      <c r="AO60" s="105">
        <v>4957.5604084115503</v>
      </c>
      <c r="AP60" s="105">
        <v>529.13509685429301</v>
      </c>
      <c r="AQ60" s="105">
        <v>92.003169150324297</v>
      </c>
      <c r="AR60" s="105">
        <v>111.08180807151599</v>
      </c>
      <c r="AS60" s="105">
        <v>683.59183195702406</v>
      </c>
      <c r="AT60" s="105">
        <v>110.62918590184501</v>
      </c>
      <c r="AU60" s="105">
        <v>265.93110396549298</v>
      </c>
      <c r="AV60" s="105">
        <v>68.589354131322295</v>
      </c>
      <c r="AW60" s="105">
        <v>295.02053384613299</v>
      </c>
      <c r="AX60" s="105">
        <v>477.86980847492202</v>
      </c>
      <c r="AY60" s="105">
        <v>739.12642938975</v>
      </c>
      <c r="AZ60" s="105">
        <v>1683.08755203245</v>
      </c>
      <c r="BA60" s="105">
        <v>222.111626425011</v>
      </c>
      <c r="BB60" s="105">
        <v>1133.1383326023199</v>
      </c>
      <c r="BC60" s="105">
        <v>522.64406986993299</v>
      </c>
      <c r="BD60" s="105">
        <v>585.29000070907</v>
      </c>
      <c r="BE60" s="105">
        <v>172.059406770621</v>
      </c>
      <c r="BF60" s="105">
        <v>1030.28419710002</v>
      </c>
      <c r="BG60" s="105">
        <v>88.698180674774207</v>
      </c>
      <c r="BH60" s="105">
        <v>1987.8216204704399</v>
      </c>
      <c r="BI60" s="105">
        <v>446.06609756716102</v>
      </c>
      <c r="BJ60" s="105">
        <v>521.661499311395</v>
      </c>
      <c r="BK60" s="105">
        <v>589.99508778006896</v>
      </c>
      <c r="BL60" s="105">
        <v>536.98525481704098</v>
      </c>
      <c r="BM60" s="105">
        <v>234.92122577717601</v>
      </c>
      <c r="BN60" s="105">
        <v>886.61961959528105</v>
      </c>
      <c r="BO60" s="105">
        <v>0</v>
      </c>
    </row>
    <row r="61" spans="1:67" x14ac:dyDescent="0.2">
      <c r="A61" s="105">
        <v>1.24464812700008</v>
      </c>
      <c r="B61" s="105">
        <v>0.18253203009702201</v>
      </c>
      <c r="C61" s="105">
        <v>5.5852901102062702E-2</v>
      </c>
      <c r="D61" s="105">
        <v>1.80919083475878</v>
      </c>
      <c r="E61" s="105">
        <v>5.2660602774532004</v>
      </c>
      <c r="F61" s="105">
        <v>88.546797570572707</v>
      </c>
      <c r="G61" s="105">
        <v>0.84225042970632302</v>
      </c>
      <c r="H61" s="105">
        <v>35.198183897678398</v>
      </c>
      <c r="I61" s="105">
        <v>6.3628749027318303</v>
      </c>
      <c r="J61" s="105">
        <v>18.244196405318402</v>
      </c>
      <c r="K61" s="105">
        <v>27.304243096594501</v>
      </c>
      <c r="L61" s="105">
        <v>7.3258760000775496</v>
      </c>
      <c r="M61" s="105">
        <v>0.60038728342272196</v>
      </c>
      <c r="N61" s="105">
        <v>5.3582637814528304</v>
      </c>
      <c r="O61" s="105">
        <v>6.7253106754924703</v>
      </c>
      <c r="P61" s="105">
        <v>5.6480268799913702</v>
      </c>
      <c r="Q61" s="105">
        <v>14.039842405117</v>
      </c>
      <c r="R61" s="105">
        <v>0.40552809392398298</v>
      </c>
      <c r="S61" s="105">
        <v>2.2322513948589102</v>
      </c>
      <c r="T61" s="105">
        <v>1.14657683899937</v>
      </c>
      <c r="U61" s="105">
        <v>35.004508423799301</v>
      </c>
      <c r="V61" s="105">
        <v>10.792304549353499</v>
      </c>
      <c r="W61" s="105">
        <v>18.557817703267698</v>
      </c>
      <c r="X61" s="105">
        <v>67.034381989062098</v>
      </c>
      <c r="Y61" s="105">
        <v>12.5458260924008</v>
      </c>
      <c r="Z61" s="105">
        <v>13.4188870844731</v>
      </c>
      <c r="AA61" s="105">
        <v>13.0829544639486</v>
      </c>
      <c r="AB61" s="105">
        <v>38.1272894287385</v>
      </c>
      <c r="AC61" s="105">
        <v>5.9307141220005501</v>
      </c>
      <c r="AD61" s="105">
        <v>13.592746509042099</v>
      </c>
      <c r="AE61" s="105">
        <v>41.970684861624697</v>
      </c>
      <c r="AF61" s="105">
        <v>50.984957953586601</v>
      </c>
      <c r="AG61" s="105">
        <v>64.669354199673094</v>
      </c>
      <c r="AH61" s="105">
        <v>38.116440338169902</v>
      </c>
      <c r="AI61" s="105">
        <v>7.54387358512622</v>
      </c>
      <c r="AJ61" s="105">
        <v>7.5897293070963903</v>
      </c>
      <c r="AK61" s="105">
        <v>1.2957547133171701</v>
      </c>
      <c r="AL61" s="105">
        <v>21.408587405043502</v>
      </c>
      <c r="AM61" s="105">
        <v>4.1255354320902304</v>
      </c>
      <c r="AN61" s="105">
        <v>11.7669045619184</v>
      </c>
      <c r="AO61" s="105">
        <v>151.11716121999601</v>
      </c>
      <c r="AP61" s="105">
        <v>15.1210373379022</v>
      </c>
      <c r="AQ61" s="105">
        <v>1.3581309562253401</v>
      </c>
      <c r="AR61" s="105">
        <v>1.0214364117503001</v>
      </c>
      <c r="AS61" s="105">
        <v>12.755182132600901</v>
      </c>
      <c r="AT61" s="105">
        <v>1.61532755995488</v>
      </c>
      <c r="AU61" s="105">
        <v>4.20658164908484</v>
      </c>
      <c r="AV61" s="105">
        <v>1.01057837688793</v>
      </c>
      <c r="AW61" s="105">
        <v>1.6136613293591</v>
      </c>
      <c r="AX61" s="105">
        <v>41.393966465225198</v>
      </c>
      <c r="AY61" s="105">
        <v>58.935766363384502</v>
      </c>
      <c r="AZ61" s="105">
        <v>48.771751095872503</v>
      </c>
      <c r="BA61" s="105">
        <v>2.5494477068664598</v>
      </c>
      <c r="BB61" s="105">
        <v>34.227018419051298</v>
      </c>
      <c r="BC61" s="105">
        <v>234.891428710425</v>
      </c>
      <c r="BD61" s="105">
        <v>10.4997245613765</v>
      </c>
      <c r="BE61" s="105">
        <v>12.41528173194</v>
      </c>
      <c r="BF61" s="105">
        <v>29.796505992847301</v>
      </c>
      <c r="BG61" s="105">
        <v>2.7251426896731101</v>
      </c>
      <c r="BH61" s="105">
        <v>31.572137570207001</v>
      </c>
      <c r="BI61" s="105">
        <v>13.100959921175299</v>
      </c>
      <c r="BJ61" s="105">
        <v>8.50469364711482</v>
      </c>
      <c r="BK61" s="105">
        <v>19.019400045921099</v>
      </c>
      <c r="BL61" s="105">
        <v>33.091146920321499</v>
      </c>
      <c r="BM61" s="105">
        <v>3.5736045746510001</v>
      </c>
      <c r="BN61" s="105">
        <v>15.596390750783399</v>
      </c>
      <c r="BO61" s="105">
        <v>0</v>
      </c>
    </row>
    <row r="62" spans="1:67" x14ac:dyDescent="0.2">
      <c r="A62" s="105">
        <v>9.0457727943134092</v>
      </c>
      <c r="B62" s="105">
        <v>3.2514404742753702</v>
      </c>
      <c r="C62" s="105">
        <v>0.19046143799432899</v>
      </c>
      <c r="D62" s="105">
        <v>1.1967536296259</v>
      </c>
      <c r="E62" s="105">
        <v>78.142125620832601</v>
      </c>
      <c r="F62" s="105">
        <v>553.879852150739</v>
      </c>
      <c r="G62" s="105">
        <v>48.338400657877798</v>
      </c>
      <c r="H62" s="105">
        <v>11.6229574902145</v>
      </c>
      <c r="I62" s="105">
        <v>1.0554912266971399</v>
      </c>
      <c r="J62" s="105">
        <v>43.720323296383803</v>
      </c>
      <c r="K62" s="105">
        <v>2.3995907449063298</v>
      </c>
      <c r="L62" s="105">
        <v>0.62877648909860595</v>
      </c>
      <c r="M62" s="105">
        <v>2.5548138405304299</v>
      </c>
      <c r="N62" s="105">
        <v>2.09301090949588</v>
      </c>
      <c r="O62" s="105">
        <v>1.14708577298879</v>
      </c>
      <c r="P62" s="105">
        <v>1.05928856727706</v>
      </c>
      <c r="Q62" s="105">
        <v>88.730316785594297</v>
      </c>
      <c r="R62" s="105">
        <v>0.36986045002678902</v>
      </c>
      <c r="S62" s="105">
        <v>20.381538458164101</v>
      </c>
      <c r="T62" s="105">
        <v>1.1480954798059799</v>
      </c>
      <c r="U62" s="105">
        <v>31.789836616420001</v>
      </c>
      <c r="V62" s="105">
        <v>56.928339250785903</v>
      </c>
      <c r="W62" s="105">
        <v>2.08579389572966</v>
      </c>
      <c r="X62" s="105">
        <v>5.1510547555223098</v>
      </c>
      <c r="Y62" s="105">
        <v>5.6977373390858999</v>
      </c>
      <c r="Z62" s="105">
        <v>2.4853878624807901</v>
      </c>
      <c r="AA62" s="105">
        <v>361.66445750046699</v>
      </c>
      <c r="AB62" s="105">
        <v>139.92552598309001</v>
      </c>
      <c r="AC62" s="105">
        <v>113.36628986141901</v>
      </c>
      <c r="AD62" s="105">
        <v>3.4482501769358702</v>
      </c>
      <c r="AE62" s="105">
        <v>4.7031133937490601</v>
      </c>
      <c r="AF62" s="105">
        <v>47.314932742950198</v>
      </c>
      <c r="AG62" s="105">
        <v>172.839477067562</v>
      </c>
      <c r="AH62" s="105">
        <v>6.1763096933429997</v>
      </c>
      <c r="AI62" s="105">
        <v>0.90925055900349405</v>
      </c>
      <c r="AJ62" s="105">
        <v>2.2593522416204501</v>
      </c>
      <c r="AK62" s="105">
        <v>12.8672583686016</v>
      </c>
      <c r="AL62" s="105">
        <v>122.811011587998</v>
      </c>
      <c r="AM62" s="105">
        <v>2.2370724313411801</v>
      </c>
      <c r="AN62" s="105">
        <v>9.0844563034681993</v>
      </c>
      <c r="AO62" s="105">
        <v>1604.3951952334701</v>
      </c>
      <c r="AP62" s="105">
        <v>1922.78493776298</v>
      </c>
      <c r="AQ62" s="105">
        <v>173.99138005839799</v>
      </c>
      <c r="AR62" s="105">
        <v>10.8163528667113</v>
      </c>
      <c r="AS62" s="105">
        <v>499.36711718485299</v>
      </c>
      <c r="AT62" s="105">
        <v>3.19609276119182</v>
      </c>
      <c r="AU62" s="105">
        <v>11.1232672724789</v>
      </c>
      <c r="AV62" s="105">
        <v>0.53638092371943902</v>
      </c>
      <c r="AW62" s="105">
        <v>1.03702833170215</v>
      </c>
      <c r="AX62" s="105">
        <v>67.545219045966505</v>
      </c>
      <c r="AY62" s="105">
        <v>8.3312881581514802</v>
      </c>
      <c r="AZ62" s="105">
        <v>2940.6043456512298</v>
      </c>
      <c r="BA62" s="105">
        <v>3.5513243324762902</v>
      </c>
      <c r="BB62" s="105">
        <v>3828.5496900391099</v>
      </c>
      <c r="BC62" s="105">
        <v>292.359720358186</v>
      </c>
      <c r="BD62" s="105">
        <v>1375.62824746311</v>
      </c>
      <c r="BE62" s="105">
        <v>108.544671265849</v>
      </c>
      <c r="BF62" s="105">
        <v>3428.3470531327298</v>
      </c>
      <c r="BG62" s="105">
        <v>243.511281425389</v>
      </c>
      <c r="BH62" s="105">
        <v>385.75210167438399</v>
      </c>
      <c r="BI62" s="105">
        <v>527.54702797249195</v>
      </c>
      <c r="BJ62" s="105">
        <v>10.7757475366462</v>
      </c>
      <c r="BK62" s="105">
        <v>794.04625091437401</v>
      </c>
      <c r="BL62" s="105">
        <v>7.7409336810489</v>
      </c>
      <c r="BM62" s="105">
        <v>7.6703473922963203</v>
      </c>
      <c r="BN62" s="105">
        <v>684.665883737993</v>
      </c>
      <c r="BO62" s="105">
        <v>0</v>
      </c>
    </row>
    <row r="63" spans="1:67" x14ac:dyDescent="0.2">
      <c r="A63" s="105">
        <v>1.22676047069868E-2</v>
      </c>
      <c r="B63" s="105">
        <v>4.3472535010420697E-4</v>
      </c>
      <c r="C63" s="105">
        <v>3.4530983030453198E-5</v>
      </c>
      <c r="D63" s="105">
        <v>7.4233431264738706E-2</v>
      </c>
      <c r="E63" s="105">
        <v>2.6264014338470702E-2</v>
      </c>
      <c r="F63" s="105">
        <v>11.2652543850231</v>
      </c>
      <c r="G63" s="105">
        <v>2.2535410839901698E-3</v>
      </c>
      <c r="H63" s="105">
        <v>4.19908414419469</v>
      </c>
      <c r="I63" s="105">
        <v>0.66917988343253898</v>
      </c>
      <c r="J63" s="105">
        <v>1.66845991871329</v>
      </c>
      <c r="K63" s="105">
        <v>3.32726448183513</v>
      </c>
      <c r="L63" s="105">
        <v>0.91863694793994499</v>
      </c>
      <c r="M63" s="105">
        <v>2.45502081576615E-3</v>
      </c>
      <c r="N63" s="105">
        <v>0.62723699867353899</v>
      </c>
      <c r="O63" s="105">
        <v>0.84491448826144999</v>
      </c>
      <c r="P63" s="105">
        <v>0.73497531455135301</v>
      </c>
      <c r="Q63" s="105">
        <v>1.5870322254064599</v>
      </c>
      <c r="R63" s="105">
        <v>3.7405177791380501E-2</v>
      </c>
      <c r="S63" s="105">
        <v>4.2327504010399603E-3</v>
      </c>
      <c r="T63" s="105">
        <v>8.4046649758556108E-3</v>
      </c>
      <c r="U63" s="105">
        <v>4.1414337825159997</v>
      </c>
      <c r="V63" s="105">
        <v>1.1097152500165799</v>
      </c>
      <c r="W63" s="105">
        <v>2.3550443245587398</v>
      </c>
      <c r="X63" s="105">
        <v>8.7857344951827194</v>
      </c>
      <c r="Y63" s="105">
        <v>1.44530769994542</v>
      </c>
      <c r="Z63" s="105">
        <v>1.43952883000076</v>
      </c>
      <c r="AA63" s="105">
        <v>1.25453229126876</v>
      </c>
      <c r="AB63" s="105">
        <v>4.9195359919307098</v>
      </c>
      <c r="AC63" s="105">
        <v>0.44792516508375102</v>
      </c>
      <c r="AD63" s="105">
        <v>1.5112434471788101</v>
      </c>
      <c r="AE63" s="105">
        <v>5.5276123972976698</v>
      </c>
      <c r="AF63" s="105">
        <v>6.1901217848479702</v>
      </c>
      <c r="AG63" s="105">
        <v>8.3573856115643608</v>
      </c>
      <c r="AH63" s="105">
        <v>5.0454896859751397</v>
      </c>
      <c r="AI63" s="105">
        <v>0.99162008457853601</v>
      </c>
      <c r="AJ63" s="105">
        <v>0.92148153064523697</v>
      </c>
      <c r="AK63" s="105">
        <v>3.9572790195235998E-2</v>
      </c>
      <c r="AL63" s="105">
        <v>2.22097469334151</v>
      </c>
      <c r="AM63" s="105">
        <v>0.37554821356225399</v>
      </c>
      <c r="AN63" s="105">
        <v>0.80887988256257004</v>
      </c>
      <c r="AO63" s="105">
        <v>7.8391670096997803</v>
      </c>
      <c r="AP63" s="105">
        <v>1.14238870270243E-2</v>
      </c>
      <c r="AQ63" s="105">
        <v>8.8596255775406398E-4</v>
      </c>
      <c r="AR63" s="105">
        <v>4.2930700117338E-4</v>
      </c>
      <c r="AS63" s="105">
        <v>8.3341345419191901E-2</v>
      </c>
      <c r="AT63" s="105">
        <v>5.1725938044539501E-3</v>
      </c>
      <c r="AU63" s="105">
        <v>2.05922681297066E-2</v>
      </c>
      <c r="AV63" s="105">
        <v>7.41345672526421E-2</v>
      </c>
      <c r="AW63" s="105">
        <v>2.1579946147912E-3</v>
      </c>
      <c r="AX63" s="105">
        <v>2.0807653229479102</v>
      </c>
      <c r="AY63" s="105">
        <v>5.9958932006700802</v>
      </c>
      <c r="AZ63" s="105">
        <v>0.24865085389536401</v>
      </c>
      <c r="BA63" s="105">
        <v>8.1776422387769502E-3</v>
      </c>
      <c r="BB63" s="105">
        <v>2.45311948522281E-2</v>
      </c>
      <c r="BC63" s="105">
        <v>31.323619637821199</v>
      </c>
      <c r="BD63" s="105">
        <v>7.2839437243580902E-3</v>
      </c>
      <c r="BE63" s="105">
        <v>1.3618426501121901</v>
      </c>
      <c r="BF63" s="105">
        <v>0.27255064334502399</v>
      </c>
      <c r="BG63" s="105">
        <v>1.4374978692453899E-3</v>
      </c>
      <c r="BH63" s="105">
        <v>0.523729935140959</v>
      </c>
      <c r="BI63" s="105">
        <v>7.0738506577528004E-2</v>
      </c>
      <c r="BJ63" s="105">
        <v>6.3382195804022504E-2</v>
      </c>
      <c r="BK63" s="105">
        <v>0.257537070124573</v>
      </c>
      <c r="BL63" s="105">
        <v>404.04108973405698</v>
      </c>
      <c r="BM63" s="105">
        <v>1.8215897604459401E-2</v>
      </c>
      <c r="BN63" s="105">
        <v>1.674552178222E-2</v>
      </c>
      <c r="BO63" s="105">
        <v>0</v>
      </c>
    </row>
    <row r="64" spans="1:67" x14ac:dyDescent="0.2">
      <c r="A64" s="105">
        <v>1.6864932112073301E-2</v>
      </c>
      <c r="B64" s="105">
        <v>1.37985808189691E-2</v>
      </c>
      <c r="C64" s="105">
        <v>1.53317564655212E-2</v>
      </c>
      <c r="D64" s="105">
        <v>5.8229632298204499E-2</v>
      </c>
      <c r="E64" s="105">
        <v>0.93573064410667794</v>
      </c>
      <c r="F64" s="105">
        <v>0.33571303867911001</v>
      </c>
      <c r="G64" s="105">
        <v>5.8696111147163402E-2</v>
      </c>
      <c r="H64" s="105">
        <v>1.98850217191307</v>
      </c>
      <c r="I64" s="105">
        <v>0.55707683507954098</v>
      </c>
      <c r="J64" s="105">
        <v>1.1732435918253199</v>
      </c>
      <c r="K64" s="105">
        <v>0.20456061496845401</v>
      </c>
      <c r="L64" s="105">
        <v>7.1327812821989606E-2</v>
      </c>
      <c r="M64" s="105">
        <v>0.69108587056118498</v>
      </c>
      <c r="N64" s="105">
        <v>0.82871179898914904</v>
      </c>
      <c r="O64" s="105">
        <v>0.17922328216180899</v>
      </c>
      <c r="P64" s="105">
        <v>0.13399380864639299</v>
      </c>
      <c r="Q64" s="105">
        <v>0.50255068276485104</v>
      </c>
      <c r="R64" s="105">
        <v>0.11030958220296599</v>
      </c>
      <c r="S64" s="105">
        <v>0.51069662551596795</v>
      </c>
      <c r="T64" s="105">
        <v>0.77981982485227797</v>
      </c>
      <c r="U64" s="105">
        <v>0.65083340835400105</v>
      </c>
      <c r="V64" s="105">
        <v>0.26537444939774202</v>
      </c>
      <c r="W64" s="105">
        <v>0.40614029986460298</v>
      </c>
      <c r="X64" s="105">
        <v>0.731977565617695</v>
      </c>
      <c r="Y64" s="105">
        <v>1.07175988702775</v>
      </c>
      <c r="Z64" s="105">
        <v>0.53460508194655598</v>
      </c>
      <c r="AA64" s="105">
        <v>0.77382678720216003</v>
      </c>
      <c r="AB64" s="105">
        <v>9.7748682191006006E-2</v>
      </c>
      <c r="AC64" s="105">
        <v>0.62998459425888897</v>
      </c>
      <c r="AD64" s="105">
        <v>0.402842242823716</v>
      </c>
      <c r="AE64" s="105">
        <v>0.35288389422715</v>
      </c>
      <c r="AF64" s="105">
        <v>0.71736309627832595</v>
      </c>
      <c r="AG64" s="105">
        <v>0.33356221360099703</v>
      </c>
      <c r="AH64" s="105">
        <v>0.53471725884138599</v>
      </c>
      <c r="AI64" s="105">
        <v>0.101870270963188</v>
      </c>
      <c r="AJ64" s="105">
        <v>0.56502057942552397</v>
      </c>
      <c r="AK64" s="105">
        <v>0.11792772400474</v>
      </c>
      <c r="AL64" s="105">
        <v>1.4743116556776801</v>
      </c>
      <c r="AM64" s="105">
        <v>0.79130660129575403</v>
      </c>
      <c r="AN64" s="105">
        <v>1.88634722008251</v>
      </c>
      <c r="AO64" s="105">
        <v>100.53218257242401</v>
      </c>
      <c r="AP64" s="105">
        <v>2.6806506960849501</v>
      </c>
      <c r="AQ64" s="105">
        <v>0.23904337738648901</v>
      </c>
      <c r="AR64" s="105">
        <v>0.19061230852098099</v>
      </c>
      <c r="AS64" s="105">
        <v>7.9922277024868098</v>
      </c>
      <c r="AT64" s="105">
        <v>2.2730582544206501</v>
      </c>
      <c r="AU64" s="105">
        <v>9.1429670495897408</v>
      </c>
      <c r="AV64" s="105">
        <v>0.35515346733494702</v>
      </c>
      <c r="AW64" s="105">
        <v>0.95814960896729495</v>
      </c>
      <c r="AX64" s="105">
        <v>4.2280529814753498</v>
      </c>
      <c r="AY64" s="105">
        <v>5.7190927726140304</v>
      </c>
      <c r="AZ64" s="105">
        <v>10.1454064847337</v>
      </c>
      <c r="BA64" s="105">
        <v>3.5497762450595798</v>
      </c>
      <c r="BB64" s="105">
        <v>10.891850514389301</v>
      </c>
      <c r="BC64" s="105">
        <v>2.1464537427728501</v>
      </c>
      <c r="BD64" s="105">
        <v>3.2340710136149902</v>
      </c>
      <c r="BE64" s="105">
        <v>1.8406253591489601</v>
      </c>
      <c r="BF64" s="105">
        <v>6.92320997560482</v>
      </c>
      <c r="BG64" s="105">
        <v>0.63824905394495401</v>
      </c>
      <c r="BH64" s="105">
        <v>56.844795651060799</v>
      </c>
      <c r="BI64" s="105">
        <v>7.1281312044732603</v>
      </c>
      <c r="BJ64" s="105">
        <v>11.229313410314401</v>
      </c>
      <c r="BK64" s="105">
        <v>27.715898049388102</v>
      </c>
      <c r="BL64" s="105">
        <v>47210.814794694001</v>
      </c>
      <c r="BM64" s="105">
        <v>8.0878585363799598</v>
      </c>
      <c r="BN64" s="105">
        <v>7.4350116713056602</v>
      </c>
      <c r="BO64" s="105">
        <v>0</v>
      </c>
    </row>
    <row r="65" spans="1:67" x14ac:dyDescent="0.2">
      <c r="A65" s="105">
        <v>1.7527388192811499</v>
      </c>
      <c r="B65" s="105">
        <v>7.3162871940269598</v>
      </c>
      <c r="C65" s="105">
        <v>1.5857809638003499</v>
      </c>
      <c r="D65" s="105">
        <v>0.81279520822413498</v>
      </c>
      <c r="E65" s="105">
        <v>12.328927293735401</v>
      </c>
      <c r="F65" s="105">
        <v>1.0960375920743599</v>
      </c>
      <c r="G65" s="105">
        <v>0.104448553523199</v>
      </c>
      <c r="H65" s="105">
        <v>50.601700016357903</v>
      </c>
      <c r="I65" s="105">
        <v>6.6727711311272104</v>
      </c>
      <c r="J65" s="105">
        <v>66.938687318298705</v>
      </c>
      <c r="K65" s="105">
        <v>88.974559781746905</v>
      </c>
      <c r="L65" s="105">
        <v>5.1107519174457403</v>
      </c>
      <c r="M65" s="105">
        <v>2.2418102046514301</v>
      </c>
      <c r="N65" s="105">
        <v>7.2001017861304204</v>
      </c>
      <c r="O65" s="105">
        <v>11.3559709759228</v>
      </c>
      <c r="P65" s="105">
        <v>1.35431625720447</v>
      </c>
      <c r="Q65" s="105">
        <v>12.6702480128048</v>
      </c>
      <c r="R65" s="105">
        <v>1.0634694762902099</v>
      </c>
      <c r="S65" s="105">
        <v>5.1004833131334397</v>
      </c>
      <c r="T65" s="105">
        <v>4.4674576099614596</v>
      </c>
      <c r="U65" s="105">
        <v>4.0578586514211903</v>
      </c>
      <c r="V65" s="105">
        <v>10.521528571407099</v>
      </c>
      <c r="W65" s="105">
        <v>21.666571229640098</v>
      </c>
      <c r="X65" s="105">
        <v>35.751584043923202</v>
      </c>
      <c r="Y65" s="105">
        <v>12.0122063897764</v>
      </c>
      <c r="Z65" s="105">
        <v>6.6056475073235799</v>
      </c>
      <c r="AA65" s="105">
        <v>6.0634119704880298</v>
      </c>
      <c r="AB65" s="105">
        <v>0.94130760060819196</v>
      </c>
      <c r="AC65" s="105">
        <v>10.731254678715599</v>
      </c>
      <c r="AD65" s="105">
        <v>22.3820653849174</v>
      </c>
      <c r="AE65" s="105">
        <v>11.752440644342199</v>
      </c>
      <c r="AF65" s="105">
        <v>11.767448521737901</v>
      </c>
      <c r="AG65" s="105">
        <v>55.2432293851274</v>
      </c>
      <c r="AH65" s="105">
        <v>3.4482503588523099</v>
      </c>
      <c r="AI65" s="105">
        <v>3.9016093895311199</v>
      </c>
      <c r="AJ65" s="105">
        <v>8.66887083593158</v>
      </c>
      <c r="AK65" s="105">
        <v>2.9719042762667498</v>
      </c>
      <c r="AL65" s="105">
        <v>37.255180153533303</v>
      </c>
      <c r="AM65" s="105">
        <v>4.5007986525441099</v>
      </c>
      <c r="AN65" s="105">
        <v>27.636747201195099</v>
      </c>
      <c r="AO65" s="105">
        <v>451.776949322267</v>
      </c>
      <c r="AP65" s="105">
        <v>17.198561039280801</v>
      </c>
      <c r="AQ65" s="105">
        <v>1.30387819837509</v>
      </c>
      <c r="AR65" s="105">
        <v>2.5343948182334199</v>
      </c>
      <c r="AS65" s="105">
        <v>33.125746682485001</v>
      </c>
      <c r="AT65" s="105">
        <v>19.996812170928099</v>
      </c>
      <c r="AU65" s="105">
        <v>17.4617427668719</v>
      </c>
      <c r="AV65" s="105">
        <v>10.412765357094299</v>
      </c>
      <c r="AW65" s="105">
        <v>1855.94509421002</v>
      </c>
      <c r="AX65" s="105">
        <v>302.426545457055</v>
      </c>
      <c r="AY65" s="105">
        <v>56.8802843680308</v>
      </c>
      <c r="AZ65" s="105">
        <v>156.231484175058</v>
      </c>
      <c r="BA65" s="105">
        <v>15.788752918977099</v>
      </c>
      <c r="BB65" s="105">
        <v>80.800306720530003</v>
      </c>
      <c r="BC65" s="105">
        <v>9.9894534982259007</v>
      </c>
      <c r="BD65" s="105">
        <v>160.365645826145</v>
      </c>
      <c r="BE65" s="105">
        <v>21.704519812929199</v>
      </c>
      <c r="BF65" s="105">
        <v>48.627565261735299</v>
      </c>
      <c r="BG65" s="105">
        <v>4.1079059233085999</v>
      </c>
      <c r="BH65" s="105">
        <v>872.28339959420896</v>
      </c>
      <c r="BI65" s="105">
        <v>110.27669733456401</v>
      </c>
      <c r="BJ65" s="105">
        <v>52.740339445072401</v>
      </c>
      <c r="BK65" s="105">
        <v>107.69723980721299</v>
      </c>
      <c r="BL65" s="105">
        <v>3.94026018789567</v>
      </c>
      <c r="BM65" s="105">
        <v>721.89622591946204</v>
      </c>
      <c r="BN65" s="105">
        <v>1417.87246528116</v>
      </c>
      <c r="BO65" s="105">
        <v>0</v>
      </c>
    </row>
    <row r="66" spans="1:67" x14ac:dyDescent="0.2">
      <c r="A66" s="105">
        <v>188.03815003484701</v>
      </c>
      <c r="B66" s="105">
        <v>50.571725992370503</v>
      </c>
      <c r="C66" s="105">
        <v>29.5698282813944</v>
      </c>
      <c r="D66" s="105">
        <v>56.5275283021967</v>
      </c>
      <c r="E66" s="105">
        <v>886.37554244811304</v>
      </c>
      <c r="F66" s="105">
        <v>801.64250604100698</v>
      </c>
      <c r="G66" s="105">
        <v>77.951510628817303</v>
      </c>
      <c r="H66" s="105">
        <v>391.46318347770898</v>
      </c>
      <c r="I66" s="105">
        <v>195.17149904151</v>
      </c>
      <c r="J66" s="105">
        <v>337.82552853664799</v>
      </c>
      <c r="K66" s="105">
        <v>195.828368869613</v>
      </c>
      <c r="L66" s="105">
        <v>28.6548714869711</v>
      </c>
      <c r="M66" s="105">
        <v>82.990291685065202</v>
      </c>
      <c r="N66" s="105">
        <v>136.97297488998399</v>
      </c>
      <c r="O66" s="105">
        <v>59.169202571977102</v>
      </c>
      <c r="P66" s="105">
        <v>162.16012054188499</v>
      </c>
      <c r="Q66" s="105">
        <v>269.13374342420002</v>
      </c>
      <c r="R66" s="105">
        <v>55.846351349731599</v>
      </c>
      <c r="S66" s="105">
        <v>243.53314467183799</v>
      </c>
      <c r="T66" s="105">
        <v>157.805371819085</v>
      </c>
      <c r="U66" s="105">
        <v>234.131889452314</v>
      </c>
      <c r="V66" s="105">
        <v>85.005738595126104</v>
      </c>
      <c r="W66" s="105">
        <v>67.594831907397094</v>
      </c>
      <c r="X66" s="105">
        <v>161.261608117702</v>
      </c>
      <c r="Y66" s="105">
        <v>269.90565522092197</v>
      </c>
      <c r="Z66" s="105">
        <v>260.44730050052499</v>
      </c>
      <c r="AA66" s="105">
        <v>210.676549370776</v>
      </c>
      <c r="AB66" s="105">
        <v>95.781918440952396</v>
      </c>
      <c r="AC66" s="105">
        <v>376.67523005368201</v>
      </c>
      <c r="AD66" s="105">
        <v>295.32498509265201</v>
      </c>
      <c r="AE66" s="105">
        <v>186.95519627044899</v>
      </c>
      <c r="AF66" s="105">
        <v>365.28048528006599</v>
      </c>
      <c r="AG66" s="105">
        <v>291.16436482444402</v>
      </c>
      <c r="AH66" s="105">
        <v>216.779815187857</v>
      </c>
      <c r="AI66" s="105">
        <v>58.409892137587299</v>
      </c>
      <c r="AJ66" s="105">
        <v>162.87890058826099</v>
      </c>
      <c r="AK66" s="105">
        <v>7.1301071790956101</v>
      </c>
      <c r="AL66" s="105">
        <v>440.83380968777197</v>
      </c>
      <c r="AM66" s="105">
        <v>2.02478064503851</v>
      </c>
      <c r="AN66" s="105">
        <v>151.47033314449999</v>
      </c>
      <c r="AO66" s="105">
        <v>3884.7874645602001</v>
      </c>
      <c r="AP66" s="105">
        <v>561.52061658514697</v>
      </c>
      <c r="AQ66" s="105">
        <v>6.6007902567443999</v>
      </c>
      <c r="AR66" s="105">
        <v>6.8232953308517104</v>
      </c>
      <c r="AS66" s="105">
        <v>1384.9668332844101</v>
      </c>
      <c r="AT66" s="105">
        <v>170.202090515815</v>
      </c>
      <c r="AU66" s="105">
        <v>202.59800743207501</v>
      </c>
      <c r="AV66" s="105">
        <v>33.860297729394198</v>
      </c>
      <c r="AW66" s="105">
        <v>172.597103201235</v>
      </c>
      <c r="AX66" s="105">
        <v>2816.9249620248402</v>
      </c>
      <c r="AY66" s="105">
        <v>2183.3678151945001</v>
      </c>
      <c r="AZ66" s="105">
        <v>2006.27724180717</v>
      </c>
      <c r="BA66" s="105">
        <v>123.694957603226</v>
      </c>
      <c r="BB66" s="105">
        <v>521.06383285608797</v>
      </c>
      <c r="BC66" s="105">
        <v>87.462426588127798</v>
      </c>
      <c r="BD66" s="105">
        <v>1002.71654446045</v>
      </c>
      <c r="BE66" s="105">
        <v>185.06119052339801</v>
      </c>
      <c r="BF66" s="105">
        <v>1796.2307765094999</v>
      </c>
      <c r="BG66" s="105">
        <v>50.434599249179797</v>
      </c>
      <c r="BH66" s="105">
        <v>737.80246201286695</v>
      </c>
      <c r="BI66" s="105">
        <v>140.24208021659999</v>
      </c>
      <c r="BJ66" s="105">
        <v>588.02496836917999</v>
      </c>
      <c r="BK66" s="105">
        <v>2035.1477838543101</v>
      </c>
      <c r="BL66" s="105">
        <v>2525.6989040736698</v>
      </c>
      <c r="BM66" s="105">
        <v>20.267876496146801</v>
      </c>
      <c r="BN66" s="105">
        <v>668.01313594701298</v>
      </c>
      <c r="BO66" s="105">
        <v>0</v>
      </c>
    </row>
    <row r="67" spans="1:67" x14ac:dyDescent="0.2">
      <c r="A67" s="105">
        <v>0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5">
        <v>0</v>
      </c>
      <c r="AH67" s="105">
        <v>0</v>
      </c>
      <c r="AI67" s="105">
        <v>0</v>
      </c>
      <c r="AJ67" s="105">
        <v>0</v>
      </c>
      <c r="AK67" s="105">
        <v>0</v>
      </c>
      <c r="AL67" s="105">
        <v>0</v>
      </c>
      <c r="AM67" s="105">
        <v>0</v>
      </c>
      <c r="AN67" s="105">
        <v>0</v>
      </c>
      <c r="AO67" s="105">
        <v>0</v>
      </c>
      <c r="AP67" s="105">
        <v>0</v>
      </c>
      <c r="AQ67" s="105">
        <v>0</v>
      </c>
      <c r="AR67" s="105">
        <v>0</v>
      </c>
      <c r="AS67" s="105">
        <v>0</v>
      </c>
      <c r="AT67" s="105">
        <v>0</v>
      </c>
      <c r="AU67" s="105">
        <v>0</v>
      </c>
      <c r="AV67" s="105">
        <v>0</v>
      </c>
      <c r="AW67" s="105">
        <v>0</v>
      </c>
      <c r="AX67" s="105">
        <v>0</v>
      </c>
      <c r="AY67" s="105">
        <v>0</v>
      </c>
      <c r="AZ67" s="105">
        <v>0</v>
      </c>
      <c r="BA67" s="105">
        <v>0</v>
      </c>
      <c r="BB67" s="105">
        <v>0</v>
      </c>
      <c r="BC67" s="105">
        <v>0</v>
      </c>
      <c r="BD67" s="105">
        <v>0</v>
      </c>
      <c r="BE67" s="105">
        <v>0</v>
      </c>
      <c r="BF67" s="105">
        <v>0</v>
      </c>
      <c r="BG67" s="105">
        <v>0</v>
      </c>
      <c r="BH67" s="105">
        <v>0</v>
      </c>
      <c r="BI67" s="105">
        <v>0</v>
      </c>
      <c r="BJ67" s="105">
        <v>0</v>
      </c>
      <c r="BK67" s="105">
        <v>0</v>
      </c>
      <c r="BL67" s="105">
        <v>0</v>
      </c>
      <c r="BM67" s="105">
        <v>0</v>
      </c>
      <c r="BN67" s="105">
        <v>0</v>
      </c>
      <c r="BO67" s="10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A66D-CDB0-4E02-BBE7-9882ECC28692}">
  <dimension ref="A1:A67"/>
  <sheetViews>
    <sheetView workbookViewId="0">
      <selection activeCell="O13" sqref="O13"/>
    </sheetView>
  </sheetViews>
  <sheetFormatPr defaultRowHeight="12.75" x14ac:dyDescent="0.2"/>
  <cols>
    <col min="1" max="16384" width="9.140625" style="105"/>
  </cols>
  <sheetData>
    <row r="1" spans="1:1" x14ac:dyDescent="0.2">
      <c r="A1" s="105">
        <f>Usos!BY6</f>
        <v>508644.11262804799</v>
      </c>
    </row>
    <row r="2" spans="1:1" x14ac:dyDescent="0.2">
      <c r="A2" s="105">
        <f>Usos!BY7</f>
        <v>95690.8291363709</v>
      </c>
    </row>
    <row r="3" spans="1:1" x14ac:dyDescent="0.2">
      <c r="A3" s="105">
        <f>Usos!BY8</f>
        <v>42483.7542149906</v>
      </c>
    </row>
    <row r="4" spans="1:1" x14ac:dyDescent="0.2">
      <c r="A4" s="105">
        <f>Usos!BY9</f>
        <v>5371.6357155332698</v>
      </c>
    </row>
    <row r="5" spans="1:1" x14ac:dyDescent="0.2">
      <c r="A5" s="105">
        <f>Usos!BY10</f>
        <v>212209.31653695801</v>
      </c>
    </row>
    <row r="6" spans="1:1" x14ac:dyDescent="0.2">
      <c r="A6" s="105">
        <f>Usos!BY11</f>
        <v>232661.204729141</v>
      </c>
    </row>
    <row r="7" spans="1:1" x14ac:dyDescent="0.2">
      <c r="A7" s="105">
        <f>Usos!BY12</f>
        <v>19150.501824604002</v>
      </c>
    </row>
    <row r="8" spans="1:1" x14ac:dyDescent="0.2">
      <c r="A8" s="105">
        <f>Usos!BY13</f>
        <v>523693.51491368603</v>
      </c>
    </row>
    <row r="9" spans="1:1" x14ac:dyDescent="0.2">
      <c r="A9" s="105">
        <f>Usos!BY14</f>
        <v>73040.818740808405</v>
      </c>
    </row>
    <row r="10" spans="1:1" x14ac:dyDescent="0.2">
      <c r="A10" s="105">
        <f>Usos!BY15</f>
        <v>471573.136384346</v>
      </c>
    </row>
    <row r="11" spans="1:1" x14ac:dyDescent="0.2">
      <c r="A11" s="105">
        <f>Usos!BY16</f>
        <v>111460.94516226</v>
      </c>
    </row>
    <row r="12" spans="1:1" x14ac:dyDescent="0.2">
      <c r="A12" s="105">
        <f>Usos!BY17</f>
        <v>48251.8663006149</v>
      </c>
    </row>
    <row r="13" spans="1:1" x14ac:dyDescent="0.2">
      <c r="A13" s="105">
        <f>Usos!BY18</f>
        <v>68978.652572200896</v>
      </c>
    </row>
    <row r="14" spans="1:1" x14ac:dyDescent="0.2">
      <c r="A14" s="105">
        <f>Usos!BY19</f>
        <v>161446.174179389</v>
      </c>
    </row>
    <row r="15" spans="1:1" x14ac:dyDescent="0.2">
      <c r="A15" s="105">
        <f>Usos!BY20</f>
        <v>84207.631455863506</v>
      </c>
    </row>
    <row r="16" spans="1:1" x14ac:dyDescent="0.2">
      <c r="A16" s="105">
        <f>Usos!BY21</f>
        <v>29528.7330222245</v>
      </c>
    </row>
    <row r="17" spans="1:1" x14ac:dyDescent="0.2">
      <c r="A17" s="105">
        <f>Usos!BY22</f>
        <v>72390.160179332102</v>
      </c>
    </row>
    <row r="18" spans="1:1" x14ac:dyDescent="0.2">
      <c r="A18" s="105">
        <f>Usos!BY23</f>
        <v>2440.3968706844598</v>
      </c>
    </row>
    <row r="19" spans="1:1" x14ac:dyDescent="0.2">
      <c r="A19" s="105">
        <f>Usos!BY24</f>
        <v>310856.35746660398</v>
      </c>
    </row>
    <row r="20" spans="1:1" x14ac:dyDescent="0.2">
      <c r="A20" s="105">
        <f>Usos!BY25</f>
        <v>61987.161852101599</v>
      </c>
    </row>
    <row r="21" spans="1:1" x14ac:dyDescent="0.2">
      <c r="A21" s="105">
        <f>Usos!BY26</f>
        <v>54699.957661918401</v>
      </c>
    </row>
    <row r="22" spans="1:1" x14ac:dyDescent="0.2">
      <c r="A22" s="105">
        <f>Usos!BY27</f>
        <v>28244.747660595</v>
      </c>
    </row>
    <row r="23" spans="1:1" x14ac:dyDescent="0.2">
      <c r="A23" s="105">
        <f>Usos!BY28</f>
        <v>113608.304321641</v>
      </c>
    </row>
    <row r="24" spans="1:1" x14ac:dyDescent="0.2">
      <c r="A24" s="105">
        <f>Usos!BY29</f>
        <v>165359.402242059</v>
      </c>
    </row>
    <row r="25" spans="1:1" x14ac:dyDescent="0.2">
      <c r="A25" s="105">
        <f>Usos!BY30</f>
        <v>60101.3612510249</v>
      </c>
    </row>
    <row r="26" spans="1:1" x14ac:dyDescent="0.2">
      <c r="A26" s="105">
        <f>Usos!BY31</f>
        <v>32074.925059276698</v>
      </c>
    </row>
    <row r="27" spans="1:1" x14ac:dyDescent="0.2">
      <c r="A27" s="105">
        <f>Usos!BY32</f>
        <v>93998.154694981698</v>
      </c>
    </row>
    <row r="28" spans="1:1" x14ac:dyDescent="0.2">
      <c r="A28" s="105">
        <f>Usos!BY33</f>
        <v>63146.8619419682</v>
      </c>
    </row>
    <row r="29" spans="1:1" x14ac:dyDescent="0.2">
      <c r="A29" s="105">
        <f>Usos!BY34</f>
        <v>64174.546135818498</v>
      </c>
    </row>
    <row r="30" spans="1:1" x14ac:dyDescent="0.2">
      <c r="A30" s="105">
        <f>Usos!BY35</f>
        <v>246828.642642633</v>
      </c>
    </row>
    <row r="31" spans="1:1" x14ac:dyDescent="0.2">
      <c r="A31" s="105">
        <f>Usos!BY36</f>
        <v>139876.954165756</v>
      </c>
    </row>
    <row r="32" spans="1:1" x14ac:dyDescent="0.2">
      <c r="A32" s="105">
        <f>Usos!BY37</f>
        <v>281234.321318181</v>
      </c>
    </row>
    <row r="33" spans="1:1" x14ac:dyDescent="0.2">
      <c r="A33" s="105">
        <f>Usos!BY38</f>
        <v>380579.66586263798</v>
      </c>
    </row>
    <row r="34" spans="1:1" x14ac:dyDescent="0.2">
      <c r="A34" s="105">
        <f>Usos!BY39</f>
        <v>33940.795265495399</v>
      </c>
    </row>
    <row r="35" spans="1:1" x14ac:dyDescent="0.2">
      <c r="A35" s="105">
        <f>Usos!BY40</f>
        <v>143629.94882705901</v>
      </c>
    </row>
    <row r="36" spans="1:1" x14ac:dyDescent="0.2">
      <c r="A36" s="105">
        <f>Usos!BY41</f>
        <v>178542.15058724399</v>
      </c>
    </row>
    <row r="37" spans="1:1" x14ac:dyDescent="0.2">
      <c r="A37" s="105">
        <f>Usos!BY42</f>
        <v>24635.665973133899</v>
      </c>
    </row>
    <row r="38" spans="1:1" x14ac:dyDescent="0.2">
      <c r="A38" s="105">
        <f>Usos!BY43</f>
        <v>173342.663756989</v>
      </c>
    </row>
    <row r="39" spans="1:1" x14ac:dyDescent="0.2">
      <c r="A39" s="105">
        <f>Usos!BY44</f>
        <v>45834.890113102003</v>
      </c>
    </row>
    <row r="40" spans="1:1" x14ac:dyDescent="0.2">
      <c r="A40" s="105">
        <f>Usos!BY45</f>
        <v>623082.06328131899</v>
      </c>
    </row>
    <row r="41" spans="1:1" x14ac:dyDescent="0.2">
      <c r="A41" s="105">
        <f>Usos!BY46</f>
        <v>208167.00750657101</v>
      </c>
    </row>
    <row r="42" spans="1:1" x14ac:dyDescent="0.2">
      <c r="A42" s="105">
        <f>Usos!BY47</f>
        <v>94669.997301251395</v>
      </c>
    </row>
    <row r="43" spans="1:1" x14ac:dyDescent="0.2">
      <c r="A43" s="105">
        <f>Usos!BY48</f>
        <v>1661.89815727922</v>
      </c>
    </row>
    <row r="44" spans="1:1" x14ac:dyDescent="0.2">
      <c r="A44" s="105">
        <f>Usos!BY49</f>
        <v>15477.3311905231</v>
      </c>
    </row>
    <row r="45" spans="1:1" x14ac:dyDescent="0.2">
      <c r="A45" s="105">
        <f>Usos!BY50</f>
        <v>57764.840581851597</v>
      </c>
    </row>
    <row r="46" spans="1:1" x14ac:dyDescent="0.2">
      <c r="A46" s="105">
        <f>Usos!BY51</f>
        <v>11621.543667387399</v>
      </c>
    </row>
    <row r="47" spans="1:1" x14ac:dyDescent="0.2">
      <c r="A47" s="105">
        <f>Usos!BY52</f>
        <v>268773.83839731</v>
      </c>
    </row>
    <row r="48" spans="1:1" x14ac:dyDescent="0.2">
      <c r="A48" s="105">
        <f>Usos!BY53</f>
        <v>13590.6476147013</v>
      </c>
    </row>
    <row r="49" spans="1:1" x14ac:dyDescent="0.2">
      <c r="A49" s="105">
        <f>Usos!BY54</f>
        <v>3315.5022758465798</v>
      </c>
    </row>
    <row r="50" spans="1:1" x14ac:dyDescent="0.2">
      <c r="A50" s="105">
        <f>Usos!BY55</f>
        <v>146209.845564127</v>
      </c>
    </row>
    <row r="51" spans="1:1" x14ac:dyDescent="0.2">
      <c r="A51" s="105">
        <f>Usos!BY56</f>
        <v>160058.509104461</v>
      </c>
    </row>
    <row r="52" spans="1:1" x14ac:dyDescent="0.2">
      <c r="A52" s="105">
        <f>Usos!BY57</f>
        <v>416730.63478759403</v>
      </c>
    </row>
    <row r="53" spans="1:1" x14ac:dyDescent="0.2">
      <c r="A53" s="105">
        <f>Usos!BY58</f>
        <v>647834.44502950797</v>
      </c>
    </row>
    <row r="54" spans="1:1" x14ac:dyDescent="0.2">
      <c r="A54" s="105">
        <f>Usos!BY59</f>
        <v>44773.558735373299</v>
      </c>
    </row>
    <row r="55" spans="1:1" x14ac:dyDescent="0.2">
      <c r="A55" s="105">
        <f>Usos!BY60</f>
        <v>38943.900945105299</v>
      </c>
    </row>
    <row r="56" spans="1:1" x14ac:dyDescent="0.2">
      <c r="A56" s="105">
        <f>Usos!BY61</f>
        <v>8811.0565087590603</v>
      </c>
    </row>
    <row r="57" spans="1:1" x14ac:dyDescent="0.2">
      <c r="A57" s="105">
        <f>Usos!BY62</f>
        <v>15920.919325148399</v>
      </c>
    </row>
    <row r="58" spans="1:1" x14ac:dyDescent="0.2">
      <c r="A58" s="105">
        <f>Usos!BY63</f>
        <v>61568.600646769701</v>
      </c>
    </row>
    <row r="59" spans="1:1" x14ac:dyDescent="0.2">
      <c r="A59" s="105">
        <f>Usos!BY64</f>
        <v>577.973086811911</v>
      </c>
    </row>
    <row r="60" spans="1:1" x14ac:dyDescent="0.2">
      <c r="A60" s="105">
        <f>Usos!BY65</f>
        <v>964484.52126747603</v>
      </c>
    </row>
    <row r="61" spans="1:1" x14ac:dyDescent="0.2">
      <c r="A61" s="105">
        <f>Usos!BY66</f>
        <v>402869.91437128698</v>
      </c>
    </row>
    <row r="62" spans="1:1" x14ac:dyDescent="0.2">
      <c r="A62" s="105">
        <f>Usos!BY67</f>
        <v>132247.52115567701</v>
      </c>
    </row>
    <row r="63" spans="1:1" x14ac:dyDescent="0.2">
      <c r="A63" s="105">
        <f>Usos!BY68</f>
        <v>278697.09930751502</v>
      </c>
    </row>
    <row r="64" spans="1:1" x14ac:dyDescent="0.2">
      <c r="A64" s="105">
        <f>Usos!BY69</f>
        <v>342951.30881538702</v>
      </c>
    </row>
    <row r="65" spans="1:1" x14ac:dyDescent="0.2">
      <c r="A65" s="105">
        <f>Usos!BY70</f>
        <v>47835.2817261077</v>
      </c>
    </row>
    <row r="66" spans="1:1" x14ac:dyDescent="0.2">
      <c r="A66" s="105">
        <f>Usos!BY71</f>
        <v>153683.37628157501</v>
      </c>
    </row>
    <row r="67" spans="1:1" x14ac:dyDescent="0.2">
      <c r="A67" s="105">
        <f>Usos!BY72</f>
        <v>61371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3A7C-6645-4E86-A68D-C7274B1146F1}">
  <dimension ref="A1:A67"/>
  <sheetViews>
    <sheetView workbookViewId="0">
      <selection activeCell="K9" sqref="K9"/>
    </sheetView>
  </sheetViews>
  <sheetFormatPr defaultRowHeight="12.75" x14ac:dyDescent="0.2"/>
  <cols>
    <col min="1" max="16384" width="9.140625" style="105"/>
  </cols>
  <sheetData>
    <row r="1" spans="1:1" x14ac:dyDescent="0.2">
      <c r="A1" s="105" cm="1">
        <f t="array" ref="A1:A67">TRANSPOSE(Usos!C95:BQ95)</f>
        <v>769160</v>
      </c>
    </row>
    <row r="2" spans="1:1" x14ac:dyDescent="0.2">
      <c r="A2" s="105">
        <v>272241</v>
      </c>
    </row>
    <row r="3" spans="1:1" x14ac:dyDescent="0.2">
      <c r="A3" s="105">
        <v>54743</v>
      </c>
    </row>
    <row r="4" spans="1:1" x14ac:dyDescent="0.2">
      <c r="A4" s="105">
        <v>30081</v>
      </c>
    </row>
    <row r="5" spans="1:1" x14ac:dyDescent="0.2">
      <c r="A5" s="105">
        <v>406701</v>
      </c>
    </row>
    <row r="6" spans="1:1" x14ac:dyDescent="0.2">
      <c r="A6" s="105">
        <v>279099</v>
      </c>
    </row>
    <row r="7" spans="1:1" x14ac:dyDescent="0.2">
      <c r="A7" s="105">
        <v>30712</v>
      </c>
    </row>
    <row r="8" spans="1:1" x14ac:dyDescent="0.2">
      <c r="A8" s="105">
        <v>495404</v>
      </c>
    </row>
    <row r="9" spans="1:1" x14ac:dyDescent="0.2">
      <c r="A9" s="105">
        <v>94655</v>
      </c>
    </row>
    <row r="10" spans="1:1" x14ac:dyDescent="0.2">
      <c r="A10" s="105">
        <v>513838</v>
      </c>
    </row>
    <row r="11" spans="1:1" x14ac:dyDescent="0.2">
      <c r="A11" s="105">
        <v>110108</v>
      </c>
    </row>
    <row r="12" spans="1:1" x14ac:dyDescent="0.2">
      <c r="A12" s="105">
        <v>18653</v>
      </c>
    </row>
    <row r="13" spans="1:1" x14ac:dyDescent="0.2">
      <c r="A13" s="105">
        <v>82836</v>
      </c>
    </row>
    <row r="14" spans="1:1" x14ac:dyDescent="0.2">
      <c r="A14" s="105">
        <v>80645</v>
      </c>
    </row>
    <row r="15" spans="1:1" x14ac:dyDescent="0.2">
      <c r="A15" s="105">
        <v>50739</v>
      </c>
    </row>
    <row r="16" spans="1:1" x14ac:dyDescent="0.2">
      <c r="A16" s="105">
        <v>61516</v>
      </c>
    </row>
    <row r="17" spans="1:1" x14ac:dyDescent="0.2">
      <c r="A17" s="105">
        <v>156926</v>
      </c>
    </row>
    <row r="18" spans="1:1" x14ac:dyDescent="0.2">
      <c r="A18" s="105">
        <v>22332</v>
      </c>
    </row>
    <row r="19" spans="1:1" x14ac:dyDescent="0.2">
      <c r="A19" s="105">
        <v>678319</v>
      </c>
    </row>
    <row r="20" spans="1:1" x14ac:dyDescent="0.2">
      <c r="A20" s="105">
        <v>105728</v>
      </c>
    </row>
    <row r="21" spans="1:1" x14ac:dyDescent="0.2">
      <c r="A21" s="105">
        <v>353156</v>
      </c>
    </row>
    <row r="22" spans="1:1" x14ac:dyDescent="0.2">
      <c r="A22" s="105">
        <v>138097</v>
      </c>
    </row>
    <row r="23" spans="1:1" x14ac:dyDescent="0.2">
      <c r="A23" s="105">
        <v>67872</v>
      </c>
    </row>
    <row r="24" spans="1:1" x14ac:dyDescent="0.2">
      <c r="A24" s="105">
        <v>99278</v>
      </c>
    </row>
    <row r="25" spans="1:1" x14ac:dyDescent="0.2">
      <c r="A25" s="105">
        <v>197694</v>
      </c>
    </row>
    <row r="26" spans="1:1" x14ac:dyDescent="0.2">
      <c r="A26" s="105">
        <v>143010</v>
      </c>
    </row>
    <row r="27" spans="1:1" x14ac:dyDescent="0.2">
      <c r="A27" s="105">
        <v>305615</v>
      </c>
    </row>
    <row r="28" spans="1:1" x14ac:dyDescent="0.2">
      <c r="A28" s="105">
        <v>121205</v>
      </c>
    </row>
    <row r="29" spans="1:1" x14ac:dyDescent="0.2">
      <c r="A29" s="105">
        <v>189661</v>
      </c>
    </row>
    <row r="30" spans="1:1" x14ac:dyDescent="0.2">
      <c r="A30" s="105">
        <v>146376</v>
      </c>
    </row>
    <row r="31" spans="1:1" x14ac:dyDescent="0.2">
      <c r="A31" s="105">
        <v>137668</v>
      </c>
    </row>
    <row r="32" spans="1:1" x14ac:dyDescent="0.2">
      <c r="A32" s="105">
        <v>242983</v>
      </c>
    </row>
    <row r="33" spans="1:1" x14ac:dyDescent="0.2">
      <c r="A33" s="105">
        <v>241683</v>
      </c>
    </row>
    <row r="34" spans="1:1" x14ac:dyDescent="0.2">
      <c r="A34" s="105">
        <v>145523</v>
      </c>
    </row>
    <row r="35" spans="1:1" x14ac:dyDescent="0.2">
      <c r="A35" s="105">
        <v>50525</v>
      </c>
    </row>
    <row r="36" spans="1:1" x14ac:dyDescent="0.2">
      <c r="A36" s="105">
        <v>113057</v>
      </c>
    </row>
    <row r="37" spans="1:1" x14ac:dyDescent="0.2">
      <c r="A37" s="105">
        <v>107939</v>
      </c>
    </row>
    <row r="38" spans="1:1" x14ac:dyDescent="0.2">
      <c r="A38" s="105">
        <v>455696</v>
      </c>
    </row>
    <row r="39" spans="1:1" x14ac:dyDescent="0.2">
      <c r="A39" s="105">
        <v>107088</v>
      </c>
    </row>
    <row r="40" spans="1:1" x14ac:dyDescent="0.2">
      <c r="A40" s="105">
        <v>704341</v>
      </c>
    </row>
    <row r="41" spans="1:1" x14ac:dyDescent="0.2">
      <c r="A41" s="105">
        <v>1668202</v>
      </c>
    </row>
    <row r="42" spans="1:1" x14ac:dyDescent="0.2">
      <c r="A42" s="105">
        <v>506364</v>
      </c>
    </row>
    <row r="43" spans="1:1" x14ac:dyDescent="0.2">
      <c r="A43" s="105">
        <v>34706</v>
      </c>
    </row>
    <row r="44" spans="1:1" x14ac:dyDescent="0.2">
      <c r="A44" s="105">
        <v>35749</v>
      </c>
    </row>
    <row r="45" spans="1:1" x14ac:dyDescent="0.2">
      <c r="A45" s="105">
        <v>188012</v>
      </c>
    </row>
    <row r="46" spans="1:1" x14ac:dyDescent="0.2">
      <c r="A46" s="105">
        <v>31722</v>
      </c>
    </row>
    <row r="47" spans="1:1" x14ac:dyDescent="0.2">
      <c r="A47" s="105">
        <v>287344</v>
      </c>
    </row>
    <row r="48" spans="1:1" x14ac:dyDescent="0.2">
      <c r="A48" s="105">
        <v>17626</v>
      </c>
    </row>
    <row r="49" spans="1:1" x14ac:dyDescent="0.2">
      <c r="A49" s="105">
        <v>46662</v>
      </c>
    </row>
    <row r="50" spans="1:1" x14ac:dyDescent="0.2">
      <c r="A50" s="105">
        <v>182343</v>
      </c>
    </row>
    <row r="51" spans="1:1" x14ac:dyDescent="0.2">
      <c r="A51" s="105">
        <v>267495</v>
      </c>
    </row>
    <row r="52" spans="1:1" x14ac:dyDescent="0.2">
      <c r="A52" s="105">
        <v>717847</v>
      </c>
    </row>
    <row r="53" spans="1:1" x14ac:dyDescent="0.2">
      <c r="A53" s="105">
        <v>758313</v>
      </c>
    </row>
    <row r="54" spans="1:1" x14ac:dyDescent="0.2">
      <c r="A54" s="105">
        <v>285030</v>
      </c>
    </row>
    <row r="55" spans="1:1" x14ac:dyDescent="0.2">
      <c r="A55" s="105">
        <v>85091</v>
      </c>
    </row>
    <row r="56" spans="1:1" x14ac:dyDescent="0.2">
      <c r="A56" s="105">
        <v>146292</v>
      </c>
    </row>
    <row r="57" spans="1:1" x14ac:dyDescent="0.2">
      <c r="A57" s="105">
        <v>75203</v>
      </c>
    </row>
    <row r="58" spans="1:1" x14ac:dyDescent="0.2">
      <c r="A58" s="105">
        <v>319061</v>
      </c>
    </row>
    <row r="59" spans="1:1" x14ac:dyDescent="0.2">
      <c r="A59" s="105">
        <v>46889</v>
      </c>
    </row>
    <row r="60" spans="1:1" x14ac:dyDescent="0.2">
      <c r="A60" s="105">
        <v>993216</v>
      </c>
    </row>
    <row r="61" spans="1:1" x14ac:dyDescent="0.2">
      <c r="A61" s="105">
        <v>404343</v>
      </c>
    </row>
    <row r="62" spans="1:1" x14ac:dyDescent="0.2">
      <c r="A62" s="105">
        <v>150446</v>
      </c>
    </row>
    <row r="63" spans="1:1" x14ac:dyDescent="0.2">
      <c r="A63" s="105">
        <v>279166</v>
      </c>
    </row>
    <row r="64" spans="1:1" x14ac:dyDescent="0.2">
      <c r="A64" s="105">
        <v>382369</v>
      </c>
    </row>
    <row r="65" spans="1:1" x14ac:dyDescent="0.2">
      <c r="A65" s="105">
        <v>42806</v>
      </c>
    </row>
    <row r="66" spans="1:1" x14ac:dyDescent="0.2">
      <c r="A66" s="105">
        <v>185302</v>
      </c>
    </row>
    <row r="67" spans="1:1" x14ac:dyDescent="0.2">
      <c r="A67" s="105">
        <v>61371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C847-A921-4E95-9933-2F74A481B497}">
  <dimension ref="A1:A67"/>
  <sheetViews>
    <sheetView workbookViewId="0">
      <selection activeCell="D11" sqref="D11"/>
    </sheetView>
  </sheetViews>
  <sheetFormatPr defaultRowHeight="12.75" x14ac:dyDescent="0.2"/>
  <cols>
    <col min="1" max="16384" width="9.140625" style="105"/>
  </cols>
  <sheetData>
    <row r="1" spans="1:1" x14ac:dyDescent="0.2">
      <c r="A1" s="105" cm="1">
        <f t="array" ref="A1:A67">TRANSPOSE(Usos!C83:BQ83)</f>
        <v>421109</v>
      </c>
    </row>
    <row r="2" spans="1:1" x14ac:dyDescent="0.2">
      <c r="A2" s="105">
        <v>130445</v>
      </c>
    </row>
    <row r="3" spans="1:1" x14ac:dyDescent="0.2">
      <c r="A3" s="105">
        <v>39531</v>
      </c>
    </row>
    <row r="4" spans="1:1" x14ac:dyDescent="0.2">
      <c r="A4" s="105">
        <v>11561</v>
      </c>
    </row>
    <row r="5" spans="1:1" x14ac:dyDescent="0.2">
      <c r="A5" s="105">
        <v>231887</v>
      </c>
    </row>
    <row r="6" spans="1:1" x14ac:dyDescent="0.2">
      <c r="A6" s="105">
        <v>167230</v>
      </c>
    </row>
    <row r="7" spans="1:1" x14ac:dyDescent="0.2">
      <c r="A7" s="105">
        <v>14189</v>
      </c>
    </row>
    <row r="8" spans="1:1" x14ac:dyDescent="0.2">
      <c r="A8" s="105">
        <v>59950</v>
      </c>
    </row>
    <row r="9" spans="1:1" x14ac:dyDescent="0.2">
      <c r="A9" s="105">
        <v>18988</v>
      </c>
    </row>
    <row r="10" spans="1:1" x14ac:dyDescent="0.2">
      <c r="A10" s="105">
        <v>78319</v>
      </c>
    </row>
    <row r="11" spans="1:1" x14ac:dyDescent="0.2">
      <c r="A11" s="105">
        <v>26193</v>
      </c>
    </row>
    <row r="12" spans="1:1" x14ac:dyDescent="0.2">
      <c r="A12" s="105">
        <v>3106</v>
      </c>
    </row>
    <row r="13" spans="1:1" x14ac:dyDescent="0.2">
      <c r="A13" s="105">
        <v>19370</v>
      </c>
    </row>
    <row r="14" spans="1:1" x14ac:dyDescent="0.2">
      <c r="A14" s="105">
        <v>28809</v>
      </c>
    </row>
    <row r="15" spans="1:1" x14ac:dyDescent="0.2">
      <c r="A15" s="105">
        <v>16343</v>
      </c>
    </row>
    <row r="16" spans="1:1" x14ac:dyDescent="0.2">
      <c r="A16" s="105">
        <v>19564</v>
      </c>
    </row>
    <row r="17" spans="1:1" x14ac:dyDescent="0.2">
      <c r="A17" s="105">
        <v>29864</v>
      </c>
    </row>
    <row r="18" spans="1:1" x14ac:dyDescent="0.2">
      <c r="A18" s="105">
        <v>8119</v>
      </c>
    </row>
    <row r="19" spans="1:1" x14ac:dyDescent="0.2">
      <c r="A19" s="105">
        <v>90157</v>
      </c>
    </row>
    <row r="20" spans="1:1" x14ac:dyDescent="0.2">
      <c r="A20" s="105">
        <v>20994</v>
      </c>
    </row>
    <row r="21" spans="1:1" x14ac:dyDescent="0.2">
      <c r="A21" s="105">
        <v>62229</v>
      </c>
    </row>
    <row r="22" spans="1:1" x14ac:dyDescent="0.2">
      <c r="A22" s="105">
        <v>19572</v>
      </c>
    </row>
    <row r="23" spans="1:1" x14ac:dyDescent="0.2">
      <c r="A23" s="105">
        <v>11340</v>
      </c>
    </row>
    <row r="24" spans="1:1" x14ac:dyDescent="0.2">
      <c r="A24" s="105">
        <v>45544</v>
      </c>
    </row>
    <row r="25" spans="1:1" x14ac:dyDescent="0.2">
      <c r="A25" s="105">
        <v>37300</v>
      </c>
    </row>
    <row r="26" spans="1:1" x14ac:dyDescent="0.2">
      <c r="A26" s="105">
        <v>42799</v>
      </c>
    </row>
    <row r="27" spans="1:1" x14ac:dyDescent="0.2">
      <c r="A27" s="105">
        <v>96011</v>
      </c>
    </row>
    <row r="28" spans="1:1" x14ac:dyDescent="0.2">
      <c r="A28" s="105">
        <v>29466</v>
      </c>
    </row>
    <row r="29" spans="1:1" x14ac:dyDescent="0.2">
      <c r="A29" s="105">
        <v>51610</v>
      </c>
    </row>
    <row r="30" spans="1:1" x14ac:dyDescent="0.2">
      <c r="A30" s="105">
        <v>19947</v>
      </c>
    </row>
    <row r="31" spans="1:1" x14ac:dyDescent="0.2">
      <c r="A31" s="105">
        <v>29515</v>
      </c>
    </row>
    <row r="32" spans="1:1" x14ac:dyDescent="0.2">
      <c r="A32" s="105">
        <v>59125</v>
      </c>
    </row>
    <row r="33" spans="1:1" x14ac:dyDescent="0.2">
      <c r="A33" s="105">
        <v>25538</v>
      </c>
    </row>
    <row r="34" spans="1:1" x14ac:dyDescent="0.2">
      <c r="A34" s="105">
        <v>32464</v>
      </c>
    </row>
    <row r="35" spans="1:1" x14ac:dyDescent="0.2">
      <c r="A35" s="105">
        <v>8912</v>
      </c>
    </row>
    <row r="36" spans="1:1" x14ac:dyDescent="0.2">
      <c r="A36" s="105">
        <v>44592</v>
      </c>
    </row>
    <row r="37" spans="1:1" x14ac:dyDescent="0.2">
      <c r="A37" s="105">
        <v>37099</v>
      </c>
    </row>
    <row r="38" spans="1:1" x14ac:dyDescent="0.2">
      <c r="A38" s="105">
        <v>157298</v>
      </c>
    </row>
    <row r="39" spans="1:1" x14ac:dyDescent="0.2">
      <c r="A39" s="105">
        <v>63684</v>
      </c>
    </row>
    <row r="40" spans="1:1" x14ac:dyDescent="0.2">
      <c r="A40" s="105">
        <v>275111</v>
      </c>
    </row>
    <row r="41" spans="1:1" x14ac:dyDescent="0.2">
      <c r="A41" s="105">
        <v>965702</v>
      </c>
    </row>
    <row r="42" spans="1:1" x14ac:dyDescent="0.2">
      <c r="A42" s="105">
        <v>183535</v>
      </c>
    </row>
    <row r="43" spans="1:1" x14ac:dyDescent="0.2">
      <c r="A43" s="105">
        <v>14616</v>
      </c>
    </row>
    <row r="44" spans="1:1" x14ac:dyDescent="0.2">
      <c r="A44" s="105">
        <v>3073</v>
      </c>
    </row>
    <row r="45" spans="1:1" x14ac:dyDescent="0.2">
      <c r="A45" s="105">
        <v>102818</v>
      </c>
    </row>
    <row r="46" spans="1:1" x14ac:dyDescent="0.2">
      <c r="A46" s="105">
        <v>16415</v>
      </c>
    </row>
    <row r="47" spans="1:1" x14ac:dyDescent="0.2">
      <c r="A47" s="105">
        <v>120712</v>
      </c>
    </row>
    <row r="48" spans="1:1" x14ac:dyDescent="0.2">
      <c r="A48" s="105">
        <v>7995</v>
      </c>
    </row>
    <row r="49" spans="1:1" x14ac:dyDescent="0.2">
      <c r="A49" s="105">
        <v>17533</v>
      </c>
    </row>
    <row r="50" spans="1:1" x14ac:dyDescent="0.2">
      <c r="A50" s="105">
        <v>79011</v>
      </c>
    </row>
    <row r="51" spans="1:1" x14ac:dyDescent="0.2">
      <c r="A51" s="105">
        <v>159992</v>
      </c>
    </row>
    <row r="52" spans="1:1" x14ac:dyDescent="0.2">
      <c r="A52" s="105">
        <v>447048</v>
      </c>
    </row>
    <row r="53" spans="1:1" x14ac:dyDescent="0.2">
      <c r="A53" s="105">
        <v>699465</v>
      </c>
    </row>
    <row r="54" spans="1:1" x14ac:dyDescent="0.2">
      <c r="A54" s="105">
        <v>195074</v>
      </c>
    </row>
    <row r="55" spans="1:1" x14ac:dyDescent="0.2">
      <c r="A55" s="105">
        <v>50176</v>
      </c>
    </row>
    <row r="56" spans="1:1" x14ac:dyDescent="0.2">
      <c r="A56" s="105">
        <v>53773</v>
      </c>
    </row>
    <row r="57" spans="1:1" x14ac:dyDescent="0.2">
      <c r="A57" s="105">
        <v>49842</v>
      </c>
    </row>
    <row r="58" spans="1:1" x14ac:dyDescent="0.2">
      <c r="A58" s="105">
        <v>213521</v>
      </c>
    </row>
    <row r="59" spans="1:1" x14ac:dyDescent="0.2">
      <c r="A59" s="105">
        <v>36376</v>
      </c>
    </row>
    <row r="60" spans="1:1" x14ac:dyDescent="0.2">
      <c r="A60" s="105">
        <v>719944</v>
      </c>
    </row>
    <row r="61" spans="1:1" x14ac:dyDescent="0.2">
      <c r="A61" s="105">
        <v>340323</v>
      </c>
    </row>
    <row r="62" spans="1:1" x14ac:dyDescent="0.2">
      <c r="A62" s="105">
        <v>100728</v>
      </c>
    </row>
    <row r="63" spans="1:1" x14ac:dyDescent="0.2">
      <c r="A63" s="105">
        <v>158689</v>
      </c>
    </row>
    <row r="64" spans="1:1" x14ac:dyDescent="0.2">
      <c r="A64" s="105">
        <v>222222</v>
      </c>
    </row>
    <row r="65" spans="1:1" x14ac:dyDescent="0.2">
      <c r="A65" s="105">
        <v>22891</v>
      </c>
    </row>
    <row r="66" spans="1:1" x14ac:dyDescent="0.2">
      <c r="A66" s="105">
        <v>86270</v>
      </c>
    </row>
    <row r="67" spans="1:1" x14ac:dyDescent="0.2">
      <c r="A67" s="105">
        <v>61371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803B-894F-4268-A7D1-5562E2A1A317}">
  <dimension ref="A1"/>
  <sheetViews>
    <sheetView workbookViewId="0">
      <selection activeCell="H10" sqref="H10"/>
    </sheetView>
  </sheetViews>
  <sheetFormatPr defaultRowHeight="12.75" x14ac:dyDescent="0.2"/>
  <cols>
    <col min="1" max="16384" width="9.140625" style="105"/>
  </cols>
  <sheetData>
    <row r="1" spans="1:1" s="119" customFormat="1" x14ac:dyDescent="0.2">
      <c r="A1" s="119" t="s">
        <v>210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5B03-20E2-4696-90A2-E9526B36E0A2}">
  <dimension ref="A1:A67"/>
  <sheetViews>
    <sheetView topLeftCell="A61" workbookViewId="0">
      <selection activeCell="G66" sqref="G66"/>
    </sheetView>
  </sheetViews>
  <sheetFormatPr defaultRowHeight="12.75" x14ac:dyDescent="0.2"/>
  <cols>
    <col min="1" max="16384" width="9.140625" style="105"/>
  </cols>
  <sheetData>
    <row r="1" spans="1:1" x14ac:dyDescent="0.2">
      <c r="A1" s="105" cm="1">
        <f t="array" ref="A1:A67">TRANSPOSE(Usos!C84:BQ84)</f>
        <v>37950</v>
      </c>
    </row>
    <row r="2" spans="1:1" x14ac:dyDescent="0.2">
      <c r="A2" s="105">
        <v>25160</v>
      </c>
    </row>
    <row r="3" spans="1:1" x14ac:dyDescent="0.2">
      <c r="A3" s="105">
        <v>2882</v>
      </c>
    </row>
    <row r="4" spans="1:1" x14ac:dyDescent="0.2">
      <c r="A4" s="105">
        <v>4882</v>
      </c>
    </row>
    <row r="5" spans="1:1" x14ac:dyDescent="0.2">
      <c r="A5" s="105">
        <v>21242</v>
      </c>
    </row>
    <row r="6" spans="1:1" x14ac:dyDescent="0.2">
      <c r="A6" s="105">
        <v>5777</v>
      </c>
    </row>
    <row r="7" spans="1:1" x14ac:dyDescent="0.2">
      <c r="A7" s="105">
        <v>3331</v>
      </c>
    </row>
    <row r="8" spans="1:1" x14ac:dyDescent="0.2">
      <c r="A8" s="105">
        <v>40203</v>
      </c>
    </row>
    <row r="9" spans="1:1" x14ac:dyDescent="0.2">
      <c r="A9" s="105">
        <v>9426</v>
      </c>
    </row>
    <row r="10" spans="1:1" x14ac:dyDescent="0.2">
      <c r="A10" s="105">
        <v>39201</v>
      </c>
    </row>
    <row r="11" spans="1:1" x14ac:dyDescent="0.2">
      <c r="A11" s="105">
        <v>11397</v>
      </c>
    </row>
    <row r="12" spans="1:1" x14ac:dyDescent="0.2">
      <c r="A12" s="105">
        <v>1988</v>
      </c>
    </row>
    <row r="13" spans="1:1" x14ac:dyDescent="0.2">
      <c r="A13" s="105">
        <v>12601</v>
      </c>
    </row>
    <row r="14" spans="1:1" x14ac:dyDescent="0.2">
      <c r="A14" s="105">
        <v>19120</v>
      </c>
    </row>
    <row r="15" spans="1:1" x14ac:dyDescent="0.2">
      <c r="A15" s="105">
        <v>10928</v>
      </c>
    </row>
    <row r="16" spans="1:1" x14ac:dyDescent="0.2">
      <c r="A16" s="105">
        <v>8175</v>
      </c>
    </row>
    <row r="17" spans="1:1" x14ac:dyDescent="0.2">
      <c r="A17" s="105">
        <v>16184</v>
      </c>
    </row>
    <row r="18" spans="1:1" x14ac:dyDescent="0.2">
      <c r="A18" s="105">
        <v>5338</v>
      </c>
    </row>
    <row r="19" spans="1:1" x14ac:dyDescent="0.2">
      <c r="A19" s="105">
        <v>12103</v>
      </c>
    </row>
    <row r="20" spans="1:1" x14ac:dyDescent="0.2">
      <c r="A20" s="105">
        <v>8112</v>
      </c>
    </row>
    <row r="21" spans="1:1" x14ac:dyDescent="0.2">
      <c r="A21" s="105">
        <v>15965</v>
      </c>
    </row>
    <row r="22" spans="1:1" x14ac:dyDescent="0.2">
      <c r="A22" s="105">
        <v>11824</v>
      </c>
    </row>
    <row r="23" spans="1:1" x14ac:dyDescent="0.2">
      <c r="A23" s="105">
        <v>7306</v>
      </c>
    </row>
    <row r="24" spans="1:1" x14ac:dyDescent="0.2">
      <c r="A24" s="105">
        <v>15775</v>
      </c>
    </row>
    <row r="25" spans="1:1" x14ac:dyDescent="0.2">
      <c r="A25" s="105">
        <v>25874</v>
      </c>
    </row>
    <row r="26" spans="1:1" x14ac:dyDescent="0.2">
      <c r="A26" s="105">
        <v>23721</v>
      </c>
    </row>
    <row r="27" spans="1:1" x14ac:dyDescent="0.2">
      <c r="A27" s="105">
        <v>14974</v>
      </c>
    </row>
    <row r="28" spans="1:1" x14ac:dyDescent="0.2">
      <c r="A28" s="105">
        <v>7744</v>
      </c>
    </row>
    <row r="29" spans="1:1" x14ac:dyDescent="0.2">
      <c r="A29" s="105">
        <v>27076</v>
      </c>
    </row>
    <row r="30" spans="1:1" x14ac:dyDescent="0.2">
      <c r="A30" s="105">
        <v>10741</v>
      </c>
    </row>
    <row r="31" spans="1:1" x14ac:dyDescent="0.2">
      <c r="A31" s="105">
        <v>18582</v>
      </c>
    </row>
    <row r="32" spans="1:1" x14ac:dyDescent="0.2">
      <c r="A32" s="105">
        <v>35143</v>
      </c>
    </row>
    <row r="33" spans="1:1" x14ac:dyDescent="0.2">
      <c r="A33" s="105">
        <v>20439</v>
      </c>
    </row>
    <row r="34" spans="1:1" x14ac:dyDescent="0.2">
      <c r="A34" s="105">
        <v>22668</v>
      </c>
    </row>
    <row r="35" spans="1:1" x14ac:dyDescent="0.2">
      <c r="A35" s="105">
        <v>8254</v>
      </c>
    </row>
    <row r="36" spans="1:1" x14ac:dyDescent="0.2">
      <c r="A36" s="105">
        <v>20315</v>
      </c>
    </row>
    <row r="37" spans="1:1" x14ac:dyDescent="0.2">
      <c r="A37" s="105">
        <v>18587</v>
      </c>
    </row>
    <row r="38" spans="1:1" x14ac:dyDescent="0.2">
      <c r="A38" s="105">
        <v>20258</v>
      </c>
    </row>
    <row r="39" spans="1:1" x14ac:dyDescent="0.2">
      <c r="A39" s="105">
        <v>25019</v>
      </c>
    </row>
    <row r="40" spans="1:1" x14ac:dyDescent="0.2">
      <c r="A40" s="105">
        <v>130162</v>
      </c>
    </row>
    <row r="41" spans="1:1" x14ac:dyDescent="0.2">
      <c r="A41" s="105">
        <v>471788</v>
      </c>
    </row>
    <row r="42" spans="1:1" x14ac:dyDescent="0.2">
      <c r="A42" s="105">
        <v>96653</v>
      </c>
    </row>
    <row r="43" spans="1:1" x14ac:dyDescent="0.2">
      <c r="A43" s="105">
        <v>6472</v>
      </c>
    </row>
    <row r="44" spans="1:1" x14ac:dyDescent="0.2">
      <c r="A44" s="105">
        <v>6682</v>
      </c>
    </row>
    <row r="45" spans="1:1" x14ac:dyDescent="0.2">
      <c r="A45" s="105">
        <v>48512</v>
      </c>
    </row>
    <row r="46" spans="1:1" x14ac:dyDescent="0.2">
      <c r="A46" s="105">
        <v>10988</v>
      </c>
    </row>
    <row r="47" spans="1:1" x14ac:dyDescent="0.2">
      <c r="A47" s="105">
        <v>57472</v>
      </c>
    </row>
    <row r="48" spans="1:1" x14ac:dyDescent="0.2">
      <c r="A48" s="105">
        <v>6183</v>
      </c>
    </row>
    <row r="49" spans="1:1" x14ac:dyDescent="0.2">
      <c r="A49" s="105">
        <v>12175</v>
      </c>
    </row>
    <row r="50" spans="1:1" x14ac:dyDescent="0.2">
      <c r="A50" s="105">
        <v>23331</v>
      </c>
    </row>
    <row r="51" spans="1:1" x14ac:dyDescent="0.2">
      <c r="A51" s="105">
        <v>81702</v>
      </c>
    </row>
    <row r="52" spans="1:1" x14ac:dyDescent="0.2">
      <c r="A52" s="105">
        <v>201153</v>
      </c>
    </row>
    <row r="53" spans="1:1" x14ac:dyDescent="0.2">
      <c r="A53" s="105">
        <v>9646</v>
      </c>
    </row>
    <row r="54" spans="1:1" x14ac:dyDescent="0.2">
      <c r="A54" s="105">
        <v>80109</v>
      </c>
    </row>
    <row r="55" spans="1:1" x14ac:dyDescent="0.2">
      <c r="A55" s="105">
        <v>24050</v>
      </c>
    </row>
    <row r="56" spans="1:1" x14ac:dyDescent="0.2">
      <c r="A56" s="105">
        <v>22628</v>
      </c>
    </row>
    <row r="57" spans="1:1" x14ac:dyDescent="0.2">
      <c r="A57" s="105">
        <v>14950</v>
      </c>
    </row>
    <row r="58" spans="1:1" x14ac:dyDescent="0.2">
      <c r="A58" s="105">
        <v>145387</v>
      </c>
    </row>
    <row r="59" spans="1:1" x14ac:dyDescent="0.2">
      <c r="A59" s="105">
        <v>32583</v>
      </c>
    </row>
    <row r="60" spans="1:1" x14ac:dyDescent="0.2">
      <c r="A60" s="105">
        <v>603962</v>
      </c>
    </row>
    <row r="61" spans="1:1" x14ac:dyDescent="0.2">
      <c r="A61" s="105">
        <v>323126</v>
      </c>
    </row>
    <row r="62" spans="1:1" x14ac:dyDescent="0.2">
      <c r="A62" s="105">
        <v>87511</v>
      </c>
    </row>
    <row r="63" spans="1:1" x14ac:dyDescent="0.2">
      <c r="A63" s="105">
        <v>149825</v>
      </c>
    </row>
    <row r="64" spans="1:1" x14ac:dyDescent="0.2">
      <c r="A64" s="105">
        <v>122204</v>
      </c>
    </row>
    <row r="65" spans="1:1" x14ac:dyDescent="0.2">
      <c r="A65" s="105">
        <v>13514</v>
      </c>
    </row>
    <row r="66" spans="1:1" x14ac:dyDescent="0.2">
      <c r="A66" s="105">
        <v>44244</v>
      </c>
    </row>
    <row r="67" spans="1:1" x14ac:dyDescent="0.2">
      <c r="A67" s="105">
        <v>61371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7FF4-B944-416A-A70C-95C5449AF483}">
  <dimension ref="A1:A67"/>
  <sheetViews>
    <sheetView workbookViewId="0">
      <selection activeCell="O32" sqref="O32"/>
    </sheetView>
  </sheetViews>
  <sheetFormatPr defaultRowHeight="12.75" x14ac:dyDescent="0.2"/>
  <cols>
    <col min="1" max="16384" width="9.140625" style="105"/>
  </cols>
  <sheetData>
    <row r="1" spans="1:1" x14ac:dyDescent="0.2">
      <c r="A1" s="105" cm="1">
        <f t="array" ref="A1:A67">TRANSPOSE(Usos!C96:BQ96)</f>
        <v>6934294</v>
      </c>
    </row>
    <row r="2" spans="1:1" x14ac:dyDescent="0.2">
      <c r="A2" s="105">
        <v>5393173</v>
      </c>
    </row>
    <row r="3" spans="1:1" x14ac:dyDescent="0.2">
      <c r="A3" s="105">
        <v>815655</v>
      </c>
    </row>
    <row r="4" spans="1:1" x14ac:dyDescent="0.2">
      <c r="A4" s="105">
        <v>110127</v>
      </c>
    </row>
    <row r="5" spans="1:1" x14ac:dyDescent="0.2">
      <c r="A5" s="105">
        <v>55195</v>
      </c>
    </row>
    <row r="6" spans="1:1" x14ac:dyDescent="0.2">
      <c r="A6" s="105">
        <v>42815</v>
      </c>
    </row>
    <row r="7" spans="1:1" x14ac:dyDescent="0.2">
      <c r="A7" s="105">
        <v>35085</v>
      </c>
    </row>
    <row r="8" spans="1:1" x14ac:dyDescent="0.2">
      <c r="A8" s="105">
        <v>860656</v>
      </c>
    </row>
    <row r="9" spans="1:1" x14ac:dyDescent="0.2">
      <c r="A9" s="105">
        <v>139807</v>
      </c>
    </row>
    <row r="10" spans="1:1" x14ac:dyDescent="0.2">
      <c r="A10" s="105">
        <v>1272409</v>
      </c>
    </row>
    <row r="11" spans="1:1" x14ac:dyDescent="0.2">
      <c r="A11" s="105">
        <v>188767</v>
      </c>
    </row>
    <row r="12" spans="1:1" x14ac:dyDescent="0.2">
      <c r="A12" s="105">
        <v>17515</v>
      </c>
    </row>
    <row r="13" spans="1:1" x14ac:dyDescent="0.2">
      <c r="A13" s="105">
        <v>638518</v>
      </c>
    </row>
    <row r="14" spans="1:1" x14ac:dyDescent="0.2">
      <c r="A14" s="105">
        <v>1655089</v>
      </c>
    </row>
    <row r="15" spans="1:1" x14ac:dyDescent="0.2">
      <c r="A15" s="105">
        <v>455637</v>
      </c>
    </row>
    <row r="16" spans="1:1" x14ac:dyDescent="0.2">
      <c r="A16" s="105">
        <v>389391</v>
      </c>
    </row>
    <row r="17" spans="1:1" x14ac:dyDescent="0.2">
      <c r="A17" s="105">
        <v>216547</v>
      </c>
    </row>
    <row r="18" spans="1:1" x14ac:dyDescent="0.2">
      <c r="A18" s="105">
        <v>168568</v>
      </c>
    </row>
    <row r="19" spans="1:1" x14ac:dyDescent="0.2">
      <c r="A19" s="105">
        <v>22483</v>
      </c>
    </row>
    <row r="20" spans="1:1" x14ac:dyDescent="0.2">
      <c r="A20" s="105">
        <v>108126</v>
      </c>
    </row>
    <row r="21" spans="1:1" x14ac:dyDescent="0.2">
      <c r="A21" s="105">
        <v>112336</v>
      </c>
    </row>
    <row r="22" spans="1:1" x14ac:dyDescent="0.2">
      <c r="A22" s="105">
        <v>97429</v>
      </c>
    </row>
    <row r="23" spans="1:1" x14ac:dyDescent="0.2">
      <c r="A23" s="105">
        <v>138125</v>
      </c>
    </row>
    <row r="24" spans="1:1" x14ac:dyDescent="0.2">
      <c r="A24" s="105">
        <v>113456</v>
      </c>
    </row>
    <row r="25" spans="1:1" x14ac:dyDescent="0.2">
      <c r="A25" s="105">
        <v>444332</v>
      </c>
    </row>
    <row r="26" spans="1:1" x14ac:dyDescent="0.2">
      <c r="A26" s="105">
        <v>609593</v>
      </c>
    </row>
    <row r="27" spans="1:1" x14ac:dyDescent="0.2">
      <c r="A27" s="105">
        <v>131519</v>
      </c>
    </row>
    <row r="28" spans="1:1" x14ac:dyDescent="0.2">
      <c r="A28" s="105">
        <v>108045</v>
      </c>
    </row>
    <row r="29" spans="1:1" x14ac:dyDescent="0.2">
      <c r="A29" s="105">
        <v>702971</v>
      </c>
    </row>
    <row r="30" spans="1:1" x14ac:dyDescent="0.2">
      <c r="A30" s="105">
        <v>122788</v>
      </c>
    </row>
    <row r="31" spans="1:1" x14ac:dyDescent="0.2">
      <c r="A31" s="105">
        <v>228003</v>
      </c>
    </row>
    <row r="32" spans="1:1" x14ac:dyDescent="0.2">
      <c r="A32" s="105">
        <v>436572</v>
      </c>
    </row>
    <row r="33" spans="1:1" x14ac:dyDescent="0.2">
      <c r="A33" s="105">
        <v>155333</v>
      </c>
    </row>
    <row r="34" spans="1:1" x14ac:dyDescent="0.2">
      <c r="A34" s="105">
        <v>304453</v>
      </c>
    </row>
    <row r="35" spans="1:1" x14ac:dyDescent="0.2">
      <c r="A35" s="105">
        <v>87198</v>
      </c>
    </row>
    <row r="36" spans="1:1" x14ac:dyDescent="0.2">
      <c r="A36" s="105">
        <v>773017</v>
      </c>
    </row>
    <row r="37" spans="1:1" x14ac:dyDescent="0.2">
      <c r="A37" s="105">
        <v>673031</v>
      </c>
    </row>
    <row r="38" spans="1:1" x14ac:dyDescent="0.2">
      <c r="A38" s="105">
        <v>174830</v>
      </c>
    </row>
    <row r="39" spans="1:1" x14ac:dyDescent="0.2">
      <c r="A39" s="105">
        <v>606919</v>
      </c>
    </row>
    <row r="40" spans="1:1" x14ac:dyDescent="0.2">
      <c r="A40" s="105">
        <v>8267084</v>
      </c>
    </row>
    <row r="41" spans="1:1" x14ac:dyDescent="0.2">
      <c r="A41" s="105">
        <v>18825573</v>
      </c>
    </row>
    <row r="42" spans="1:1" x14ac:dyDescent="0.2">
      <c r="A42" s="105">
        <v>4123552</v>
      </c>
    </row>
    <row r="43" spans="1:1" x14ac:dyDescent="0.2">
      <c r="A43" s="105">
        <v>48865</v>
      </c>
    </row>
    <row r="44" spans="1:1" x14ac:dyDescent="0.2">
      <c r="A44" s="105">
        <v>51770</v>
      </c>
    </row>
    <row r="45" spans="1:1" x14ac:dyDescent="0.2">
      <c r="A45" s="105">
        <v>937458</v>
      </c>
    </row>
    <row r="46" spans="1:1" x14ac:dyDescent="0.2">
      <c r="A46" s="105">
        <v>402267</v>
      </c>
    </row>
    <row r="47" spans="1:1" x14ac:dyDescent="0.2">
      <c r="A47" s="105">
        <v>4980988</v>
      </c>
    </row>
    <row r="48" spans="1:1" x14ac:dyDescent="0.2">
      <c r="A48" s="105">
        <v>126997</v>
      </c>
    </row>
    <row r="49" spans="1:1" x14ac:dyDescent="0.2">
      <c r="A49" s="105">
        <v>154532</v>
      </c>
    </row>
    <row r="50" spans="1:1" x14ac:dyDescent="0.2">
      <c r="A50" s="105">
        <v>322694</v>
      </c>
    </row>
    <row r="51" spans="1:1" x14ac:dyDescent="0.2">
      <c r="A51" s="105">
        <v>962675</v>
      </c>
    </row>
    <row r="52" spans="1:1" x14ac:dyDescent="0.2">
      <c r="A52" s="105">
        <v>1519655</v>
      </c>
    </row>
    <row r="53" spans="1:1" x14ac:dyDescent="0.2">
      <c r="A53" s="105">
        <v>518258</v>
      </c>
    </row>
    <row r="54" spans="1:1" x14ac:dyDescent="0.2">
      <c r="A54" s="105">
        <v>2206221</v>
      </c>
    </row>
    <row r="55" spans="1:1" x14ac:dyDescent="0.2">
      <c r="A55" s="105">
        <v>777044</v>
      </c>
    </row>
    <row r="56" spans="1:1" x14ac:dyDescent="0.2">
      <c r="A56" s="105">
        <v>850029</v>
      </c>
    </row>
    <row r="57" spans="1:1" x14ac:dyDescent="0.2">
      <c r="A57" s="105">
        <v>320139</v>
      </c>
    </row>
    <row r="58" spans="1:1" x14ac:dyDescent="0.2">
      <c r="A58" s="105">
        <v>4539907</v>
      </c>
    </row>
    <row r="59" spans="1:1" x14ac:dyDescent="0.2">
      <c r="A59" s="105">
        <v>785372</v>
      </c>
    </row>
    <row r="60" spans="1:1" x14ac:dyDescent="0.2">
      <c r="A60" s="105">
        <v>4692057</v>
      </c>
    </row>
    <row r="61" spans="1:1" x14ac:dyDescent="0.2">
      <c r="A61" s="105">
        <v>4226629</v>
      </c>
    </row>
    <row r="62" spans="1:1" x14ac:dyDescent="0.2">
      <c r="A62" s="105">
        <v>2757268</v>
      </c>
    </row>
    <row r="63" spans="1:1" x14ac:dyDescent="0.2">
      <c r="A63" s="105">
        <v>2306888</v>
      </c>
    </row>
    <row r="64" spans="1:1" x14ac:dyDescent="0.2">
      <c r="A64" s="105">
        <v>3908377</v>
      </c>
    </row>
    <row r="65" spans="1:1" x14ac:dyDescent="0.2">
      <c r="A65" s="105">
        <v>937222</v>
      </c>
    </row>
    <row r="66" spans="1:1" x14ac:dyDescent="0.2">
      <c r="A66" s="105">
        <v>4342454</v>
      </c>
    </row>
    <row r="67" spans="1:1" x14ac:dyDescent="0.2">
      <c r="A67" s="105">
        <v>5633396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4BAD-C9FA-403B-8185-7C391F9DB485}">
  <dimension ref="A1:A67"/>
  <sheetViews>
    <sheetView topLeftCell="A56" workbookViewId="0">
      <selection activeCell="K66" sqref="K66"/>
    </sheetView>
  </sheetViews>
  <sheetFormatPr defaultRowHeight="12.75" x14ac:dyDescent="0.2"/>
  <cols>
    <col min="1" max="16384" width="9.140625" style="105"/>
  </cols>
  <sheetData>
    <row r="1" spans="1:1" x14ac:dyDescent="0.2">
      <c r="A1" s="105">
        <f>Usos!BV6</f>
        <v>168172.102768665</v>
      </c>
    </row>
    <row r="2" spans="1:1" x14ac:dyDescent="0.2">
      <c r="A2" s="105">
        <f>Usos!BV7</f>
        <v>50185.289188319803</v>
      </c>
    </row>
    <row r="3" spans="1:1" x14ac:dyDescent="0.2">
      <c r="A3" s="105">
        <f>Usos!BV8</f>
        <v>34559.580371293603</v>
      </c>
    </row>
    <row r="4" spans="1:1" x14ac:dyDescent="0.2">
      <c r="A4" s="105">
        <f>Usos!BV9</f>
        <v>305.613481109585</v>
      </c>
    </row>
    <row r="5" spans="1:1" x14ac:dyDescent="0.2">
      <c r="A5" s="105">
        <f>Usos!BV10</f>
        <v>1115.3589846462901</v>
      </c>
    </row>
    <row r="6" spans="1:1" x14ac:dyDescent="0.2">
      <c r="A6" s="105">
        <f>Usos!BV11</f>
        <v>18.770746253602699</v>
      </c>
    </row>
    <row r="7" spans="1:1" x14ac:dyDescent="0.2">
      <c r="A7" s="105">
        <f>Usos!BV12</f>
        <v>13.302391535881901</v>
      </c>
    </row>
    <row r="8" spans="1:1" x14ac:dyDescent="0.2">
      <c r="A8" s="105">
        <f>Usos!BV13</f>
        <v>406060.51426310698</v>
      </c>
    </row>
    <row r="9" spans="1:1" x14ac:dyDescent="0.2">
      <c r="A9" s="105">
        <f>Usos!BV14</f>
        <v>28436.383962407199</v>
      </c>
    </row>
    <row r="10" spans="1:1" x14ac:dyDescent="0.2">
      <c r="A10" s="105">
        <f>Usos!BV15</f>
        <v>384417.106261532</v>
      </c>
    </row>
    <row r="11" spans="1:1" x14ac:dyDescent="0.2">
      <c r="A11" s="105">
        <f>Usos!BV16</f>
        <v>105256.70001581901</v>
      </c>
    </row>
    <row r="12" spans="1:1" x14ac:dyDescent="0.2">
      <c r="A12" s="105">
        <f>Usos!BV17</f>
        <v>40628.587338475903</v>
      </c>
    </row>
    <row r="13" spans="1:1" x14ac:dyDescent="0.2">
      <c r="A13" s="105">
        <f>Usos!BV18</f>
        <v>56625.153373374102</v>
      </c>
    </row>
    <row r="14" spans="1:1" x14ac:dyDescent="0.2">
      <c r="A14" s="105">
        <f>Usos!BV19</f>
        <v>160027.46441550701</v>
      </c>
    </row>
    <row r="15" spans="1:1" x14ac:dyDescent="0.2">
      <c r="A15" s="105">
        <f>Usos!BV20</f>
        <v>71334.644960446705</v>
      </c>
    </row>
    <row r="16" spans="1:1" x14ac:dyDescent="0.2">
      <c r="A16" s="105">
        <f>Usos!BV21</f>
        <v>4744.23159628344</v>
      </c>
    </row>
    <row r="17" spans="1:1" x14ac:dyDescent="0.2">
      <c r="A17" s="105">
        <f>Usos!BV22</f>
        <v>26156.0119302407</v>
      </c>
    </row>
    <row r="18" spans="1:1" x14ac:dyDescent="0.2">
      <c r="A18" s="105">
        <f>Usos!BV23</f>
        <v>1927.1829584683201</v>
      </c>
    </row>
    <row r="19" spans="1:1" x14ac:dyDescent="0.2">
      <c r="A19" s="105">
        <f>Usos!BV24</f>
        <v>268374.86186258</v>
      </c>
    </row>
    <row r="20" spans="1:1" x14ac:dyDescent="0.2">
      <c r="A20" s="105">
        <f>Usos!BV25</f>
        <v>50043.48855889</v>
      </c>
    </row>
    <row r="21" spans="1:1" x14ac:dyDescent="0.2">
      <c r="A21" s="105">
        <f>Usos!BV26</f>
        <v>8024.2379794486096</v>
      </c>
    </row>
    <row r="22" spans="1:1" x14ac:dyDescent="0.2">
      <c r="A22" s="105">
        <f>Usos!BV27</f>
        <v>5987.9648859328499</v>
      </c>
    </row>
    <row r="23" spans="1:1" x14ac:dyDescent="0.2">
      <c r="A23" s="105">
        <f>Usos!BV28</f>
        <v>107847.869897585</v>
      </c>
    </row>
    <row r="24" spans="1:1" x14ac:dyDescent="0.2">
      <c r="A24" s="105">
        <f>Usos!BV29</f>
        <v>145105.078603726</v>
      </c>
    </row>
    <row r="25" spans="1:1" x14ac:dyDescent="0.2">
      <c r="A25" s="105">
        <f>Usos!BV30</f>
        <v>31054.087634782099</v>
      </c>
    </row>
    <row r="26" spans="1:1" x14ac:dyDescent="0.2">
      <c r="A26" s="105">
        <f>Usos!BV31</f>
        <v>6957.0381710075399</v>
      </c>
    </row>
    <row r="27" spans="1:1" x14ac:dyDescent="0.2">
      <c r="A27" s="105">
        <f>Usos!BV32</f>
        <v>3025.7491794635698</v>
      </c>
    </row>
    <row r="28" spans="1:1" x14ac:dyDescent="0.2">
      <c r="A28" s="105">
        <f>Usos!BV33</f>
        <v>2809.4415210068701</v>
      </c>
    </row>
    <row r="29" spans="1:1" x14ac:dyDescent="0.2">
      <c r="A29" s="105">
        <f>Usos!BV34</f>
        <v>23820.0075773891</v>
      </c>
    </row>
    <row r="30" spans="1:1" x14ac:dyDescent="0.2">
      <c r="A30" s="105">
        <f>Usos!BV35</f>
        <v>129242.244455817</v>
      </c>
    </row>
    <row r="31" spans="1:1" x14ac:dyDescent="0.2">
      <c r="A31" s="105">
        <f>Usos!BV36</f>
        <v>58440.662351462903</v>
      </c>
    </row>
    <row r="32" spans="1:1" x14ac:dyDescent="0.2">
      <c r="A32" s="105">
        <f>Usos!BV37</f>
        <v>14690.8160975013</v>
      </c>
    </row>
    <row r="33" spans="1:1" x14ac:dyDescent="0.2">
      <c r="A33" s="105">
        <f>Usos!BV38</f>
        <v>179850.141012768</v>
      </c>
    </row>
    <row r="34" spans="1:1" x14ac:dyDescent="0.2">
      <c r="A34" s="105">
        <f>Usos!BV39</f>
        <v>2822.4104053004899</v>
      </c>
    </row>
    <row r="35" spans="1:1" x14ac:dyDescent="0.2">
      <c r="A35" s="105">
        <f>Usos!BV40</f>
        <v>23974.203671683499</v>
      </c>
    </row>
    <row r="36" spans="1:1" x14ac:dyDescent="0.2">
      <c r="A36" s="105">
        <f>Usos!BV41</f>
        <v>137775.883615839</v>
      </c>
    </row>
    <row r="37" spans="1:1" x14ac:dyDescent="0.2">
      <c r="A37" s="105">
        <f>Usos!BV42</f>
        <v>1059.9501170727301</v>
      </c>
    </row>
    <row r="38" spans="1:1" x14ac:dyDescent="0.2">
      <c r="A38" s="105">
        <f>Usos!BV43</f>
        <v>172624.548223102</v>
      </c>
    </row>
    <row r="39" spans="1:1" x14ac:dyDescent="0.2">
      <c r="A39" s="105">
        <f>Usos!BV44</f>
        <v>45725.613931289299</v>
      </c>
    </row>
    <row r="40" spans="1:1" x14ac:dyDescent="0.2">
      <c r="A40" s="105">
        <f>Usos!BV45</f>
        <v>1631.3897956733399</v>
      </c>
    </row>
    <row r="41" spans="1:1" x14ac:dyDescent="0.2">
      <c r="A41" s="105">
        <f>Usos!BV46</f>
        <v>177901.42690201499</v>
      </c>
    </row>
    <row r="42" spans="1:1" x14ac:dyDescent="0.2">
      <c r="A42" s="105">
        <f>Usos!BV47</f>
        <v>82305.068356384305</v>
      </c>
    </row>
    <row r="43" spans="1:1" x14ac:dyDescent="0.2">
      <c r="A43" s="105">
        <f>Usos!BV48</f>
        <v>709.03048548470895</v>
      </c>
    </row>
    <row r="44" spans="1:1" x14ac:dyDescent="0.2">
      <c r="A44" s="105">
        <f>Usos!BV49</f>
        <v>6350.1930220823497</v>
      </c>
    </row>
    <row r="45" spans="1:1" x14ac:dyDescent="0.2">
      <c r="A45" s="105">
        <f>Usos!BV50</f>
        <v>39007.605068380399</v>
      </c>
    </row>
    <row r="46" spans="1:1" x14ac:dyDescent="0.2">
      <c r="A46" s="105">
        <f>Usos!BV51</f>
        <v>6692.39784537785</v>
      </c>
    </row>
    <row r="47" spans="1:1" x14ac:dyDescent="0.2">
      <c r="A47" s="105">
        <f>Usos!BV52</f>
        <v>265502.53662461299</v>
      </c>
    </row>
    <row r="48" spans="1:1" x14ac:dyDescent="0.2">
      <c r="A48" s="105">
        <f>Usos!BV53</f>
        <v>13362.024342463101</v>
      </c>
    </row>
    <row r="49" spans="1:1" x14ac:dyDescent="0.2">
      <c r="A49" s="105">
        <f>Usos!BV54</f>
        <v>1275.07234292671</v>
      </c>
    </row>
    <row r="50" spans="1:1" x14ac:dyDescent="0.2">
      <c r="A50" s="105">
        <f>Usos!BV55</f>
        <v>142892.774952937</v>
      </c>
    </row>
    <row r="51" spans="1:1" x14ac:dyDescent="0.2">
      <c r="A51" s="105">
        <f>Usos!BV56</f>
        <v>5987.0798253919002</v>
      </c>
    </row>
    <row r="52" spans="1:1" x14ac:dyDescent="0.2">
      <c r="A52" s="105">
        <f>Usos!BV57</f>
        <v>402189.93088168697</v>
      </c>
    </row>
    <row r="53" spans="1:1" x14ac:dyDescent="0.2">
      <c r="A53" s="105">
        <f>Usos!BV58</f>
        <v>643986.73927381297</v>
      </c>
    </row>
    <row r="54" spans="1:1" x14ac:dyDescent="0.2">
      <c r="A54" s="105">
        <f>Usos!BV59</f>
        <v>22538.261373087498</v>
      </c>
    </row>
    <row r="55" spans="1:1" x14ac:dyDescent="0.2">
      <c r="A55" s="105">
        <f>Usos!BV60</f>
        <v>1619.7734519251901</v>
      </c>
    </row>
    <row r="56" spans="1:1" x14ac:dyDescent="0.2">
      <c r="A56" s="105">
        <f>Usos!BV61</f>
        <v>2760.0746200952899</v>
      </c>
    </row>
    <row r="57" spans="1:1" x14ac:dyDescent="0.2">
      <c r="A57" s="105">
        <f>Usos!BV62</f>
        <v>6684.7715879085999</v>
      </c>
    </row>
    <row r="58" spans="1:1" x14ac:dyDescent="0.2">
      <c r="A58" s="105">
        <f>Usos!BV63</f>
        <v>12978.254210568301</v>
      </c>
    </row>
    <row r="59" spans="1:1" x14ac:dyDescent="0.2">
      <c r="A59" s="105">
        <f>Usos!BV64</f>
        <v>576.27941119273805</v>
      </c>
    </row>
    <row r="60" spans="1:1" x14ac:dyDescent="0.2">
      <c r="A60" s="105">
        <f>Usos!BV65</f>
        <v>17396.4954636236</v>
      </c>
    </row>
    <row r="61" spans="1:1" x14ac:dyDescent="0.2">
      <c r="A61" s="105">
        <f>Usos!BV66</f>
        <v>991.98879623462801</v>
      </c>
    </row>
    <row r="62" spans="1:1" x14ac:dyDescent="0.2">
      <c r="A62" s="105">
        <f>Usos!BV67</f>
        <v>131435.23177257099</v>
      </c>
    </row>
    <row r="63" spans="1:1" x14ac:dyDescent="0.2">
      <c r="A63" s="105">
        <f>Usos!BV68</f>
        <v>2324.7216043804401</v>
      </c>
    </row>
    <row r="64" spans="1:1" x14ac:dyDescent="0.2">
      <c r="A64" s="105">
        <f>Usos!BV69</f>
        <v>271981.91258647101</v>
      </c>
    </row>
    <row r="65" spans="1:1" x14ac:dyDescent="0.2">
      <c r="A65" s="105">
        <f>Usos!BV70</f>
        <v>33158.2649509779</v>
      </c>
    </row>
    <row r="66" spans="1:1" x14ac:dyDescent="0.2">
      <c r="A66" s="105">
        <f>Usos!BV71</f>
        <v>100672.40169060099</v>
      </c>
    </row>
    <row r="67" spans="1:1" x14ac:dyDescent="0.2">
      <c r="A67" s="105">
        <f>Usos!BV72</f>
        <v>61371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ÍNDICE</vt:lpstr>
      <vt:lpstr>Recursos</vt:lpstr>
      <vt:lpstr>Usos</vt:lpstr>
      <vt:lpstr>Usos Nacional</vt:lpstr>
      <vt:lpstr>Usos Importado</vt:lpstr>
      <vt:lpstr>Impostos</vt:lpstr>
      <vt:lpstr>Comércio</vt:lpstr>
      <vt:lpstr>Transporte</vt:lpstr>
      <vt:lpstr>An</vt:lpstr>
      <vt:lpstr>Am</vt:lpstr>
      <vt:lpstr>MIL</vt:lpstr>
      <vt:lpstr>Setores</vt:lpstr>
      <vt:lpstr>set</vt:lpstr>
      <vt:lpstr>Z</vt:lpstr>
      <vt:lpstr>y</vt:lpstr>
      <vt:lpstr>x</vt:lpstr>
      <vt:lpstr>v</vt:lpstr>
      <vt:lpstr>sp</vt:lpstr>
      <vt:lpstr>r</vt:lpstr>
      <vt:lpstr>e</vt:lpstr>
      <vt:lpstr>c</vt:lpstr>
      <vt:lpstr>Recursos!Print_Area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Ludovique</dc:creator>
  <dc:description/>
  <cp:lastModifiedBy>Camila Callegari</cp:lastModifiedBy>
  <cp:revision>1</cp:revision>
  <dcterms:created xsi:type="dcterms:W3CDTF">2020-07-08T01:59:49Z</dcterms:created>
  <dcterms:modified xsi:type="dcterms:W3CDTF">2026-01-30T19:35:26Z</dcterms:modified>
  <dc:language>pt-BR</dc:language>
</cp:coreProperties>
</file>